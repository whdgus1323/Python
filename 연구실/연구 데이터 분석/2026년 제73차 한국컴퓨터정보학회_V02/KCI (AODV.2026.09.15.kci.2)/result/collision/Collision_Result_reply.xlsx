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#0, 21_0, 19" sheetId="1" r:id="rId1"/>
    <sheet name="full#21, 33_19, 32" sheetId="2" r:id="rId2"/>
    <sheet name="full#33, 44_32, 43" sheetId="3" r:id="rId3"/>
    <sheet name="full#44, 101_43, 101" sheetId="4" r:id="rId4"/>
    <sheet name="rrep#0_21" sheetId="5" r:id="rId5"/>
    <sheet name="rrep#21_33" sheetId="6" r:id="rId6"/>
    <sheet name="rrep#33_44" sheetId="7" r:id="rId7"/>
    <sheet name="rrep#44_101" sheetId="8" r:id="rId8"/>
    <sheet name="rreq#0_19" sheetId="9" r:id="rId9"/>
    <sheet name="rreq#19_32" sheetId="10" r:id="rId10"/>
    <sheet name="rreq#32_43" sheetId="11" r:id="rId11"/>
    <sheet name="rreq#43_101" sheetId="12" r:id="rId12"/>
    <sheet name="Raw Counts" sheetId="13" r:id="rId13"/>
    <sheet name="Read Me" sheetId="14" r:id="rId1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19_result\d#120\v#30\30\ping_collision_summary.csv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32_result\d#120\v#30\30\ping_collision_summary.csv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43_result\d#120\v#30\30\ping_collision_summary.csv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101_result\d#120\v#30\30\ping_collision_summary.csv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D:\CBP_2026.07.21\i#3\rrep\rrep#0_21_result\d#120\v#30\30\ping_collision_summary.csv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D:\CBP_2026.07.21\i#3\rrep\rrep#21_33_result\d#120\v#30\30\ping_collision_summary.csv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D:\CBP_2026.07.21\i#3\rrep\rrep#33_44_result\d#120\v#30\30\ping_collision_summary.csv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D:\CBP_2026.07.21\i#3\rrep\rrep#44_101_result\d#120\v#30\30\ping_collision_summary.csv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D:\CBP_2026.07.21\i#3\rreq\rreq#0_19_result\d#120\v#30\30\ping_collision_summary.csv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D:\CBP_2026.07.21\i#3\rreq\rreq#19_32_result\d#120\v#30\30\ping_collision_summary.csv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D:\CBP_2026.07.21\i#3\rreq\rreq#32_43_result\d#70\v#30\25\ping_collision_summary.csv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D:\CBP_2026.07.21\i#3\rreq\rreq#32_43_result\d#120\v#30\30\ping_collision_summary.csv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비율 계산 불가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D:\CBP_2026.07.21\i#3\rreq\rreq#43_101_result\d#120\v#30\30\ping_collision_summary.csv</t>
        </r>
      </text>
    </comment>
  </commentList>
</comments>
</file>

<file path=xl/sharedStrings.xml><?xml version="1.0" encoding="utf-8"?>
<sst xmlns="http://schemas.openxmlformats.org/spreadsheetml/2006/main" count="11756" uniqueCount="3659">
  <si>
    <t>70/10</t>
  </si>
  <si>
    <t>No</t>
  </si>
  <si>
    <t>nodeId</t>
  </si>
  <si>
    <t>Legacy</t>
  </si>
  <si>
    <t>Proposed</t>
  </si>
  <si>
    <t>Delta</t>
  </si>
  <si>
    <t>AVG</t>
  </si>
  <si>
    <t>N</t>
  </si>
  <si>
    <t>70/20</t>
  </si>
  <si>
    <t>70/30</t>
  </si>
  <si>
    <t>100/10</t>
  </si>
  <si>
    <t>100/20</t>
  </si>
  <si>
    <t>100/30</t>
  </si>
  <si>
    <t>120/10</t>
  </si>
  <si>
    <t>120/20</t>
  </si>
  <si>
    <t>120/30</t>
  </si>
  <si>
    <t>source</t>
  </si>
  <si>
    <t>packet</t>
  </si>
  <si>
    <t>receptionAttempts</t>
  </si>
  <si>
    <t>failedReceptionsWithInterference</t>
  </si>
  <si>
    <t>status</t>
  </si>
  <si>
    <t>D:\CBP_2026.07.21\i#3\full\full#0, 21_0, 19_result\d#100\v#10\0\ping_collision_summary.csv</t>
  </si>
  <si>
    <t>reply</t>
  </si>
  <si>
    <t>ok</t>
  </si>
  <si>
    <t>D:\CBP_2026.07.21\i#3\full\full#0, 21_0, 19_result\d#100\v#10\10\ping_collision_summary.csv</t>
  </si>
  <si>
    <t>D:\CBP_2026.07.21\i#3\full\full#0, 21_0, 19_result\d#100\v#10\11\ping_collision_summary.csv</t>
  </si>
  <si>
    <t>D:\CBP_2026.07.21\i#3\full\full#0, 21_0, 19_result\d#100\v#10\12\ping_collision_summary.csv</t>
  </si>
  <si>
    <t>D:\CBP_2026.07.21\i#3\full\full#0, 21_0, 19_result\d#100\v#10\13\ping_collision_summary.csv</t>
  </si>
  <si>
    <t>D:\CBP_2026.07.21\i#3\full\full#0, 21_0, 19_result\d#100\v#10\14\ping_collision_summary.csv</t>
  </si>
  <si>
    <t>D:\CBP_2026.07.21\i#3\full\full#0, 21_0, 19_result\d#100\v#10\15\ping_collision_summary.csv</t>
  </si>
  <si>
    <t>D:\CBP_2026.07.21\i#3\full\full#0, 21_0, 19_result\d#100\v#10\16\ping_collision_summary.csv</t>
  </si>
  <si>
    <t>D:\CBP_2026.07.21\i#3\full\full#0, 21_0, 19_result\d#100\v#10\17\ping_collision_summary.csv</t>
  </si>
  <si>
    <t>D:\CBP_2026.07.21\i#3\full\full#0, 21_0, 19_result\d#100\v#10\18\ping_collision_summary.csv</t>
  </si>
  <si>
    <t>D:\CBP_2026.07.21\i#3\full\full#0, 21_0, 19_result\d#100\v#10\19\ping_collision_summary.csv</t>
  </si>
  <si>
    <t>D:\CBP_2026.07.21\i#3\full\full#0, 21_0, 19_result\d#100\v#10\1\ping_collision_summary.csv</t>
  </si>
  <si>
    <t>D:\CBP_2026.07.21\i#3\full\full#0, 21_0, 19_result\d#100\v#10\20\ping_collision_summary.csv</t>
  </si>
  <si>
    <t>D:\CBP_2026.07.21\i#3\full\full#0, 21_0, 19_result\d#100\v#10\21\ping_collision_summary.csv</t>
  </si>
  <si>
    <t>D:\CBP_2026.07.21\i#3\full\full#0, 21_0, 19_result\d#100\v#10\22\ping_collision_summary.csv</t>
  </si>
  <si>
    <t>D:\CBP_2026.07.21\i#3\full\full#0, 21_0, 19_result\d#100\v#10\23\ping_collision_summary.csv</t>
  </si>
  <si>
    <t>D:\CBP_2026.07.21\i#3\full\full#0, 21_0, 19_result\d#100\v#10\24\ping_collision_summary.csv</t>
  </si>
  <si>
    <t>D:\CBP_2026.07.21\i#3\full\full#0, 21_0, 19_result\d#100\v#10\25\ping_collision_summary.csv</t>
  </si>
  <si>
    <t>D:\CBP_2026.07.21\i#3\full\full#0, 21_0, 19_result\d#100\v#10\26\ping_collision_summary.csv</t>
  </si>
  <si>
    <t>D:\CBP_2026.07.21\i#3\full\full#0, 21_0, 19_result\d#100\v#10\27\ping_collision_summary.csv</t>
  </si>
  <si>
    <t>D:\CBP_2026.07.21\i#3\full\full#0, 21_0, 19_result\d#100\v#10\28\ping_collision_summary.csv</t>
  </si>
  <si>
    <t>D:\CBP_2026.07.21\i#3\full\full#0, 21_0, 19_result\d#100\v#10\29\ping_collision_summary.csv</t>
  </si>
  <si>
    <t>D:\CBP_2026.07.21\i#3\full\full#0, 21_0, 19_result\d#100\v#10\2\ping_collision_summary.csv</t>
  </si>
  <si>
    <t>D:\CBP_2026.07.21\i#3\full\full#0, 21_0, 19_result\d#100\v#10\30\ping_collision_summary.csv</t>
  </si>
  <si>
    <t>D:\CBP_2026.07.21\i#3\full\full#0, 21_0, 19_result\d#100\v#10\3\ping_collision_summary.csv</t>
  </si>
  <si>
    <t>D:\CBP_2026.07.21\i#3\full\full#0, 21_0, 19_result\d#100\v#10\4\ping_collision_summary.csv</t>
  </si>
  <si>
    <t>D:\CBP_2026.07.21\i#3\full\full#0, 21_0, 19_result\d#100\v#10\5\ping_collision_summary.csv</t>
  </si>
  <si>
    <t>D:\CBP_2026.07.21\i#3\full\full#0, 21_0, 19_result\d#100\v#10\6\ping_collision_summary.csv</t>
  </si>
  <si>
    <t>D:\CBP_2026.07.21\i#3\full\full#0, 21_0, 19_result\d#100\v#10\7\ping_collision_summary.csv</t>
  </si>
  <si>
    <t>D:\CBP_2026.07.21\i#3\full\full#0, 21_0, 19_result\d#100\v#10\8\ping_collision_summary.csv</t>
  </si>
  <si>
    <t>D:\CBP_2026.07.21\i#3\full\full#0, 21_0, 19_result\d#100\v#10\9\ping_collision_summary.csv</t>
  </si>
  <si>
    <t>D:\CBP_2026.07.21\i#3\full\full#0, 21_0, 19_result\d#100\v#20\0\ping_collision_summary.csv</t>
  </si>
  <si>
    <t>D:\CBP_2026.07.21\i#3\full\full#0, 21_0, 19_result\d#100\v#20\10\ping_collision_summary.csv</t>
  </si>
  <si>
    <t>D:\CBP_2026.07.21\i#3\full\full#0, 21_0, 19_result\d#100\v#20\11\ping_collision_summary.csv</t>
  </si>
  <si>
    <t>D:\CBP_2026.07.21\i#3\full\full#0, 21_0, 19_result\d#100\v#20\12\ping_collision_summary.csv</t>
  </si>
  <si>
    <t>D:\CBP_2026.07.21\i#3\full\full#0, 21_0, 19_result\d#100\v#20\13\ping_collision_summary.csv</t>
  </si>
  <si>
    <t>D:\CBP_2026.07.21\i#3\full\full#0, 21_0, 19_result\d#100\v#20\14\ping_collision_summary.csv</t>
  </si>
  <si>
    <t>D:\CBP_2026.07.21\i#3\full\full#0, 21_0, 19_result\d#100\v#20\15\ping_collision_summary.csv</t>
  </si>
  <si>
    <t>D:\CBP_2026.07.21\i#3\full\full#0, 21_0, 19_result\d#100\v#20\16\ping_collision_summary.csv</t>
  </si>
  <si>
    <t>D:\CBP_2026.07.21\i#3\full\full#0, 21_0, 19_result\d#100\v#20\17\ping_collision_summary.csv</t>
  </si>
  <si>
    <t>D:\CBP_2026.07.21\i#3\full\full#0, 21_0, 19_result\d#100\v#20\18\ping_collision_summary.csv</t>
  </si>
  <si>
    <t>D:\CBP_2026.07.21\i#3\full\full#0, 21_0, 19_result\d#100\v#20\19\ping_collision_summary.csv</t>
  </si>
  <si>
    <t>D:\CBP_2026.07.21\i#3\full\full#0, 21_0, 19_result\d#100\v#20\1\ping_collision_summary.csv</t>
  </si>
  <si>
    <t>D:\CBP_2026.07.21\i#3\full\full#0, 21_0, 19_result\d#100\v#20\20\ping_collision_summary.csv</t>
  </si>
  <si>
    <t>D:\CBP_2026.07.21\i#3\full\full#0, 21_0, 19_result\d#100\v#20\21\ping_collision_summary.csv</t>
  </si>
  <si>
    <t>D:\CBP_2026.07.21\i#3\full\full#0, 21_0, 19_result\d#100\v#20\22\ping_collision_summary.csv</t>
  </si>
  <si>
    <t>D:\CBP_2026.07.21\i#3\full\full#0, 21_0, 19_result\d#100\v#20\23\ping_collision_summary.csv</t>
  </si>
  <si>
    <t>D:\CBP_2026.07.21\i#3\full\full#0, 21_0, 19_result\d#100\v#20\24\ping_collision_summary.csv</t>
  </si>
  <si>
    <t>D:\CBP_2026.07.21\i#3\full\full#0, 21_0, 19_result\d#100\v#20\25\ping_collision_summary.csv</t>
  </si>
  <si>
    <t>D:\CBP_2026.07.21\i#3\full\full#0, 21_0, 19_result\d#100\v#20\26\ping_collision_summary.csv</t>
  </si>
  <si>
    <t>D:\CBP_2026.07.21\i#3\full\full#0, 21_0, 19_result\d#100\v#20\27\ping_collision_summary.csv</t>
  </si>
  <si>
    <t>D:\CBP_2026.07.21\i#3\full\full#0, 21_0, 19_result\d#100\v#20\28\ping_collision_summary.csv</t>
  </si>
  <si>
    <t>D:\CBP_2026.07.21\i#3\full\full#0, 21_0, 19_result\d#100\v#20\29\ping_collision_summary.csv</t>
  </si>
  <si>
    <t>D:\CBP_2026.07.21\i#3\full\full#0, 21_0, 19_result\d#100\v#20\2\ping_collision_summary.csv</t>
  </si>
  <si>
    <t>D:\CBP_2026.07.21\i#3\full\full#0, 21_0, 19_result\d#100\v#20\30\ping_collision_summary.csv</t>
  </si>
  <si>
    <t>D:\CBP_2026.07.21\i#3\full\full#0, 21_0, 19_result\d#100\v#20\3\ping_collision_summary.csv</t>
  </si>
  <si>
    <t>D:\CBP_2026.07.21\i#3\full\full#0, 21_0, 19_result\d#100\v#20\4\ping_collision_summary.csv</t>
  </si>
  <si>
    <t>D:\CBP_2026.07.21\i#3\full\full#0, 21_0, 19_result\d#100\v#20\5\ping_collision_summary.csv</t>
  </si>
  <si>
    <t>D:\CBP_2026.07.21\i#3\full\full#0, 21_0, 19_result\d#100\v#20\6\ping_collision_summary.csv</t>
  </si>
  <si>
    <t>D:\CBP_2026.07.21\i#3\full\full#0, 21_0, 19_result\d#100\v#20\7\ping_collision_summary.csv</t>
  </si>
  <si>
    <t>D:\CBP_2026.07.21\i#3\full\full#0, 21_0, 19_result\d#100\v#20\8\ping_collision_summary.csv</t>
  </si>
  <si>
    <t>D:\CBP_2026.07.21\i#3\full\full#0, 21_0, 19_result\d#100\v#20\9\ping_collision_summary.csv</t>
  </si>
  <si>
    <t>D:\CBP_2026.07.21\i#3\full\full#0, 21_0, 19_result\d#100\v#30\0\ping_collision_summary.csv</t>
  </si>
  <si>
    <t>D:\CBP_2026.07.21\i#3\full\full#0, 21_0, 19_result\d#100\v#30\10\ping_collision_summary.csv</t>
  </si>
  <si>
    <t>D:\CBP_2026.07.21\i#3\full\full#0, 21_0, 19_result\d#100\v#30\11\ping_collision_summary.csv</t>
  </si>
  <si>
    <t>D:\CBP_2026.07.21\i#3\full\full#0, 21_0, 19_result\d#100\v#30\12\ping_collision_summary.csv</t>
  </si>
  <si>
    <t>D:\CBP_2026.07.21\i#3\full\full#0, 21_0, 19_result\d#100\v#30\13\ping_collision_summary.csv</t>
  </si>
  <si>
    <t>D:\CBP_2026.07.21\i#3\full\full#0, 21_0, 19_result\d#100\v#30\14\ping_collision_summary.csv</t>
  </si>
  <si>
    <t>D:\CBP_2026.07.21\i#3\full\full#0, 21_0, 19_result\d#100\v#30\15\ping_collision_summary.csv</t>
  </si>
  <si>
    <t>D:\CBP_2026.07.21\i#3\full\full#0, 21_0, 19_result\d#100\v#30\16\ping_collision_summary.csv</t>
  </si>
  <si>
    <t>D:\CBP_2026.07.21\i#3\full\full#0, 21_0, 19_result\d#100\v#30\17\ping_collision_summary.csv</t>
  </si>
  <si>
    <t>D:\CBP_2026.07.21\i#3\full\full#0, 21_0, 19_result\d#100\v#30\18\ping_collision_summary.csv</t>
  </si>
  <si>
    <t>D:\CBP_2026.07.21\i#3\full\full#0, 21_0, 19_result\d#100\v#30\19\ping_collision_summary.csv</t>
  </si>
  <si>
    <t>D:\CBP_2026.07.21\i#3\full\full#0, 21_0, 19_result\d#100\v#30\1\ping_collision_summary.csv</t>
  </si>
  <si>
    <t>D:\CBP_2026.07.21\i#3\full\full#0, 21_0, 19_result\d#100\v#30\20\ping_collision_summary.csv</t>
  </si>
  <si>
    <t>D:\CBP_2026.07.21\i#3\full\full#0, 21_0, 19_result\d#100\v#30\21\ping_collision_summary.csv</t>
  </si>
  <si>
    <t>D:\CBP_2026.07.21\i#3\full\full#0, 21_0, 19_result\d#100\v#30\22\ping_collision_summary.csv</t>
  </si>
  <si>
    <t>D:\CBP_2026.07.21\i#3\full\full#0, 21_0, 19_result\d#100\v#30\23\ping_collision_summary.csv</t>
  </si>
  <si>
    <t>D:\CBP_2026.07.21\i#3\full\full#0, 21_0, 19_result\d#100\v#30\24\ping_collision_summary.csv</t>
  </si>
  <si>
    <t>D:\CBP_2026.07.21\i#3\full\full#0, 21_0, 19_result\d#100\v#30\25\ping_collision_summary.csv</t>
  </si>
  <si>
    <t>D:\CBP_2026.07.21\i#3\full\full#0, 21_0, 19_result\d#100\v#30\26\ping_collision_summary.csv</t>
  </si>
  <si>
    <t>D:\CBP_2026.07.21\i#3\full\full#0, 21_0, 19_result\d#100\v#30\27\ping_collision_summary.csv</t>
  </si>
  <si>
    <t>D:\CBP_2026.07.21\i#3\full\full#0, 21_0, 19_result\d#100\v#30\28\ping_collision_summary.csv</t>
  </si>
  <si>
    <t>D:\CBP_2026.07.21\i#3\full\full#0, 21_0, 19_result\d#100\v#30\29\ping_collision_summary.csv</t>
  </si>
  <si>
    <t>D:\CBP_2026.07.21\i#3\full\full#0, 21_0, 19_result\d#100\v#30\2\ping_collision_summary.csv</t>
  </si>
  <si>
    <t>D:\CBP_2026.07.21\i#3\full\full#0, 21_0, 19_result\d#100\v#30\30\ping_collision_summary.csv</t>
  </si>
  <si>
    <t>D:\CBP_2026.07.21\i#3\full\full#0, 21_0, 19_result\d#100\v#30\3\ping_collision_summary.csv</t>
  </si>
  <si>
    <t>D:\CBP_2026.07.21\i#3\full\full#0, 21_0, 19_result\d#100\v#30\4\ping_collision_summary.csv</t>
  </si>
  <si>
    <t>D:\CBP_2026.07.21\i#3\full\full#0, 21_0, 19_result\d#100\v#30\5\ping_collision_summary.csv</t>
  </si>
  <si>
    <t>D:\CBP_2026.07.21\i#3\full\full#0, 21_0, 19_result\d#100\v#30\6\ping_collision_summary.csv</t>
  </si>
  <si>
    <t>D:\CBP_2026.07.21\i#3\full\full#0, 21_0, 19_result\d#100\v#30\7\ping_collision_summary.csv</t>
  </si>
  <si>
    <t>D:\CBP_2026.07.21\i#3\full\full#0, 21_0, 19_result\d#100\v#30\8\ping_collision_summary.csv</t>
  </si>
  <si>
    <t>D:\CBP_2026.07.21\i#3\full\full#0, 21_0, 19_result\d#100\v#30\9\ping_collision_summary.csv</t>
  </si>
  <si>
    <t>D:\CBP_2026.07.21\i#3\full\full#0, 21_0, 19_result\d#120\v#10\0\ping_collision_summary.csv</t>
  </si>
  <si>
    <t>D:\CBP_2026.07.21\i#3\full\full#0, 21_0, 19_result\d#120\v#10\10\ping_collision_summary.csv</t>
  </si>
  <si>
    <t>D:\CBP_2026.07.21\i#3\full\full#0, 21_0, 19_result\d#120\v#10\11\ping_collision_summary.csv</t>
  </si>
  <si>
    <t>D:\CBP_2026.07.21\i#3\full\full#0, 21_0, 19_result\d#120\v#10\12\ping_collision_summary.csv</t>
  </si>
  <si>
    <t>D:\CBP_2026.07.21\i#3\full\full#0, 21_0, 19_result\d#120\v#10\13\ping_collision_summary.csv</t>
  </si>
  <si>
    <t>D:\CBP_2026.07.21\i#3\full\full#0, 21_0, 19_result\d#120\v#10\14\ping_collision_summary.csv</t>
  </si>
  <si>
    <t>D:\CBP_2026.07.21\i#3\full\full#0, 21_0, 19_result\d#120\v#10\15\ping_collision_summary.csv</t>
  </si>
  <si>
    <t>D:\CBP_2026.07.21\i#3\full\full#0, 21_0, 19_result\d#120\v#10\16\ping_collision_summary.csv</t>
  </si>
  <si>
    <t>D:\CBP_2026.07.21\i#3\full\full#0, 21_0, 19_result\d#120\v#10\17\ping_collision_summary.csv</t>
  </si>
  <si>
    <t>D:\CBP_2026.07.21\i#3\full\full#0, 21_0, 19_result\d#120\v#10\18\ping_collision_summary.csv</t>
  </si>
  <si>
    <t>D:\CBP_2026.07.21\i#3\full\full#0, 21_0, 19_result\d#120\v#10\19\ping_collision_summary.csv</t>
  </si>
  <si>
    <t>D:\CBP_2026.07.21\i#3\full\full#0, 21_0, 19_result\d#120\v#10\1\ping_collision_summary.csv</t>
  </si>
  <si>
    <t>D:\CBP_2026.07.21\i#3\full\full#0, 21_0, 19_result\d#120\v#10\20\ping_collision_summary.csv</t>
  </si>
  <si>
    <t>D:\CBP_2026.07.21\i#3\full\full#0, 21_0, 19_result\d#120\v#10\21\ping_collision_summary.csv</t>
  </si>
  <si>
    <t>D:\CBP_2026.07.21\i#3\full\full#0, 21_0, 19_result\d#120\v#10\22\ping_collision_summary.csv</t>
  </si>
  <si>
    <t>D:\CBP_2026.07.21\i#3\full\full#0, 21_0, 19_result\d#120\v#10\23\ping_collision_summary.csv</t>
  </si>
  <si>
    <t>D:\CBP_2026.07.21\i#3\full\full#0, 21_0, 19_result\d#120\v#10\24\ping_collision_summary.csv</t>
  </si>
  <si>
    <t>D:\CBP_2026.07.21\i#3\full\full#0, 21_0, 19_result\d#120\v#10\25\ping_collision_summary.csv</t>
  </si>
  <si>
    <t>D:\CBP_2026.07.21\i#3\full\full#0, 21_0, 19_result\d#120\v#10\26\ping_collision_summary.csv</t>
  </si>
  <si>
    <t>D:\CBP_2026.07.21\i#3\full\full#0, 21_0, 19_result\d#120\v#10\27\ping_collision_summary.csv</t>
  </si>
  <si>
    <t>D:\CBP_2026.07.21\i#3\full\full#0, 21_0, 19_result\d#120\v#10\28\ping_collision_summary.csv</t>
  </si>
  <si>
    <t>D:\CBP_2026.07.21\i#3\full\full#0, 21_0, 19_result\d#120\v#10\29\ping_collision_summary.csv</t>
  </si>
  <si>
    <t>D:\CBP_2026.07.21\i#3\full\full#0, 21_0, 19_result\d#120\v#10\2\ping_collision_summary.csv</t>
  </si>
  <si>
    <t>D:\CBP_2026.07.21\i#3\full\full#0, 21_0, 19_result\d#120\v#10\30\ping_collision_summary.csv</t>
  </si>
  <si>
    <t>D:\CBP_2026.07.21\i#3\full\full#0, 21_0, 19_result\d#120\v#10\3\ping_collision_summary.csv</t>
  </si>
  <si>
    <t>D:\CBP_2026.07.21\i#3\full\full#0, 21_0, 19_result\d#120\v#10\4\ping_collision_summary.csv</t>
  </si>
  <si>
    <t>D:\CBP_2026.07.21\i#3\full\full#0, 21_0, 19_result\d#120\v#10\5\ping_collision_summary.csv</t>
  </si>
  <si>
    <t>D:\CBP_2026.07.21\i#3\full\full#0, 21_0, 19_result\d#120\v#10\6\ping_collision_summary.csv</t>
  </si>
  <si>
    <t>D:\CBP_2026.07.21\i#3\full\full#0, 21_0, 19_result\d#120\v#10\7\ping_collision_summary.csv</t>
  </si>
  <si>
    <t>D:\CBP_2026.07.21\i#3\full\full#0, 21_0, 19_result\d#120\v#10\8\ping_collision_summary.csv</t>
  </si>
  <si>
    <t>D:\CBP_2026.07.21\i#3\full\full#0, 21_0, 19_result\d#120\v#10\9\ping_collision_summary.csv</t>
  </si>
  <si>
    <t>D:\CBP_2026.07.21\i#3\full\full#0, 21_0, 19_result\d#120\v#20\0\ping_collision_summary.csv</t>
  </si>
  <si>
    <t>D:\CBP_2026.07.21\i#3\full\full#0, 21_0, 19_result\d#120\v#20\10\ping_collision_summary.csv</t>
  </si>
  <si>
    <t>D:\CBP_2026.07.21\i#3\full\full#0, 21_0, 19_result\d#120\v#20\11\ping_collision_summary.csv</t>
  </si>
  <si>
    <t>D:\CBP_2026.07.21\i#3\full\full#0, 21_0, 19_result\d#120\v#20\12\ping_collision_summary.csv</t>
  </si>
  <si>
    <t>D:\CBP_2026.07.21\i#3\full\full#0, 21_0, 19_result\d#120\v#20\13\ping_collision_summary.csv</t>
  </si>
  <si>
    <t>D:\CBP_2026.07.21\i#3\full\full#0, 21_0, 19_result\d#120\v#20\14\ping_collision_summary.csv</t>
  </si>
  <si>
    <t>D:\CBP_2026.07.21\i#3\full\full#0, 21_0, 19_result\d#120\v#20\15\ping_collision_summary.csv</t>
  </si>
  <si>
    <t>D:\CBP_2026.07.21\i#3\full\full#0, 21_0, 19_result\d#120\v#20\16\ping_collision_summary.csv</t>
  </si>
  <si>
    <t>D:\CBP_2026.07.21\i#3\full\full#0, 21_0, 19_result\d#120\v#20\17\ping_collision_summary.csv</t>
  </si>
  <si>
    <t>D:\CBP_2026.07.21\i#3\full\full#0, 21_0, 19_result\d#120\v#20\18\ping_collision_summary.csv</t>
  </si>
  <si>
    <t>D:\CBP_2026.07.21\i#3\full\full#0, 21_0, 19_result\d#120\v#20\19\ping_collision_summary.csv</t>
  </si>
  <si>
    <t>D:\CBP_2026.07.21\i#3\full\full#0, 21_0, 19_result\d#120\v#20\1\ping_collision_summary.csv</t>
  </si>
  <si>
    <t>D:\CBP_2026.07.21\i#3\full\full#0, 21_0, 19_result\d#120\v#20\20\ping_collision_summary.csv</t>
  </si>
  <si>
    <t>D:\CBP_2026.07.21\i#3\full\full#0, 21_0, 19_result\d#120\v#20\21\ping_collision_summary.csv</t>
  </si>
  <si>
    <t>D:\CBP_2026.07.21\i#3\full\full#0, 21_0, 19_result\d#120\v#20\22\ping_collision_summary.csv</t>
  </si>
  <si>
    <t>D:\CBP_2026.07.21\i#3\full\full#0, 21_0, 19_result\d#120\v#20\23\ping_collision_summary.csv</t>
  </si>
  <si>
    <t>D:\CBP_2026.07.21\i#3\full\full#0, 21_0, 19_result\d#120\v#20\24\ping_collision_summary.csv</t>
  </si>
  <si>
    <t>D:\CBP_2026.07.21\i#3\full\full#0, 21_0, 19_result\d#120\v#20\25\ping_collision_summary.csv</t>
  </si>
  <si>
    <t>D:\CBP_2026.07.21\i#3\full\full#0, 21_0, 19_result\d#120\v#20\26\ping_collision_summary.csv</t>
  </si>
  <si>
    <t>D:\CBP_2026.07.21\i#3\full\full#0, 21_0, 19_result\d#120\v#20\27\ping_collision_summary.csv</t>
  </si>
  <si>
    <t>D:\CBP_2026.07.21\i#3\full\full#0, 21_0, 19_result\d#120\v#20\28\ping_collision_summary.csv</t>
  </si>
  <si>
    <t>D:\CBP_2026.07.21\i#3\full\full#0, 21_0, 19_result\d#120\v#20\29\ping_collision_summary.csv</t>
  </si>
  <si>
    <t>D:\CBP_2026.07.21\i#3\full\full#0, 21_0, 19_result\d#120\v#20\2\ping_collision_summary.csv</t>
  </si>
  <si>
    <t>D:\CBP_2026.07.21\i#3\full\full#0, 21_0, 19_result\d#120\v#20\30\ping_collision_summary.csv</t>
  </si>
  <si>
    <t>D:\CBP_2026.07.21\i#3\full\full#0, 21_0, 19_result\d#120\v#20\3\ping_collision_summary.csv</t>
  </si>
  <si>
    <t>D:\CBP_2026.07.21\i#3\full\full#0, 21_0, 19_result\d#120\v#20\4\ping_collision_summary.csv</t>
  </si>
  <si>
    <t>D:\CBP_2026.07.21\i#3\full\full#0, 21_0, 19_result\d#120\v#20\5\ping_collision_summary.csv</t>
  </si>
  <si>
    <t>D:\CBP_2026.07.21\i#3\full\full#0, 21_0, 19_result\d#120\v#20\6\ping_collision_summary.csv</t>
  </si>
  <si>
    <t>D:\CBP_2026.07.21\i#3\full\full#0, 21_0, 19_result\d#120\v#20\7\ping_collision_summary.csv</t>
  </si>
  <si>
    <t>D:\CBP_2026.07.21\i#3\full\full#0, 21_0, 19_result\d#120\v#20\8\ping_collision_summary.csv</t>
  </si>
  <si>
    <t>D:\CBP_2026.07.21\i#3\full\full#0, 21_0, 19_result\d#120\v#20\9\ping_collision_summary.csv</t>
  </si>
  <si>
    <t>D:\CBP_2026.07.21\i#3\full\full#0, 21_0, 19_result\d#120\v#30\0\ping_collision_summary.csv</t>
  </si>
  <si>
    <t>D:\CBP_2026.07.21\i#3\full\full#0, 21_0, 19_result\d#120\v#30\10\ping_collision_summary.csv</t>
  </si>
  <si>
    <t>D:\CBP_2026.07.21\i#3\full\full#0, 21_0, 19_result\d#120\v#30\11\ping_collision_summary.csv</t>
  </si>
  <si>
    <t>D:\CBP_2026.07.21\i#3\full\full#0, 21_0, 19_result\d#120\v#30\12\ping_collision_summary.csv</t>
  </si>
  <si>
    <t>D:\CBP_2026.07.21\i#3\full\full#0, 21_0, 19_result\d#120\v#30\13\ping_collision_summary.csv</t>
  </si>
  <si>
    <t>D:\CBP_2026.07.21\i#3\full\full#0, 21_0, 19_result\d#120\v#30\14\ping_collision_summary.csv</t>
  </si>
  <si>
    <t>D:\CBP_2026.07.21\i#3\full\full#0, 21_0, 19_result\d#120\v#30\15\ping_collision_summary.csv</t>
  </si>
  <si>
    <t>D:\CBP_2026.07.21\i#3\full\full#0, 21_0, 19_result\d#120\v#30\16\ping_collision_summary.csv</t>
  </si>
  <si>
    <t>D:\CBP_2026.07.21\i#3\full\full#0, 21_0, 19_result\d#120\v#30\17\ping_collision_summary.csv</t>
  </si>
  <si>
    <t>D:\CBP_2026.07.21\i#3\full\full#0, 21_0, 19_result\d#120\v#30\18\ping_collision_summary.csv</t>
  </si>
  <si>
    <t>D:\CBP_2026.07.21\i#3\full\full#0, 21_0, 19_result\d#120\v#30\19\ping_collision_summary.csv</t>
  </si>
  <si>
    <t>D:\CBP_2026.07.21\i#3\full\full#0, 21_0, 19_result\d#120\v#30\1\ping_collision_summary.csv</t>
  </si>
  <si>
    <t>D:\CBP_2026.07.21\i#3\full\full#0, 21_0, 19_result\d#120\v#30\20\ping_collision_summary.csv</t>
  </si>
  <si>
    <t>D:\CBP_2026.07.21\i#3\full\full#0, 21_0, 19_result\d#120\v#30\21\ping_collision_summary.csv</t>
  </si>
  <si>
    <t>D:\CBP_2026.07.21\i#3\full\full#0, 21_0, 19_result\d#120\v#30\22\ping_collision_summary.csv</t>
  </si>
  <si>
    <t>D:\CBP_2026.07.21\i#3\full\full#0, 21_0, 19_result\d#120\v#30\23\ping_collision_summary.csv</t>
  </si>
  <si>
    <t>D:\CBP_2026.07.21\i#3\full\full#0, 21_0, 19_result\d#120\v#30\24\ping_collision_summary.csv</t>
  </si>
  <si>
    <t>D:\CBP_2026.07.21\i#3\full\full#0, 21_0, 19_result\d#120\v#30\25\ping_collision_summary.csv</t>
  </si>
  <si>
    <t>D:\CBP_2026.07.21\i#3\full\full#0, 21_0, 19_result\d#120\v#30\26\ping_collision_summary.csv</t>
  </si>
  <si>
    <t>D:\CBP_2026.07.21\i#3\full\full#0, 21_0, 19_result\d#120\v#30\27\ping_collision_summary.csv</t>
  </si>
  <si>
    <t>D:\CBP_2026.07.21\i#3\full\full#0, 21_0, 19_result\d#120\v#30\28\ping_collision_summary.csv</t>
  </si>
  <si>
    <t>D:\CBP_2026.07.21\i#3\full\full#0, 21_0, 19_result\d#120\v#30\29\ping_collision_summary.csv</t>
  </si>
  <si>
    <t>D:\CBP_2026.07.21\i#3\full\full#0, 21_0, 19_result\d#120\v#30\2\ping_collision_summary.csv</t>
  </si>
  <si>
    <t>D:\CBP_2026.07.21\i#3\full\full#0, 21_0, 19_result\d#120\v#30\30\ping_collision_summary.csv</t>
  </si>
  <si>
    <t>D:\CBP_2026.07.21\i#3\full\full#0, 21_0, 19_result\d#120\v#30\3\ping_collision_summary.csv</t>
  </si>
  <si>
    <t>D:\CBP_2026.07.21\i#3\full\full#0, 21_0, 19_result\d#120\v#30\4\ping_collision_summary.csv</t>
  </si>
  <si>
    <t>D:\CBP_2026.07.21\i#3\full\full#0, 21_0, 19_result\d#120\v#30\5\ping_collision_summary.csv</t>
  </si>
  <si>
    <t>D:\CBP_2026.07.21\i#3\full\full#0, 21_0, 19_result\d#120\v#30\6\ping_collision_summary.csv</t>
  </si>
  <si>
    <t>D:\CBP_2026.07.21\i#3\full\full#0, 21_0, 19_result\d#120\v#30\7\ping_collision_summary.csv</t>
  </si>
  <si>
    <t>D:\CBP_2026.07.21\i#3\full\full#0, 21_0, 19_result\d#120\v#30\8\ping_collision_summary.csv</t>
  </si>
  <si>
    <t>D:\CBP_2026.07.21\i#3\full\full#0, 21_0, 19_result\d#120\v#30\9\ping_collision_summary.csv</t>
  </si>
  <si>
    <t>D:\CBP_2026.07.21\i#3\full\full#0, 21_0, 19_result\d#70\v#10\0\ping_collision_summary.csv</t>
  </si>
  <si>
    <t>D:\CBP_2026.07.21\i#3\full\full#0, 21_0, 19_result\d#70\v#10\10\ping_collision_summary.csv</t>
  </si>
  <si>
    <t>D:\CBP_2026.07.21\i#3\full\full#0, 21_0, 19_result\d#70\v#10\11\ping_collision_summary.csv</t>
  </si>
  <si>
    <t>D:\CBP_2026.07.21\i#3\full\full#0, 21_0, 19_result\d#70\v#10\12\ping_collision_summary.csv</t>
  </si>
  <si>
    <t>D:\CBP_2026.07.21\i#3\full\full#0, 21_0, 19_result\d#70\v#10\13\ping_collision_summary.csv</t>
  </si>
  <si>
    <t>D:\CBP_2026.07.21\i#3\full\full#0, 21_0, 19_result\d#70\v#10\14\ping_collision_summary.csv</t>
  </si>
  <si>
    <t>D:\CBP_2026.07.21\i#3\full\full#0, 21_0, 19_result\d#70\v#10\15\ping_collision_summary.csv</t>
  </si>
  <si>
    <t>D:\CBP_2026.07.21\i#3\full\full#0, 21_0, 19_result\d#70\v#10\16\ping_collision_summary.csv</t>
  </si>
  <si>
    <t>D:\CBP_2026.07.21\i#3\full\full#0, 21_0, 19_result\d#70\v#10\17\ping_collision_summary.csv</t>
  </si>
  <si>
    <t>D:\CBP_2026.07.21\i#3\full\full#0, 21_0, 19_result\d#70\v#10\18\ping_collision_summary.csv</t>
  </si>
  <si>
    <t>D:\CBP_2026.07.21\i#3\full\full#0, 21_0, 19_result\d#70\v#10\19\ping_collision_summary.csv</t>
  </si>
  <si>
    <t>D:\CBP_2026.07.21\i#3\full\full#0, 21_0, 19_result\d#70\v#10\1\ping_collision_summary.csv</t>
  </si>
  <si>
    <t>D:\CBP_2026.07.21\i#3\full\full#0, 21_0, 19_result\d#70\v#10\20\ping_collision_summary.csv</t>
  </si>
  <si>
    <t>D:\CBP_2026.07.21\i#3\full\full#0, 21_0, 19_result\d#70\v#10\21\ping_collision_summary.csv</t>
  </si>
  <si>
    <t>D:\CBP_2026.07.21\i#3\full\full#0, 21_0, 19_result\d#70\v#10\22\ping_collision_summary.csv</t>
  </si>
  <si>
    <t>D:\CBP_2026.07.21\i#3\full\full#0, 21_0, 19_result\d#70\v#10\23\ping_collision_summary.csv</t>
  </si>
  <si>
    <t>D:\CBP_2026.07.21\i#3\full\full#0, 21_0, 19_result\d#70\v#10\24\ping_collision_summary.csv</t>
  </si>
  <si>
    <t>D:\CBP_2026.07.21\i#3\full\full#0, 21_0, 19_result\d#70\v#10\25\ping_collision_summary.csv</t>
  </si>
  <si>
    <t>D:\CBP_2026.07.21\i#3\full\full#0, 21_0, 19_result\d#70\v#10\26\ping_collision_summary.csv</t>
  </si>
  <si>
    <t>D:\CBP_2026.07.21\i#3\full\full#0, 21_0, 19_result\d#70\v#10\27\ping_collision_summary.csv</t>
  </si>
  <si>
    <t>D:\CBP_2026.07.21\i#3\full\full#0, 21_0, 19_result\d#70\v#10\28\ping_collision_summary.csv</t>
  </si>
  <si>
    <t>D:\CBP_2026.07.21\i#3\full\full#0, 21_0, 19_result\d#70\v#10\29\ping_collision_summary.csv</t>
  </si>
  <si>
    <t>D:\CBP_2026.07.21\i#3\full\full#0, 21_0, 19_result\d#70\v#10\2\ping_collision_summary.csv</t>
  </si>
  <si>
    <t>D:\CBP_2026.07.21\i#3\full\full#0, 21_0, 19_result\d#70\v#10\30\ping_collision_summary.csv</t>
  </si>
  <si>
    <t>D:\CBP_2026.07.21\i#3\full\full#0, 21_0, 19_result\d#70\v#10\3\ping_collision_summary.csv</t>
  </si>
  <si>
    <t>D:\CBP_2026.07.21\i#3\full\full#0, 21_0, 19_result\d#70\v#10\4\ping_collision_summary.csv</t>
  </si>
  <si>
    <t>D:\CBP_2026.07.21\i#3\full\full#0, 21_0, 19_result\d#70\v#10\5\ping_collision_summary.csv</t>
  </si>
  <si>
    <t>D:\CBP_2026.07.21\i#3\full\full#0, 21_0, 19_result\d#70\v#10\6\ping_collision_summary.csv</t>
  </si>
  <si>
    <t>D:\CBP_2026.07.21\i#3\full\full#0, 21_0, 19_result\d#70\v#10\7\ping_collision_summary.csv</t>
  </si>
  <si>
    <t>D:\CBP_2026.07.21\i#3\full\full#0, 21_0, 19_result\d#70\v#10\8\ping_collision_summary.csv</t>
  </si>
  <si>
    <t>D:\CBP_2026.07.21\i#3\full\full#0, 21_0, 19_result\d#70\v#10\9\ping_collision_summary.csv</t>
  </si>
  <si>
    <t>D:\CBP_2026.07.21\i#3\full\full#0, 21_0, 19_result\d#70\v#20\0\ping_collision_summary.csv</t>
  </si>
  <si>
    <t>D:\CBP_2026.07.21\i#3\full\full#0, 21_0, 19_result\d#70\v#20\10\ping_collision_summary.csv</t>
  </si>
  <si>
    <t>D:\CBP_2026.07.21\i#3\full\full#0, 21_0, 19_result\d#70\v#20\11\ping_collision_summary.csv</t>
  </si>
  <si>
    <t>D:\CBP_2026.07.21\i#3\full\full#0, 21_0, 19_result\d#70\v#20\12\ping_collision_summary.csv</t>
  </si>
  <si>
    <t>D:\CBP_2026.07.21\i#3\full\full#0, 21_0, 19_result\d#70\v#20\13\ping_collision_summary.csv</t>
  </si>
  <si>
    <t>D:\CBP_2026.07.21\i#3\full\full#0, 21_0, 19_result\d#70\v#20\14\ping_collision_summary.csv</t>
  </si>
  <si>
    <t>D:\CBP_2026.07.21\i#3\full\full#0, 21_0, 19_result\d#70\v#20\15\ping_collision_summary.csv</t>
  </si>
  <si>
    <t>D:\CBP_2026.07.21\i#3\full\full#0, 21_0, 19_result\d#70\v#20\16\ping_collision_summary.csv</t>
  </si>
  <si>
    <t>D:\CBP_2026.07.21\i#3\full\full#0, 21_0, 19_result\d#70\v#20\17\ping_collision_summary.csv</t>
  </si>
  <si>
    <t>D:\CBP_2026.07.21\i#3\full\full#0, 21_0, 19_result\d#70\v#20\18\ping_collision_summary.csv</t>
  </si>
  <si>
    <t>D:\CBP_2026.07.21\i#3\full\full#0, 21_0, 19_result\d#70\v#20\19\ping_collision_summary.csv</t>
  </si>
  <si>
    <t>D:\CBP_2026.07.21\i#3\full\full#0, 21_0, 19_result\d#70\v#20\1\ping_collision_summary.csv</t>
  </si>
  <si>
    <t>D:\CBP_2026.07.21\i#3\full\full#0, 21_0, 19_result\d#70\v#20\20\ping_collision_summary.csv</t>
  </si>
  <si>
    <t>D:\CBP_2026.07.21\i#3\full\full#0, 21_0, 19_result\d#70\v#20\21\ping_collision_summary.csv</t>
  </si>
  <si>
    <t>D:\CBP_2026.07.21\i#3\full\full#0, 21_0, 19_result\d#70\v#20\22\ping_collision_summary.csv</t>
  </si>
  <si>
    <t>D:\CBP_2026.07.21\i#3\full\full#0, 21_0, 19_result\d#70\v#20\23\ping_collision_summary.csv</t>
  </si>
  <si>
    <t>D:\CBP_2026.07.21\i#3\full\full#0, 21_0, 19_result\d#70\v#20\24\ping_collision_summary.csv</t>
  </si>
  <si>
    <t>D:\CBP_2026.07.21\i#3\full\full#0, 21_0, 19_result\d#70\v#20\25\ping_collision_summary.csv</t>
  </si>
  <si>
    <t>D:\CBP_2026.07.21\i#3\full\full#0, 21_0, 19_result\d#70\v#20\26\ping_collision_summary.csv</t>
  </si>
  <si>
    <t>D:\CBP_2026.07.21\i#3\full\full#0, 21_0, 19_result\d#70\v#20\27\ping_collision_summary.csv</t>
  </si>
  <si>
    <t>D:\CBP_2026.07.21\i#3\full\full#0, 21_0, 19_result\d#70\v#20\28\ping_collision_summary.csv</t>
  </si>
  <si>
    <t>D:\CBP_2026.07.21\i#3\full\full#0, 21_0, 19_result\d#70\v#20\29\ping_collision_summary.csv</t>
  </si>
  <si>
    <t>D:\CBP_2026.07.21\i#3\full\full#0, 21_0, 19_result\d#70\v#20\2\ping_collision_summary.csv</t>
  </si>
  <si>
    <t>D:\CBP_2026.07.21\i#3\full\full#0, 21_0, 19_result\d#70\v#20\30\ping_collision_summary.csv</t>
  </si>
  <si>
    <t>D:\CBP_2026.07.21\i#3\full\full#0, 21_0, 19_result\d#70\v#20\3\ping_collision_summary.csv</t>
  </si>
  <si>
    <t>D:\CBP_2026.07.21\i#3\full\full#0, 21_0, 19_result\d#70\v#20\4\ping_collision_summary.csv</t>
  </si>
  <si>
    <t>D:\CBP_2026.07.21\i#3\full\full#0, 21_0, 19_result\d#70\v#20\5\ping_collision_summary.csv</t>
  </si>
  <si>
    <t>D:\CBP_2026.07.21\i#3\full\full#0, 21_0, 19_result\d#70\v#20\6\ping_collision_summary.csv</t>
  </si>
  <si>
    <t>D:\CBP_2026.07.21\i#3\full\full#0, 21_0, 19_result\d#70\v#20\7\ping_collision_summary.csv</t>
  </si>
  <si>
    <t>D:\CBP_2026.07.21\i#3\full\full#0, 21_0, 19_result\d#70\v#20\8\ping_collision_summary.csv</t>
  </si>
  <si>
    <t>D:\CBP_2026.07.21\i#3\full\full#0, 21_0, 19_result\d#70\v#20\9\ping_collision_summary.csv</t>
  </si>
  <si>
    <t>D:\CBP_2026.07.21\i#3\full\full#0, 21_0, 19_result\d#70\v#30\0\ping_collision_summary.csv</t>
  </si>
  <si>
    <t>D:\CBP_2026.07.21\i#3\full\full#0, 21_0, 19_result\d#70\v#30\10\ping_collision_summary.csv</t>
  </si>
  <si>
    <t>D:\CBP_2026.07.21\i#3\full\full#0, 21_0, 19_result\d#70\v#30\11\ping_collision_summary.csv</t>
  </si>
  <si>
    <t>D:\CBP_2026.07.21\i#3\full\full#0, 21_0, 19_result\d#70\v#30\12\ping_collision_summary.csv</t>
  </si>
  <si>
    <t>D:\CBP_2026.07.21\i#3\full\full#0, 21_0, 19_result\d#70\v#30\13\ping_collision_summary.csv</t>
  </si>
  <si>
    <t>D:\CBP_2026.07.21\i#3\full\full#0, 21_0, 19_result\d#70\v#30\14\ping_collision_summary.csv</t>
  </si>
  <si>
    <t>D:\CBP_2026.07.21\i#3\full\full#0, 21_0, 19_result\d#70\v#30\15\ping_collision_summary.csv</t>
  </si>
  <si>
    <t>D:\CBP_2026.07.21\i#3\full\full#0, 21_0, 19_result\d#70\v#30\16\ping_collision_summary.csv</t>
  </si>
  <si>
    <t>D:\CBP_2026.07.21\i#3\full\full#0, 21_0, 19_result\d#70\v#30\17\ping_collision_summary.csv</t>
  </si>
  <si>
    <t>D:\CBP_2026.07.21\i#3\full\full#0, 21_0, 19_result\d#70\v#30\18\ping_collision_summary.csv</t>
  </si>
  <si>
    <t>D:\CBP_2026.07.21\i#3\full\full#0, 21_0, 19_result\d#70\v#30\19\ping_collision_summary.csv</t>
  </si>
  <si>
    <t>D:\CBP_2026.07.21\i#3\full\full#0, 21_0, 19_result\d#70\v#30\1\ping_collision_summary.csv</t>
  </si>
  <si>
    <t>D:\CBP_2026.07.21\i#3\full\full#0, 21_0, 19_result\d#70\v#30\20\ping_collision_summary.csv</t>
  </si>
  <si>
    <t>D:\CBP_2026.07.21\i#3\full\full#0, 21_0, 19_result\d#70\v#30\21\ping_collision_summary.csv</t>
  </si>
  <si>
    <t>D:\CBP_2026.07.21\i#3\full\full#0, 21_0, 19_result\d#70\v#30\22\ping_collision_summary.csv</t>
  </si>
  <si>
    <t>D:\CBP_2026.07.21\i#3\full\full#0, 21_0, 19_result\d#70\v#30\23\ping_collision_summary.csv</t>
  </si>
  <si>
    <t>D:\CBP_2026.07.21\i#3\full\full#0, 21_0, 19_result\d#70\v#30\24\ping_collision_summary.csv</t>
  </si>
  <si>
    <t>D:\CBP_2026.07.21\i#3\full\full#0, 21_0, 19_result\d#70\v#30\25\ping_collision_summary.csv</t>
  </si>
  <si>
    <t>D:\CBP_2026.07.21\i#3\full\full#0, 21_0, 19_result\d#70\v#30\26\ping_collision_summary.csv</t>
  </si>
  <si>
    <t>D:\CBP_2026.07.21\i#3\full\full#0, 21_0, 19_result\d#70\v#30\27\ping_collision_summary.csv</t>
  </si>
  <si>
    <t>D:\CBP_2026.07.21\i#3\full\full#0, 21_0, 19_result\d#70\v#30\28\ping_collision_summary.csv</t>
  </si>
  <si>
    <t>D:\CBP_2026.07.21\i#3\full\full#0, 21_0, 19_result\d#70\v#30\29\ping_collision_summary.csv</t>
  </si>
  <si>
    <t>D:\CBP_2026.07.21\i#3\full\full#0, 21_0, 19_result\d#70\v#30\2\ping_collision_summary.csv</t>
  </si>
  <si>
    <t>D:\CBP_2026.07.21\i#3\full\full#0, 21_0, 19_result\d#70\v#30\30\ping_collision_summary.csv</t>
  </si>
  <si>
    <t>D:\CBP_2026.07.21\i#3\full\full#0, 21_0, 19_result\d#70\v#30\3\ping_collision_summary.csv</t>
  </si>
  <si>
    <t>D:\CBP_2026.07.21\i#3\full\full#0, 21_0, 19_result\d#70\v#30\4\ping_collision_summary.csv</t>
  </si>
  <si>
    <t>D:\CBP_2026.07.21\i#3\full\full#0, 21_0, 19_result\d#70\v#30\5\ping_collision_summary.csv</t>
  </si>
  <si>
    <t>D:\CBP_2026.07.21\i#3\full\full#0, 21_0, 19_result\d#70\v#30\6\ping_collision_summary.csv</t>
  </si>
  <si>
    <t>D:\CBP_2026.07.21\i#3\full\full#0, 21_0, 19_result\d#70\v#30\7\ping_collision_summary.csv</t>
  </si>
  <si>
    <t>D:\CBP_2026.07.21\i#3\full\full#0, 21_0, 19_result\d#70\v#30\8\ping_collision_summary.csv</t>
  </si>
  <si>
    <t>D:\CBP_2026.07.21\i#3\full\full#0, 21_0, 19_result\d#70\v#30\9\ping_collision_summary.csv</t>
  </si>
  <si>
    <t>D:\CBP_2026.07.21\i#3\full\full#21, 33_19, 32_result\d#100\v#10\0\ping_collision_summary.csv</t>
  </si>
  <si>
    <t>D:\CBP_2026.07.21\i#3\full\full#21, 33_19, 32_result\d#100\v#10\10\ping_collision_summary.csv</t>
  </si>
  <si>
    <t>D:\CBP_2026.07.21\i#3\full\full#21, 33_19, 32_result\d#100\v#10\11\ping_collision_summary.csv</t>
  </si>
  <si>
    <t>D:\CBP_2026.07.21\i#3\full\full#21, 33_19, 32_result\d#100\v#10\12\ping_collision_summary.csv</t>
  </si>
  <si>
    <t>D:\CBP_2026.07.21\i#3\full\full#21, 33_19, 32_result\d#100\v#10\13\ping_collision_summary.csv</t>
  </si>
  <si>
    <t>D:\CBP_2026.07.21\i#3\full\full#21, 33_19, 32_result\d#100\v#10\14\ping_collision_summary.csv</t>
  </si>
  <si>
    <t>D:\CBP_2026.07.21\i#3\full\full#21, 33_19, 32_result\d#100\v#10\15\ping_collision_summary.csv</t>
  </si>
  <si>
    <t>D:\CBP_2026.07.21\i#3\full\full#21, 33_19, 32_result\d#100\v#10\16\ping_collision_summary.csv</t>
  </si>
  <si>
    <t>D:\CBP_2026.07.21\i#3\full\full#21, 33_19, 32_result\d#100\v#10\17\ping_collision_summary.csv</t>
  </si>
  <si>
    <t>D:\CBP_2026.07.21\i#3\full\full#21, 33_19, 32_result\d#100\v#10\18\ping_collision_summary.csv</t>
  </si>
  <si>
    <t>D:\CBP_2026.07.21\i#3\full\full#21, 33_19, 32_result\d#100\v#10\19\ping_collision_summary.csv</t>
  </si>
  <si>
    <t>D:\CBP_2026.07.21\i#3\full\full#21, 33_19, 32_result\d#100\v#10\1\ping_collision_summary.csv</t>
  </si>
  <si>
    <t>D:\CBP_2026.07.21\i#3\full\full#21, 33_19, 32_result\d#100\v#10\20\ping_collision_summary.csv</t>
  </si>
  <si>
    <t>D:\CBP_2026.07.21\i#3\full\full#21, 33_19, 32_result\d#100\v#10\21\ping_collision_summary.csv</t>
  </si>
  <si>
    <t>D:\CBP_2026.07.21\i#3\full\full#21, 33_19, 32_result\d#100\v#10\22\ping_collision_summary.csv</t>
  </si>
  <si>
    <t>D:\CBP_2026.07.21\i#3\full\full#21, 33_19, 32_result\d#100\v#10\23\ping_collision_summary.csv</t>
  </si>
  <si>
    <t>D:\CBP_2026.07.21\i#3\full\full#21, 33_19, 32_result\d#100\v#10\24\ping_collision_summary.csv</t>
  </si>
  <si>
    <t>D:\CBP_2026.07.21\i#3\full\full#21, 33_19, 32_result\d#100\v#10\25\ping_collision_summary.csv</t>
  </si>
  <si>
    <t>D:\CBP_2026.07.21\i#3\full\full#21, 33_19, 32_result\d#100\v#10\26\ping_collision_summary.csv</t>
  </si>
  <si>
    <t>D:\CBP_2026.07.21\i#3\full\full#21, 33_19, 32_result\d#100\v#10\27\ping_collision_summary.csv</t>
  </si>
  <si>
    <t>D:\CBP_2026.07.21\i#3\full\full#21, 33_19, 32_result\d#100\v#10\28\ping_collision_summary.csv</t>
  </si>
  <si>
    <t>D:\CBP_2026.07.21\i#3\full\full#21, 33_19, 32_result\d#100\v#10\29\ping_collision_summary.csv</t>
  </si>
  <si>
    <t>D:\CBP_2026.07.21\i#3\full\full#21, 33_19, 32_result\d#100\v#10\2\ping_collision_summary.csv</t>
  </si>
  <si>
    <t>D:\CBP_2026.07.21\i#3\full\full#21, 33_19, 32_result\d#100\v#10\30\ping_collision_summary.csv</t>
  </si>
  <si>
    <t>D:\CBP_2026.07.21\i#3\full\full#21, 33_19, 32_result\d#100\v#10\3\ping_collision_summary.csv</t>
  </si>
  <si>
    <t>D:\CBP_2026.07.21\i#3\full\full#21, 33_19, 32_result\d#100\v#10\4\ping_collision_summary.csv</t>
  </si>
  <si>
    <t>D:\CBP_2026.07.21\i#3\full\full#21, 33_19, 32_result\d#100\v#10\5\ping_collision_summary.csv</t>
  </si>
  <si>
    <t>D:\CBP_2026.07.21\i#3\full\full#21, 33_19, 32_result\d#100\v#10\6\ping_collision_summary.csv</t>
  </si>
  <si>
    <t>D:\CBP_2026.07.21\i#3\full\full#21, 33_19, 32_result\d#100\v#10\7\ping_collision_summary.csv</t>
  </si>
  <si>
    <t>D:\CBP_2026.07.21\i#3\full\full#21, 33_19, 32_result\d#100\v#10\8\ping_collision_summary.csv</t>
  </si>
  <si>
    <t>D:\CBP_2026.07.21\i#3\full\full#21, 33_19, 32_result\d#100\v#10\9\ping_collision_summary.csv</t>
  </si>
  <si>
    <t>D:\CBP_2026.07.21\i#3\full\full#21, 33_19, 32_result\d#100\v#20\0\ping_collision_summary.csv</t>
  </si>
  <si>
    <t>D:\CBP_2026.07.21\i#3\full\full#21, 33_19, 32_result\d#100\v#20\10\ping_collision_summary.csv</t>
  </si>
  <si>
    <t>D:\CBP_2026.07.21\i#3\full\full#21, 33_19, 32_result\d#100\v#20\11\ping_collision_summary.csv</t>
  </si>
  <si>
    <t>D:\CBP_2026.07.21\i#3\full\full#21, 33_19, 32_result\d#100\v#20\12\ping_collision_summary.csv</t>
  </si>
  <si>
    <t>D:\CBP_2026.07.21\i#3\full\full#21, 33_19, 32_result\d#100\v#20\13\ping_collision_summary.csv</t>
  </si>
  <si>
    <t>D:\CBP_2026.07.21\i#3\full\full#21, 33_19, 32_result\d#100\v#20\14\ping_collision_summary.csv</t>
  </si>
  <si>
    <t>D:\CBP_2026.07.21\i#3\full\full#21, 33_19, 32_result\d#100\v#20\15\ping_collision_summary.csv</t>
  </si>
  <si>
    <t>D:\CBP_2026.07.21\i#3\full\full#21, 33_19, 32_result\d#100\v#20\16\ping_collision_summary.csv</t>
  </si>
  <si>
    <t>D:\CBP_2026.07.21\i#3\full\full#21, 33_19, 32_result\d#100\v#20\17\ping_collision_summary.csv</t>
  </si>
  <si>
    <t>D:\CBP_2026.07.21\i#3\full\full#21, 33_19, 32_result\d#100\v#20\18\ping_collision_summary.csv</t>
  </si>
  <si>
    <t>D:\CBP_2026.07.21\i#3\full\full#21, 33_19, 32_result\d#100\v#20\19\ping_collision_summary.csv</t>
  </si>
  <si>
    <t>D:\CBP_2026.07.21\i#3\full\full#21, 33_19, 32_result\d#100\v#20\1\ping_collision_summary.csv</t>
  </si>
  <si>
    <t>D:\CBP_2026.07.21\i#3\full\full#21, 33_19, 32_result\d#100\v#20\20\ping_collision_summary.csv</t>
  </si>
  <si>
    <t>D:\CBP_2026.07.21\i#3\full\full#21, 33_19, 32_result\d#100\v#20\21\ping_collision_summary.csv</t>
  </si>
  <si>
    <t>D:\CBP_2026.07.21\i#3\full\full#21, 33_19, 32_result\d#100\v#20\22\ping_collision_summary.csv</t>
  </si>
  <si>
    <t>D:\CBP_2026.07.21\i#3\full\full#21, 33_19, 32_result\d#100\v#20\23\ping_collision_summary.csv</t>
  </si>
  <si>
    <t>D:\CBP_2026.07.21\i#3\full\full#21, 33_19, 32_result\d#100\v#20\24\ping_collision_summary.csv</t>
  </si>
  <si>
    <t>D:\CBP_2026.07.21\i#3\full\full#21, 33_19, 32_result\d#100\v#20\25\ping_collision_summary.csv</t>
  </si>
  <si>
    <t>D:\CBP_2026.07.21\i#3\full\full#21, 33_19, 32_result\d#100\v#20\26\ping_collision_summary.csv</t>
  </si>
  <si>
    <t>D:\CBP_2026.07.21\i#3\full\full#21, 33_19, 32_result\d#100\v#20\27\ping_collision_summary.csv</t>
  </si>
  <si>
    <t>D:\CBP_2026.07.21\i#3\full\full#21, 33_19, 32_result\d#100\v#20\28\ping_collision_summary.csv</t>
  </si>
  <si>
    <t>D:\CBP_2026.07.21\i#3\full\full#21, 33_19, 32_result\d#100\v#20\29\ping_collision_summary.csv</t>
  </si>
  <si>
    <t>D:\CBP_2026.07.21\i#3\full\full#21, 33_19, 32_result\d#100\v#20\2\ping_collision_summary.csv</t>
  </si>
  <si>
    <t>D:\CBP_2026.07.21\i#3\full\full#21, 33_19, 32_result\d#100\v#20\30\ping_collision_summary.csv</t>
  </si>
  <si>
    <t>D:\CBP_2026.07.21\i#3\full\full#21, 33_19, 32_result\d#100\v#20\3\ping_collision_summary.csv</t>
  </si>
  <si>
    <t>D:\CBP_2026.07.21\i#3\full\full#21, 33_19, 32_result\d#100\v#20\4\ping_collision_summary.csv</t>
  </si>
  <si>
    <t>D:\CBP_2026.07.21\i#3\full\full#21, 33_19, 32_result\d#100\v#20\5\ping_collision_summary.csv</t>
  </si>
  <si>
    <t>D:\CBP_2026.07.21\i#3\full\full#21, 33_19, 32_result\d#100\v#20\6\ping_collision_summary.csv</t>
  </si>
  <si>
    <t>D:\CBP_2026.07.21\i#3\full\full#21, 33_19, 32_result\d#100\v#20\7\ping_collision_summary.csv</t>
  </si>
  <si>
    <t>D:\CBP_2026.07.21\i#3\full\full#21, 33_19, 32_result\d#100\v#20\8\ping_collision_summary.csv</t>
  </si>
  <si>
    <t>D:\CBP_2026.07.21\i#3\full\full#21, 33_19, 32_result\d#100\v#20\9\ping_collision_summary.csv</t>
  </si>
  <si>
    <t>D:\CBP_2026.07.21\i#3\full\full#21, 33_19, 32_result\d#100\v#30\0\ping_collision_summary.csv</t>
  </si>
  <si>
    <t>D:\CBP_2026.07.21\i#3\full\full#21, 33_19, 32_result\d#100\v#30\10\ping_collision_summary.csv</t>
  </si>
  <si>
    <t>D:\CBP_2026.07.21\i#3\full\full#21, 33_19, 32_result\d#100\v#30\11\ping_collision_summary.csv</t>
  </si>
  <si>
    <t>D:\CBP_2026.07.21\i#3\full\full#21, 33_19, 32_result\d#100\v#30\12\ping_collision_summary.csv</t>
  </si>
  <si>
    <t>D:\CBP_2026.07.21\i#3\full\full#21, 33_19, 32_result\d#100\v#30\13\ping_collision_summary.csv</t>
  </si>
  <si>
    <t>D:\CBP_2026.07.21\i#3\full\full#21, 33_19, 32_result\d#100\v#30\14\ping_collision_summary.csv</t>
  </si>
  <si>
    <t>D:\CBP_2026.07.21\i#3\full\full#21, 33_19, 32_result\d#100\v#30\15\ping_collision_summary.csv</t>
  </si>
  <si>
    <t>D:\CBP_2026.07.21\i#3\full\full#21, 33_19, 32_result\d#100\v#30\16\ping_collision_summary.csv</t>
  </si>
  <si>
    <t>D:\CBP_2026.07.21\i#3\full\full#21, 33_19, 32_result\d#100\v#30\17\ping_collision_summary.csv</t>
  </si>
  <si>
    <t>D:\CBP_2026.07.21\i#3\full\full#21, 33_19, 32_result\d#100\v#30\18\ping_collision_summary.csv</t>
  </si>
  <si>
    <t>D:\CBP_2026.07.21\i#3\full\full#21, 33_19, 32_result\d#100\v#30\19\ping_collision_summary.csv</t>
  </si>
  <si>
    <t>D:\CBP_2026.07.21\i#3\full\full#21, 33_19, 32_result\d#100\v#30\1\ping_collision_summary.csv</t>
  </si>
  <si>
    <t>D:\CBP_2026.07.21\i#3\full\full#21, 33_19, 32_result\d#100\v#30\20\ping_collision_summary.csv</t>
  </si>
  <si>
    <t>D:\CBP_2026.07.21\i#3\full\full#21, 33_19, 32_result\d#100\v#30\21\ping_collision_summary.csv</t>
  </si>
  <si>
    <t>D:\CBP_2026.07.21\i#3\full\full#21, 33_19, 32_result\d#100\v#30\22\ping_collision_summary.csv</t>
  </si>
  <si>
    <t>D:\CBP_2026.07.21\i#3\full\full#21, 33_19, 32_result\d#100\v#30\23\ping_collision_summary.csv</t>
  </si>
  <si>
    <t>D:\CBP_2026.07.21\i#3\full\full#21, 33_19, 32_result\d#100\v#30\24\ping_collision_summary.csv</t>
  </si>
  <si>
    <t>D:\CBP_2026.07.21\i#3\full\full#21, 33_19, 32_result\d#100\v#30\25\ping_collision_summary.csv</t>
  </si>
  <si>
    <t>D:\CBP_2026.07.21\i#3\full\full#21, 33_19, 32_result\d#100\v#30\26\ping_collision_summary.csv</t>
  </si>
  <si>
    <t>D:\CBP_2026.07.21\i#3\full\full#21, 33_19, 32_result\d#100\v#30\27\ping_collision_summary.csv</t>
  </si>
  <si>
    <t>D:\CBP_2026.07.21\i#3\full\full#21, 33_19, 32_result\d#100\v#30\28\ping_collision_summary.csv</t>
  </si>
  <si>
    <t>D:\CBP_2026.07.21\i#3\full\full#21, 33_19, 32_result\d#100\v#30\29\ping_collision_summary.csv</t>
  </si>
  <si>
    <t>D:\CBP_2026.07.21\i#3\full\full#21, 33_19, 32_result\d#100\v#30\2\ping_collision_summary.csv</t>
  </si>
  <si>
    <t>D:\CBP_2026.07.21\i#3\full\full#21, 33_19, 32_result\d#100\v#30\30\ping_collision_summary.csv</t>
  </si>
  <si>
    <t>D:\CBP_2026.07.21\i#3\full\full#21, 33_19, 32_result\d#100\v#30\3\ping_collision_summary.csv</t>
  </si>
  <si>
    <t>D:\CBP_2026.07.21\i#3\full\full#21, 33_19, 32_result\d#100\v#30\4\ping_collision_summary.csv</t>
  </si>
  <si>
    <t>D:\CBP_2026.07.21\i#3\full\full#21, 33_19, 32_result\d#100\v#30\5\ping_collision_summary.csv</t>
  </si>
  <si>
    <t>D:\CBP_2026.07.21\i#3\full\full#21, 33_19, 32_result\d#100\v#30\6\ping_collision_summary.csv</t>
  </si>
  <si>
    <t>D:\CBP_2026.07.21\i#3\full\full#21, 33_19, 32_result\d#100\v#30\7\ping_collision_summary.csv</t>
  </si>
  <si>
    <t>D:\CBP_2026.07.21\i#3\full\full#21, 33_19, 32_result\d#100\v#30\8\ping_collision_summary.csv</t>
  </si>
  <si>
    <t>D:\CBP_2026.07.21\i#3\full\full#21, 33_19, 32_result\d#100\v#30\9\ping_collision_summary.csv</t>
  </si>
  <si>
    <t>D:\CBP_2026.07.21\i#3\full\full#21, 33_19, 32_result\d#120\v#10\0\ping_collision_summary.csv</t>
  </si>
  <si>
    <t>D:\CBP_2026.07.21\i#3\full\full#21, 33_19, 32_result\d#120\v#10\10\ping_collision_summary.csv</t>
  </si>
  <si>
    <t>D:\CBP_2026.07.21\i#3\full\full#21, 33_19, 32_result\d#120\v#10\11\ping_collision_summary.csv</t>
  </si>
  <si>
    <t>D:\CBP_2026.07.21\i#3\full\full#21, 33_19, 32_result\d#120\v#10\12\ping_collision_summary.csv</t>
  </si>
  <si>
    <t>D:\CBP_2026.07.21\i#3\full\full#21, 33_19, 32_result\d#120\v#10\13\ping_collision_summary.csv</t>
  </si>
  <si>
    <t>D:\CBP_2026.07.21\i#3\full\full#21, 33_19, 32_result\d#120\v#10\14\ping_collision_summary.csv</t>
  </si>
  <si>
    <t>D:\CBP_2026.07.21\i#3\full\full#21, 33_19, 32_result\d#120\v#10\15\ping_collision_summary.csv</t>
  </si>
  <si>
    <t>D:\CBP_2026.07.21\i#3\full\full#21, 33_19, 32_result\d#120\v#10\16\ping_collision_summary.csv</t>
  </si>
  <si>
    <t>D:\CBP_2026.07.21\i#3\full\full#21, 33_19, 32_result\d#120\v#10\17\ping_collision_summary.csv</t>
  </si>
  <si>
    <t>D:\CBP_2026.07.21\i#3\full\full#21, 33_19, 32_result\d#120\v#10\18\ping_collision_summary.csv</t>
  </si>
  <si>
    <t>D:\CBP_2026.07.21\i#3\full\full#21, 33_19, 32_result\d#120\v#10\19\ping_collision_summary.csv</t>
  </si>
  <si>
    <t>D:\CBP_2026.07.21\i#3\full\full#21, 33_19, 32_result\d#120\v#10\1\ping_collision_summary.csv</t>
  </si>
  <si>
    <t>D:\CBP_2026.07.21\i#3\full\full#21, 33_19, 32_result\d#120\v#10\20\ping_collision_summary.csv</t>
  </si>
  <si>
    <t>D:\CBP_2026.07.21\i#3\full\full#21, 33_19, 32_result\d#120\v#10\21\ping_collision_summary.csv</t>
  </si>
  <si>
    <t>D:\CBP_2026.07.21\i#3\full\full#21, 33_19, 32_result\d#120\v#10\22\ping_collision_summary.csv</t>
  </si>
  <si>
    <t>D:\CBP_2026.07.21\i#3\full\full#21, 33_19, 32_result\d#120\v#10\23\ping_collision_summary.csv</t>
  </si>
  <si>
    <t>D:\CBP_2026.07.21\i#3\full\full#21, 33_19, 32_result\d#120\v#10\24\ping_collision_summary.csv</t>
  </si>
  <si>
    <t>D:\CBP_2026.07.21\i#3\full\full#21, 33_19, 32_result\d#120\v#10\25\ping_collision_summary.csv</t>
  </si>
  <si>
    <t>D:\CBP_2026.07.21\i#3\full\full#21, 33_19, 32_result\d#120\v#10\26\ping_collision_summary.csv</t>
  </si>
  <si>
    <t>D:\CBP_2026.07.21\i#3\full\full#21, 33_19, 32_result\d#120\v#10\27\ping_collision_summary.csv</t>
  </si>
  <si>
    <t>D:\CBP_2026.07.21\i#3\full\full#21, 33_19, 32_result\d#120\v#10\28\ping_collision_summary.csv</t>
  </si>
  <si>
    <t>D:\CBP_2026.07.21\i#3\full\full#21, 33_19, 32_result\d#120\v#10\29\ping_collision_summary.csv</t>
  </si>
  <si>
    <t>D:\CBP_2026.07.21\i#3\full\full#21, 33_19, 32_result\d#120\v#10\2\ping_collision_summary.csv</t>
  </si>
  <si>
    <t>D:\CBP_2026.07.21\i#3\full\full#21, 33_19, 32_result\d#120\v#10\30\ping_collision_summary.csv</t>
  </si>
  <si>
    <t>D:\CBP_2026.07.21\i#3\full\full#21, 33_19, 32_result\d#120\v#10\3\ping_collision_summary.csv</t>
  </si>
  <si>
    <t>D:\CBP_2026.07.21\i#3\full\full#21, 33_19, 32_result\d#120\v#10\4\ping_collision_summary.csv</t>
  </si>
  <si>
    <t>D:\CBP_2026.07.21\i#3\full\full#21, 33_19, 32_result\d#120\v#10\5\ping_collision_summary.csv</t>
  </si>
  <si>
    <t>D:\CBP_2026.07.21\i#3\full\full#21, 33_19, 32_result\d#120\v#10\6\ping_collision_summary.csv</t>
  </si>
  <si>
    <t>D:\CBP_2026.07.21\i#3\full\full#21, 33_19, 32_result\d#120\v#10\7\ping_collision_summary.csv</t>
  </si>
  <si>
    <t>D:\CBP_2026.07.21\i#3\full\full#21, 33_19, 32_result\d#120\v#10\8\ping_collision_summary.csv</t>
  </si>
  <si>
    <t>D:\CBP_2026.07.21\i#3\full\full#21, 33_19, 32_result\d#120\v#10\9\ping_collision_summary.csv</t>
  </si>
  <si>
    <t>D:\CBP_2026.07.21\i#3\full\full#21, 33_19, 32_result\d#120\v#20\0\ping_collision_summary.csv</t>
  </si>
  <si>
    <t>D:\CBP_2026.07.21\i#3\full\full#21, 33_19, 32_result\d#120\v#20\10\ping_collision_summary.csv</t>
  </si>
  <si>
    <t>D:\CBP_2026.07.21\i#3\full\full#21, 33_19, 32_result\d#120\v#20\11\ping_collision_summary.csv</t>
  </si>
  <si>
    <t>D:\CBP_2026.07.21\i#3\full\full#21, 33_19, 32_result\d#120\v#20\12\ping_collision_summary.csv</t>
  </si>
  <si>
    <t>D:\CBP_2026.07.21\i#3\full\full#21, 33_19, 32_result\d#120\v#20\13\ping_collision_summary.csv</t>
  </si>
  <si>
    <t>D:\CBP_2026.07.21\i#3\full\full#21, 33_19, 32_result\d#120\v#20\14\ping_collision_summary.csv</t>
  </si>
  <si>
    <t>D:\CBP_2026.07.21\i#3\full\full#21, 33_19, 32_result\d#120\v#20\15\ping_collision_summary.csv</t>
  </si>
  <si>
    <t>D:\CBP_2026.07.21\i#3\full\full#21, 33_19, 32_result\d#120\v#20\16\ping_collision_summary.csv</t>
  </si>
  <si>
    <t>D:\CBP_2026.07.21\i#3\full\full#21, 33_19, 32_result\d#120\v#20\17\ping_collision_summary.csv</t>
  </si>
  <si>
    <t>D:\CBP_2026.07.21\i#3\full\full#21, 33_19, 32_result\d#120\v#20\18\ping_collision_summary.csv</t>
  </si>
  <si>
    <t>D:\CBP_2026.07.21\i#3\full\full#21, 33_19, 32_result\d#120\v#20\19\ping_collision_summary.csv</t>
  </si>
  <si>
    <t>D:\CBP_2026.07.21\i#3\full\full#21, 33_19, 32_result\d#120\v#20\1\ping_collision_summary.csv</t>
  </si>
  <si>
    <t>D:\CBP_2026.07.21\i#3\full\full#21, 33_19, 32_result\d#120\v#20\20\ping_collision_summary.csv</t>
  </si>
  <si>
    <t>D:\CBP_2026.07.21\i#3\full\full#21, 33_19, 32_result\d#120\v#20\21\ping_collision_summary.csv</t>
  </si>
  <si>
    <t>D:\CBP_2026.07.21\i#3\full\full#21, 33_19, 32_result\d#120\v#20\22\ping_collision_summary.csv</t>
  </si>
  <si>
    <t>D:\CBP_2026.07.21\i#3\full\full#21, 33_19, 32_result\d#120\v#20\23\ping_collision_summary.csv</t>
  </si>
  <si>
    <t>D:\CBP_2026.07.21\i#3\full\full#21, 33_19, 32_result\d#120\v#20\24\ping_collision_summary.csv</t>
  </si>
  <si>
    <t>D:\CBP_2026.07.21\i#3\full\full#21, 33_19, 32_result\d#120\v#20\25\ping_collision_summary.csv</t>
  </si>
  <si>
    <t>D:\CBP_2026.07.21\i#3\full\full#21, 33_19, 32_result\d#120\v#20\26\ping_collision_summary.csv</t>
  </si>
  <si>
    <t>D:\CBP_2026.07.21\i#3\full\full#21, 33_19, 32_result\d#120\v#20\27\ping_collision_summary.csv</t>
  </si>
  <si>
    <t>D:\CBP_2026.07.21\i#3\full\full#21, 33_19, 32_result\d#120\v#20\28\ping_collision_summary.csv</t>
  </si>
  <si>
    <t>D:\CBP_2026.07.21\i#3\full\full#21, 33_19, 32_result\d#120\v#20\29\ping_collision_summary.csv</t>
  </si>
  <si>
    <t>D:\CBP_2026.07.21\i#3\full\full#21, 33_19, 32_result\d#120\v#20\2\ping_collision_summary.csv</t>
  </si>
  <si>
    <t>D:\CBP_2026.07.21\i#3\full\full#21, 33_19, 32_result\d#120\v#20\30\ping_collision_summary.csv</t>
  </si>
  <si>
    <t>D:\CBP_2026.07.21\i#3\full\full#21, 33_19, 32_result\d#120\v#20\3\ping_collision_summary.csv</t>
  </si>
  <si>
    <t>D:\CBP_2026.07.21\i#3\full\full#21, 33_19, 32_result\d#120\v#20\4\ping_collision_summary.csv</t>
  </si>
  <si>
    <t>D:\CBP_2026.07.21\i#3\full\full#21, 33_19, 32_result\d#120\v#20\5\ping_collision_summary.csv</t>
  </si>
  <si>
    <t>D:\CBP_2026.07.21\i#3\full\full#21, 33_19, 32_result\d#120\v#20\6\ping_collision_summary.csv</t>
  </si>
  <si>
    <t>D:\CBP_2026.07.21\i#3\full\full#21, 33_19, 32_result\d#120\v#20\7\ping_collision_summary.csv</t>
  </si>
  <si>
    <t>D:\CBP_2026.07.21\i#3\full\full#21, 33_19, 32_result\d#120\v#20\8\ping_collision_summary.csv</t>
  </si>
  <si>
    <t>D:\CBP_2026.07.21\i#3\full\full#21, 33_19, 32_result\d#120\v#20\9\ping_collision_summary.csv</t>
  </si>
  <si>
    <t>D:\CBP_2026.07.21\i#3\full\full#21, 33_19, 32_result\d#120\v#30\0\ping_collision_summary.csv</t>
  </si>
  <si>
    <t>D:\CBP_2026.07.21\i#3\full\full#21, 33_19, 32_result\d#120\v#30\10\ping_collision_summary.csv</t>
  </si>
  <si>
    <t>D:\CBP_2026.07.21\i#3\full\full#21, 33_19, 32_result\d#120\v#30\11\ping_collision_summary.csv</t>
  </si>
  <si>
    <t>D:\CBP_2026.07.21\i#3\full\full#21, 33_19, 32_result\d#120\v#30\12\ping_collision_summary.csv</t>
  </si>
  <si>
    <t>D:\CBP_2026.07.21\i#3\full\full#21, 33_19, 32_result\d#120\v#30\13\ping_collision_summary.csv</t>
  </si>
  <si>
    <t>D:\CBP_2026.07.21\i#3\full\full#21, 33_19, 32_result\d#120\v#30\14\ping_collision_summary.csv</t>
  </si>
  <si>
    <t>D:\CBP_2026.07.21\i#3\full\full#21, 33_19, 32_result\d#120\v#30\15\ping_collision_summary.csv</t>
  </si>
  <si>
    <t>D:\CBP_2026.07.21\i#3\full\full#21, 33_19, 32_result\d#120\v#30\16\ping_collision_summary.csv</t>
  </si>
  <si>
    <t>D:\CBP_2026.07.21\i#3\full\full#21, 33_19, 32_result\d#120\v#30\17\ping_collision_summary.csv</t>
  </si>
  <si>
    <t>D:\CBP_2026.07.21\i#3\full\full#21, 33_19, 32_result\d#120\v#30\18\ping_collision_summary.csv</t>
  </si>
  <si>
    <t>D:\CBP_2026.07.21\i#3\full\full#21, 33_19, 32_result\d#120\v#30\19\ping_collision_summary.csv</t>
  </si>
  <si>
    <t>D:\CBP_2026.07.21\i#3\full\full#21, 33_19, 32_result\d#120\v#30\1\ping_collision_summary.csv</t>
  </si>
  <si>
    <t>D:\CBP_2026.07.21\i#3\full\full#21, 33_19, 32_result\d#120\v#30\20\ping_collision_summary.csv</t>
  </si>
  <si>
    <t>D:\CBP_2026.07.21\i#3\full\full#21, 33_19, 32_result\d#120\v#30\21\ping_collision_summary.csv</t>
  </si>
  <si>
    <t>D:\CBP_2026.07.21\i#3\full\full#21, 33_19, 32_result\d#120\v#30\22\ping_collision_summary.csv</t>
  </si>
  <si>
    <t>D:\CBP_2026.07.21\i#3\full\full#21, 33_19, 32_result\d#120\v#30\23\ping_collision_summary.csv</t>
  </si>
  <si>
    <t>D:\CBP_2026.07.21\i#3\full\full#21, 33_19, 32_result\d#120\v#30\24\ping_collision_summary.csv</t>
  </si>
  <si>
    <t>D:\CBP_2026.07.21\i#3\full\full#21, 33_19, 32_result\d#120\v#30\25\ping_collision_summary.csv</t>
  </si>
  <si>
    <t>D:\CBP_2026.07.21\i#3\full\full#21, 33_19, 32_result\d#120\v#30\26\ping_collision_summary.csv</t>
  </si>
  <si>
    <t>D:\CBP_2026.07.21\i#3\full\full#21, 33_19, 32_result\d#120\v#30\27\ping_collision_summary.csv</t>
  </si>
  <si>
    <t>D:\CBP_2026.07.21\i#3\full\full#21, 33_19, 32_result\d#120\v#30\28\ping_collision_summary.csv</t>
  </si>
  <si>
    <t>D:\CBP_2026.07.21\i#3\full\full#21, 33_19, 32_result\d#120\v#30\29\ping_collision_summary.csv</t>
  </si>
  <si>
    <t>D:\CBP_2026.07.21\i#3\full\full#21, 33_19, 32_result\d#120\v#30\2\ping_collision_summary.csv</t>
  </si>
  <si>
    <t>D:\CBP_2026.07.21\i#3\full\full#21, 33_19, 32_result\d#120\v#30\30\ping_collision_summary.csv</t>
  </si>
  <si>
    <t>D:\CBP_2026.07.21\i#3\full\full#21, 33_19, 32_result\d#120\v#30\3\ping_collision_summary.csv</t>
  </si>
  <si>
    <t>D:\CBP_2026.07.21\i#3\full\full#21, 33_19, 32_result\d#120\v#30\4\ping_collision_summary.csv</t>
  </si>
  <si>
    <t>D:\CBP_2026.07.21\i#3\full\full#21, 33_19, 32_result\d#120\v#30\5\ping_collision_summary.csv</t>
  </si>
  <si>
    <t>D:\CBP_2026.07.21\i#3\full\full#21, 33_19, 32_result\d#120\v#30\6\ping_collision_summary.csv</t>
  </si>
  <si>
    <t>D:\CBP_2026.07.21\i#3\full\full#21, 33_19, 32_result\d#120\v#30\7\ping_collision_summary.csv</t>
  </si>
  <si>
    <t>D:\CBP_2026.07.21\i#3\full\full#21, 33_19, 32_result\d#120\v#30\8\ping_collision_summary.csv</t>
  </si>
  <si>
    <t>D:\CBP_2026.07.21\i#3\full\full#21, 33_19, 32_result\d#120\v#30\9\ping_collision_summary.csv</t>
  </si>
  <si>
    <t>D:\CBP_2026.07.21\i#3\full\full#21, 33_19, 32_result\d#70\v#10\0\ping_collision_summary.csv</t>
  </si>
  <si>
    <t>D:\CBP_2026.07.21\i#3\full\full#21, 33_19, 32_result\d#70\v#10\10\ping_collision_summary.csv</t>
  </si>
  <si>
    <t>D:\CBP_2026.07.21\i#3\full\full#21, 33_19, 32_result\d#70\v#10\11\ping_collision_summary.csv</t>
  </si>
  <si>
    <t>D:\CBP_2026.07.21\i#3\full\full#21, 33_19, 32_result\d#70\v#10\12\ping_collision_summary.csv</t>
  </si>
  <si>
    <t>D:\CBP_2026.07.21\i#3\full\full#21, 33_19, 32_result\d#70\v#10\13\ping_collision_summary.csv</t>
  </si>
  <si>
    <t>D:\CBP_2026.07.21\i#3\full\full#21, 33_19, 32_result\d#70\v#10\14\ping_collision_summary.csv</t>
  </si>
  <si>
    <t>D:\CBP_2026.07.21\i#3\full\full#21, 33_19, 32_result\d#70\v#10\15\ping_collision_summary.csv</t>
  </si>
  <si>
    <t>D:\CBP_2026.07.21\i#3\full\full#21, 33_19, 32_result\d#70\v#10\16\ping_collision_summary.csv</t>
  </si>
  <si>
    <t>D:\CBP_2026.07.21\i#3\full\full#21, 33_19, 32_result\d#70\v#10\17\ping_collision_summary.csv</t>
  </si>
  <si>
    <t>D:\CBP_2026.07.21\i#3\full\full#21, 33_19, 32_result\d#70\v#10\18\ping_collision_summary.csv</t>
  </si>
  <si>
    <t>D:\CBP_2026.07.21\i#3\full\full#21, 33_19, 32_result\d#70\v#10\19\ping_collision_summary.csv</t>
  </si>
  <si>
    <t>D:\CBP_2026.07.21\i#3\full\full#21, 33_19, 32_result\d#70\v#10\1\ping_collision_summary.csv</t>
  </si>
  <si>
    <t>D:\CBP_2026.07.21\i#3\full\full#21, 33_19, 32_result\d#70\v#10\20\ping_collision_summary.csv</t>
  </si>
  <si>
    <t>D:\CBP_2026.07.21\i#3\full\full#21, 33_19, 32_result\d#70\v#10\21\ping_collision_summary.csv</t>
  </si>
  <si>
    <t>D:\CBP_2026.07.21\i#3\full\full#21, 33_19, 32_result\d#70\v#10\22\ping_collision_summary.csv</t>
  </si>
  <si>
    <t>D:\CBP_2026.07.21\i#3\full\full#21, 33_19, 32_result\d#70\v#10\23\ping_collision_summary.csv</t>
  </si>
  <si>
    <t>D:\CBP_2026.07.21\i#3\full\full#21, 33_19, 32_result\d#70\v#10\24\ping_collision_summary.csv</t>
  </si>
  <si>
    <t>D:\CBP_2026.07.21\i#3\full\full#21, 33_19, 32_result\d#70\v#10\25\ping_collision_summary.csv</t>
  </si>
  <si>
    <t>D:\CBP_2026.07.21\i#3\full\full#21, 33_19, 32_result\d#70\v#10\26\ping_collision_summary.csv</t>
  </si>
  <si>
    <t>D:\CBP_2026.07.21\i#3\full\full#21, 33_19, 32_result\d#70\v#10\27\ping_collision_summary.csv</t>
  </si>
  <si>
    <t>D:\CBP_2026.07.21\i#3\full\full#21, 33_19, 32_result\d#70\v#10\28\ping_collision_summary.csv</t>
  </si>
  <si>
    <t>D:\CBP_2026.07.21\i#3\full\full#21, 33_19, 32_result\d#70\v#10\29\ping_collision_summary.csv</t>
  </si>
  <si>
    <t>D:\CBP_2026.07.21\i#3\full\full#21, 33_19, 32_result\d#70\v#10\2\ping_collision_summary.csv</t>
  </si>
  <si>
    <t>D:\CBP_2026.07.21\i#3\full\full#21, 33_19, 32_result\d#70\v#10\30\ping_collision_summary.csv</t>
  </si>
  <si>
    <t>D:\CBP_2026.07.21\i#3\full\full#21, 33_19, 32_result\d#70\v#10\3\ping_collision_summary.csv</t>
  </si>
  <si>
    <t>D:\CBP_2026.07.21\i#3\full\full#21, 33_19, 32_result\d#70\v#10\4\ping_collision_summary.csv</t>
  </si>
  <si>
    <t>D:\CBP_2026.07.21\i#3\full\full#21, 33_19, 32_result\d#70\v#10\5\ping_collision_summary.csv</t>
  </si>
  <si>
    <t>D:\CBP_2026.07.21\i#3\full\full#21, 33_19, 32_result\d#70\v#10\6\ping_collision_summary.csv</t>
  </si>
  <si>
    <t>D:\CBP_2026.07.21\i#3\full\full#21, 33_19, 32_result\d#70\v#10\7\ping_collision_summary.csv</t>
  </si>
  <si>
    <t>D:\CBP_2026.07.21\i#3\full\full#21, 33_19, 32_result\d#70\v#10\8\ping_collision_summary.csv</t>
  </si>
  <si>
    <t>D:\CBP_2026.07.21\i#3\full\full#21, 33_19, 32_result\d#70\v#10\9\ping_collision_summary.csv</t>
  </si>
  <si>
    <t>D:\CBP_2026.07.21\i#3\full\full#21, 33_19, 32_result\d#70\v#20\0\ping_collision_summary.csv</t>
  </si>
  <si>
    <t>D:\CBP_2026.07.21\i#3\full\full#21, 33_19, 32_result\d#70\v#20\10\ping_collision_summary.csv</t>
  </si>
  <si>
    <t>D:\CBP_2026.07.21\i#3\full\full#21, 33_19, 32_result\d#70\v#20\11\ping_collision_summary.csv</t>
  </si>
  <si>
    <t>D:\CBP_2026.07.21\i#3\full\full#21, 33_19, 32_result\d#70\v#20\12\ping_collision_summary.csv</t>
  </si>
  <si>
    <t>D:\CBP_2026.07.21\i#3\full\full#21, 33_19, 32_result\d#70\v#20\13\ping_collision_summary.csv</t>
  </si>
  <si>
    <t>D:\CBP_2026.07.21\i#3\full\full#21, 33_19, 32_result\d#70\v#20\14\ping_collision_summary.csv</t>
  </si>
  <si>
    <t>D:\CBP_2026.07.21\i#3\full\full#21, 33_19, 32_result\d#70\v#20\15\ping_collision_summary.csv</t>
  </si>
  <si>
    <t>D:\CBP_2026.07.21\i#3\full\full#21, 33_19, 32_result\d#70\v#20\16\ping_collision_summary.csv</t>
  </si>
  <si>
    <t>D:\CBP_2026.07.21\i#3\full\full#21, 33_19, 32_result\d#70\v#20\17\ping_collision_summary.csv</t>
  </si>
  <si>
    <t>D:\CBP_2026.07.21\i#3\full\full#21, 33_19, 32_result\d#70\v#20\18\ping_collision_summary.csv</t>
  </si>
  <si>
    <t>D:\CBP_2026.07.21\i#3\full\full#21, 33_19, 32_result\d#70\v#20\19\ping_collision_summary.csv</t>
  </si>
  <si>
    <t>D:\CBP_2026.07.21\i#3\full\full#21, 33_19, 32_result\d#70\v#20\1\ping_collision_summary.csv</t>
  </si>
  <si>
    <t>D:\CBP_2026.07.21\i#3\full\full#21, 33_19, 32_result\d#70\v#20\20\ping_collision_summary.csv</t>
  </si>
  <si>
    <t>D:\CBP_2026.07.21\i#3\full\full#21, 33_19, 32_result\d#70\v#20\21\ping_collision_summary.csv</t>
  </si>
  <si>
    <t>D:\CBP_2026.07.21\i#3\full\full#21, 33_19, 32_result\d#70\v#20\22\ping_collision_summary.csv</t>
  </si>
  <si>
    <t>D:\CBP_2026.07.21\i#3\full\full#21, 33_19, 32_result\d#70\v#20\23\ping_collision_summary.csv</t>
  </si>
  <si>
    <t>D:\CBP_2026.07.21\i#3\full\full#21, 33_19, 32_result\d#70\v#20\24\ping_collision_summary.csv</t>
  </si>
  <si>
    <t>D:\CBP_2026.07.21\i#3\full\full#21, 33_19, 32_result\d#70\v#20\25\ping_collision_summary.csv</t>
  </si>
  <si>
    <t>D:\CBP_2026.07.21\i#3\full\full#21, 33_19, 32_result\d#70\v#20\26\ping_collision_summary.csv</t>
  </si>
  <si>
    <t>D:\CBP_2026.07.21\i#3\full\full#21, 33_19, 32_result\d#70\v#20\27\ping_collision_summary.csv</t>
  </si>
  <si>
    <t>D:\CBP_2026.07.21\i#3\full\full#21, 33_19, 32_result\d#70\v#20\28\ping_collision_summary.csv</t>
  </si>
  <si>
    <t>D:\CBP_2026.07.21\i#3\full\full#21, 33_19, 32_result\d#70\v#20\29\ping_collision_summary.csv</t>
  </si>
  <si>
    <t>D:\CBP_2026.07.21\i#3\full\full#21, 33_19, 32_result\d#70\v#20\2\ping_collision_summary.csv</t>
  </si>
  <si>
    <t>D:\CBP_2026.07.21\i#3\full\full#21, 33_19, 32_result\d#70\v#20\30\ping_collision_summary.csv</t>
  </si>
  <si>
    <t>D:\CBP_2026.07.21\i#3\full\full#21, 33_19, 32_result\d#70\v#20\3\ping_collision_summary.csv</t>
  </si>
  <si>
    <t>D:\CBP_2026.07.21\i#3\full\full#21, 33_19, 32_result\d#70\v#20\4\ping_collision_summary.csv</t>
  </si>
  <si>
    <t>D:\CBP_2026.07.21\i#3\full\full#21, 33_19, 32_result\d#70\v#20\5\ping_collision_summary.csv</t>
  </si>
  <si>
    <t>D:\CBP_2026.07.21\i#3\full\full#21, 33_19, 32_result\d#70\v#20\6\ping_collision_summary.csv</t>
  </si>
  <si>
    <t>D:\CBP_2026.07.21\i#3\full\full#21, 33_19, 32_result\d#70\v#20\7\ping_collision_summary.csv</t>
  </si>
  <si>
    <t>D:\CBP_2026.07.21\i#3\full\full#21, 33_19, 32_result\d#70\v#20\8\ping_collision_summary.csv</t>
  </si>
  <si>
    <t>D:\CBP_2026.07.21\i#3\full\full#21, 33_19, 32_result\d#70\v#20\9\ping_collision_summary.csv</t>
  </si>
  <si>
    <t>D:\CBP_2026.07.21\i#3\full\full#21, 33_19, 32_result\d#70\v#30\0\ping_collision_summary.csv</t>
  </si>
  <si>
    <t>D:\CBP_2026.07.21\i#3\full\full#21, 33_19, 32_result\d#70\v#30\10\ping_collision_summary.csv</t>
  </si>
  <si>
    <t>D:\CBP_2026.07.21\i#3\full\full#21, 33_19, 32_result\d#70\v#30\11\ping_collision_summary.csv</t>
  </si>
  <si>
    <t>D:\CBP_2026.07.21\i#3\full\full#21, 33_19, 32_result\d#70\v#30\12\ping_collision_summary.csv</t>
  </si>
  <si>
    <t>D:\CBP_2026.07.21\i#3\full\full#21, 33_19, 32_result\d#70\v#30\13\ping_collision_summary.csv</t>
  </si>
  <si>
    <t>D:\CBP_2026.07.21\i#3\full\full#21, 33_19, 32_result\d#70\v#30\14\ping_collision_summary.csv</t>
  </si>
  <si>
    <t>D:\CBP_2026.07.21\i#3\full\full#21, 33_19, 32_result\d#70\v#30\15\ping_collision_summary.csv</t>
  </si>
  <si>
    <t>D:\CBP_2026.07.21\i#3\full\full#21, 33_19, 32_result\d#70\v#30\16\ping_collision_summary.csv</t>
  </si>
  <si>
    <t>D:\CBP_2026.07.21\i#3\full\full#21, 33_19, 32_result\d#70\v#30\17\ping_collision_summary.csv</t>
  </si>
  <si>
    <t>D:\CBP_2026.07.21\i#3\full\full#21, 33_19, 32_result\d#70\v#30\18\ping_collision_summary.csv</t>
  </si>
  <si>
    <t>D:\CBP_2026.07.21\i#3\full\full#21, 33_19, 32_result\d#70\v#30\19\ping_collision_summary.csv</t>
  </si>
  <si>
    <t>D:\CBP_2026.07.21\i#3\full\full#21, 33_19, 32_result\d#70\v#30\1\ping_collision_summary.csv</t>
  </si>
  <si>
    <t>D:\CBP_2026.07.21\i#3\full\full#21, 33_19, 32_result\d#70\v#30\20\ping_collision_summary.csv</t>
  </si>
  <si>
    <t>D:\CBP_2026.07.21\i#3\full\full#21, 33_19, 32_result\d#70\v#30\21\ping_collision_summary.csv</t>
  </si>
  <si>
    <t>D:\CBP_2026.07.21\i#3\full\full#21, 33_19, 32_result\d#70\v#30\22\ping_collision_summary.csv</t>
  </si>
  <si>
    <t>D:\CBP_2026.07.21\i#3\full\full#21, 33_19, 32_result\d#70\v#30\23\ping_collision_summary.csv</t>
  </si>
  <si>
    <t>D:\CBP_2026.07.21\i#3\full\full#21, 33_19, 32_result\d#70\v#30\24\ping_collision_summary.csv</t>
  </si>
  <si>
    <t>D:\CBP_2026.07.21\i#3\full\full#21, 33_19, 32_result\d#70\v#30\25\ping_collision_summary.csv</t>
  </si>
  <si>
    <t>D:\CBP_2026.07.21\i#3\full\full#21, 33_19, 32_result\d#70\v#30\26\ping_collision_summary.csv</t>
  </si>
  <si>
    <t>D:\CBP_2026.07.21\i#3\full\full#21, 33_19, 32_result\d#70\v#30\27\ping_collision_summary.csv</t>
  </si>
  <si>
    <t>D:\CBP_2026.07.21\i#3\full\full#21, 33_19, 32_result\d#70\v#30\28\ping_collision_summary.csv</t>
  </si>
  <si>
    <t>D:\CBP_2026.07.21\i#3\full\full#21, 33_19, 32_result\d#70\v#30\29\ping_collision_summary.csv</t>
  </si>
  <si>
    <t>D:\CBP_2026.07.21\i#3\full\full#21, 33_19, 32_result\d#70\v#30\2\ping_collision_summary.csv</t>
  </si>
  <si>
    <t>D:\CBP_2026.07.21\i#3\full\full#21, 33_19, 32_result\d#70\v#30\30\ping_collision_summary.csv</t>
  </si>
  <si>
    <t>D:\CBP_2026.07.21\i#3\full\full#21, 33_19, 32_result\d#70\v#30\3\ping_collision_summary.csv</t>
  </si>
  <si>
    <t>D:\CBP_2026.07.21\i#3\full\full#21, 33_19, 32_result\d#70\v#30\4\ping_collision_summary.csv</t>
  </si>
  <si>
    <t>D:\CBP_2026.07.21\i#3\full\full#21, 33_19, 32_result\d#70\v#30\5\ping_collision_summary.csv</t>
  </si>
  <si>
    <t>D:\CBP_2026.07.21\i#3\full\full#21, 33_19, 32_result\d#70\v#30\6\ping_collision_summary.csv</t>
  </si>
  <si>
    <t>D:\CBP_2026.07.21\i#3\full\full#21, 33_19, 32_result\d#70\v#30\7\ping_collision_summary.csv</t>
  </si>
  <si>
    <t>D:\CBP_2026.07.21\i#3\full\full#21, 33_19, 32_result\d#70\v#30\8\ping_collision_summary.csv</t>
  </si>
  <si>
    <t>D:\CBP_2026.07.21\i#3\full\full#21, 33_19, 32_result\d#70\v#30\9\ping_collision_summary.csv</t>
  </si>
  <si>
    <t>D:\CBP_2026.07.21\i#3\full\full#33, 44_32, 43_result\d#100\v#10\0\ping_collision_summary.csv</t>
  </si>
  <si>
    <t>D:\CBP_2026.07.21\i#3\full\full#33, 44_32, 43_result\d#100\v#10\10\ping_collision_summary.csv</t>
  </si>
  <si>
    <t>D:\CBP_2026.07.21\i#3\full\full#33, 44_32, 43_result\d#100\v#10\11\ping_collision_summary.csv</t>
  </si>
  <si>
    <t>D:\CBP_2026.07.21\i#3\full\full#33, 44_32, 43_result\d#100\v#10\12\ping_collision_summary.csv</t>
  </si>
  <si>
    <t>D:\CBP_2026.07.21\i#3\full\full#33, 44_32, 43_result\d#100\v#10\13\ping_collision_summary.csv</t>
  </si>
  <si>
    <t>D:\CBP_2026.07.21\i#3\full\full#33, 44_32, 43_result\d#100\v#10\14\ping_collision_summary.csv</t>
  </si>
  <si>
    <t>D:\CBP_2026.07.21\i#3\full\full#33, 44_32, 43_result\d#100\v#10\15\ping_collision_summary.csv</t>
  </si>
  <si>
    <t>D:\CBP_2026.07.21\i#3\full\full#33, 44_32, 43_result\d#100\v#10\16\ping_collision_summary.csv</t>
  </si>
  <si>
    <t>D:\CBP_2026.07.21\i#3\full\full#33, 44_32, 43_result\d#100\v#10\17\ping_collision_summary.csv</t>
  </si>
  <si>
    <t>D:\CBP_2026.07.21\i#3\full\full#33, 44_32, 43_result\d#100\v#10\18\ping_collision_summary.csv</t>
  </si>
  <si>
    <t>D:\CBP_2026.07.21\i#3\full\full#33, 44_32, 43_result\d#100\v#10\19\ping_collision_summary.csv</t>
  </si>
  <si>
    <t>D:\CBP_2026.07.21\i#3\full\full#33, 44_32, 43_result\d#100\v#10\1\ping_collision_summary.csv</t>
  </si>
  <si>
    <t>D:\CBP_2026.07.21\i#3\full\full#33, 44_32, 43_result\d#100\v#10\20\ping_collision_summary.csv</t>
  </si>
  <si>
    <t>D:\CBP_2026.07.21\i#3\full\full#33, 44_32, 43_result\d#100\v#10\21\ping_collision_summary.csv</t>
  </si>
  <si>
    <t>D:\CBP_2026.07.21\i#3\full\full#33, 44_32, 43_result\d#100\v#10\22\ping_collision_summary.csv</t>
  </si>
  <si>
    <t>D:\CBP_2026.07.21\i#3\full\full#33, 44_32, 43_result\d#100\v#10\23\ping_collision_summary.csv</t>
  </si>
  <si>
    <t>D:\CBP_2026.07.21\i#3\full\full#33, 44_32, 43_result\d#100\v#10\24\ping_collision_summary.csv</t>
  </si>
  <si>
    <t>D:\CBP_2026.07.21\i#3\full\full#33, 44_32, 43_result\d#100\v#10\25\ping_collision_summary.csv</t>
  </si>
  <si>
    <t>D:\CBP_2026.07.21\i#3\full\full#33, 44_32, 43_result\d#100\v#10\26\ping_collision_summary.csv</t>
  </si>
  <si>
    <t>D:\CBP_2026.07.21\i#3\full\full#33, 44_32, 43_result\d#100\v#10\27\ping_collision_summary.csv</t>
  </si>
  <si>
    <t>D:\CBP_2026.07.21\i#3\full\full#33, 44_32, 43_result\d#100\v#10\28\ping_collision_summary.csv</t>
  </si>
  <si>
    <t>D:\CBP_2026.07.21\i#3\full\full#33, 44_32, 43_result\d#100\v#10\29\ping_collision_summary.csv</t>
  </si>
  <si>
    <t>D:\CBP_2026.07.21\i#3\full\full#33, 44_32, 43_result\d#100\v#10\2\ping_collision_summary.csv</t>
  </si>
  <si>
    <t>D:\CBP_2026.07.21\i#3\full\full#33, 44_32, 43_result\d#100\v#10\30\ping_collision_summary.csv</t>
  </si>
  <si>
    <t>D:\CBP_2026.07.21\i#3\full\full#33, 44_32, 43_result\d#100\v#10\3\ping_collision_summary.csv</t>
  </si>
  <si>
    <t>D:\CBP_2026.07.21\i#3\full\full#33, 44_32, 43_result\d#100\v#10\4\ping_collision_summary.csv</t>
  </si>
  <si>
    <t>D:\CBP_2026.07.21\i#3\full\full#33, 44_32, 43_result\d#100\v#10\5\ping_collision_summary.csv</t>
  </si>
  <si>
    <t>D:\CBP_2026.07.21\i#3\full\full#33, 44_32, 43_result\d#100\v#10\6\ping_collision_summary.csv</t>
  </si>
  <si>
    <t>D:\CBP_2026.07.21\i#3\full\full#33, 44_32, 43_result\d#100\v#10\7\ping_collision_summary.csv</t>
  </si>
  <si>
    <t>D:\CBP_2026.07.21\i#3\full\full#33, 44_32, 43_result\d#100\v#10\8\ping_collision_summary.csv</t>
  </si>
  <si>
    <t>D:\CBP_2026.07.21\i#3\full\full#33, 44_32, 43_result\d#100\v#10\9\ping_collision_summary.csv</t>
  </si>
  <si>
    <t>D:\CBP_2026.07.21\i#3\full\full#33, 44_32, 43_result\d#100\v#20\0\ping_collision_summary.csv</t>
  </si>
  <si>
    <t>D:\CBP_2026.07.21\i#3\full\full#33, 44_32, 43_result\d#100\v#20\10\ping_collision_summary.csv</t>
  </si>
  <si>
    <t>D:\CBP_2026.07.21\i#3\full\full#33, 44_32, 43_result\d#100\v#20\11\ping_collision_summary.csv</t>
  </si>
  <si>
    <t>D:\CBP_2026.07.21\i#3\full\full#33, 44_32, 43_result\d#100\v#20\12\ping_collision_summary.csv</t>
  </si>
  <si>
    <t>D:\CBP_2026.07.21\i#3\full\full#33, 44_32, 43_result\d#100\v#20\13\ping_collision_summary.csv</t>
  </si>
  <si>
    <t>D:\CBP_2026.07.21\i#3\full\full#33, 44_32, 43_result\d#100\v#20\14\ping_collision_summary.csv</t>
  </si>
  <si>
    <t>D:\CBP_2026.07.21\i#3\full\full#33, 44_32, 43_result\d#100\v#20\15\ping_collision_summary.csv</t>
  </si>
  <si>
    <t>D:\CBP_2026.07.21\i#3\full\full#33, 44_32, 43_result\d#100\v#20\16\ping_collision_summary.csv</t>
  </si>
  <si>
    <t>D:\CBP_2026.07.21\i#3\full\full#33, 44_32, 43_result\d#100\v#20\17\ping_collision_summary.csv</t>
  </si>
  <si>
    <t>D:\CBP_2026.07.21\i#3\full\full#33, 44_32, 43_result\d#100\v#20\18\ping_collision_summary.csv</t>
  </si>
  <si>
    <t>D:\CBP_2026.07.21\i#3\full\full#33, 44_32, 43_result\d#100\v#20\19\ping_collision_summary.csv</t>
  </si>
  <si>
    <t>D:\CBP_2026.07.21\i#3\full\full#33, 44_32, 43_result\d#100\v#20\1\ping_collision_summary.csv</t>
  </si>
  <si>
    <t>D:\CBP_2026.07.21\i#3\full\full#33, 44_32, 43_result\d#100\v#20\20\ping_collision_summary.csv</t>
  </si>
  <si>
    <t>D:\CBP_2026.07.21\i#3\full\full#33, 44_32, 43_result\d#100\v#20\21\ping_collision_summary.csv</t>
  </si>
  <si>
    <t>D:\CBP_2026.07.21\i#3\full\full#33, 44_32, 43_result\d#100\v#20\22\ping_collision_summary.csv</t>
  </si>
  <si>
    <t>D:\CBP_2026.07.21\i#3\full\full#33, 44_32, 43_result\d#100\v#20\23\ping_collision_summary.csv</t>
  </si>
  <si>
    <t>D:\CBP_2026.07.21\i#3\full\full#33, 44_32, 43_result\d#100\v#20\24\ping_collision_summary.csv</t>
  </si>
  <si>
    <t>D:\CBP_2026.07.21\i#3\full\full#33, 44_32, 43_result\d#100\v#20\25\ping_collision_summary.csv</t>
  </si>
  <si>
    <t>D:\CBP_2026.07.21\i#3\full\full#33, 44_32, 43_result\d#100\v#20\26\ping_collision_summary.csv</t>
  </si>
  <si>
    <t>D:\CBP_2026.07.21\i#3\full\full#33, 44_32, 43_result\d#100\v#20\27\ping_collision_summary.csv</t>
  </si>
  <si>
    <t>D:\CBP_2026.07.21\i#3\full\full#33, 44_32, 43_result\d#100\v#20\28\ping_collision_summary.csv</t>
  </si>
  <si>
    <t>D:\CBP_2026.07.21\i#3\full\full#33, 44_32, 43_result\d#100\v#20\29\ping_collision_summary.csv</t>
  </si>
  <si>
    <t>D:\CBP_2026.07.21\i#3\full\full#33, 44_32, 43_result\d#100\v#20\2\ping_collision_summary.csv</t>
  </si>
  <si>
    <t>D:\CBP_2026.07.21\i#3\full\full#33, 44_32, 43_result\d#100\v#20\30\ping_collision_summary.csv</t>
  </si>
  <si>
    <t>D:\CBP_2026.07.21\i#3\full\full#33, 44_32, 43_result\d#100\v#20\3\ping_collision_summary.csv</t>
  </si>
  <si>
    <t>D:\CBP_2026.07.21\i#3\full\full#33, 44_32, 43_result\d#100\v#20\4\ping_collision_summary.csv</t>
  </si>
  <si>
    <t>D:\CBP_2026.07.21\i#3\full\full#33, 44_32, 43_result\d#100\v#20\5\ping_collision_summary.csv</t>
  </si>
  <si>
    <t>D:\CBP_2026.07.21\i#3\full\full#33, 44_32, 43_result\d#100\v#20\6\ping_collision_summary.csv</t>
  </si>
  <si>
    <t>D:\CBP_2026.07.21\i#3\full\full#33, 44_32, 43_result\d#100\v#20\7\ping_collision_summary.csv</t>
  </si>
  <si>
    <t>D:\CBP_2026.07.21\i#3\full\full#33, 44_32, 43_result\d#100\v#20\8\ping_collision_summary.csv</t>
  </si>
  <si>
    <t>D:\CBP_2026.07.21\i#3\full\full#33, 44_32, 43_result\d#100\v#20\9\ping_collision_summary.csv</t>
  </si>
  <si>
    <t>D:\CBP_2026.07.21\i#3\full\full#33, 44_32, 43_result\d#100\v#30\0\ping_collision_summary.csv</t>
  </si>
  <si>
    <t>D:\CBP_2026.07.21\i#3\full\full#33, 44_32, 43_result\d#100\v#30\10\ping_collision_summary.csv</t>
  </si>
  <si>
    <t>D:\CBP_2026.07.21\i#3\full\full#33, 44_32, 43_result\d#100\v#30\11\ping_collision_summary.csv</t>
  </si>
  <si>
    <t>D:\CBP_2026.07.21\i#3\full\full#33, 44_32, 43_result\d#100\v#30\12\ping_collision_summary.csv</t>
  </si>
  <si>
    <t>D:\CBP_2026.07.21\i#3\full\full#33, 44_32, 43_result\d#100\v#30\13\ping_collision_summary.csv</t>
  </si>
  <si>
    <t>D:\CBP_2026.07.21\i#3\full\full#33, 44_32, 43_result\d#100\v#30\14\ping_collision_summary.csv</t>
  </si>
  <si>
    <t>D:\CBP_2026.07.21\i#3\full\full#33, 44_32, 43_result\d#100\v#30\15\ping_collision_summary.csv</t>
  </si>
  <si>
    <t>D:\CBP_2026.07.21\i#3\full\full#33, 44_32, 43_result\d#100\v#30\16\ping_collision_summary.csv</t>
  </si>
  <si>
    <t>D:\CBP_2026.07.21\i#3\full\full#33, 44_32, 43_result\d#100\v#30\17\ping_collision_summary.csv</t>
  </si>
  <si>
    <t>D:\CBP_2026.07.21\i#3\full\full#33, 44_32, 43_result\d#100\v#30\18\ping_collision_summary.csv</t>
  </si>
  <si>
    <t>D:\CBP_2026.07.21\i#3\full\full#33, 44_32, 43_result\d#100\v#30\19\ping_collision_summary.csv</t>
  </si>
  <si>
    <t>D:\CBP_2026.07.21\i#3\full\full#33, 44_32, 43_result\d#100\v#30\1\ping_collision_summary.csv</t>
  </si>
  <si>
    <t>D:\CBP_2026.07.21\i#3\full\full#33, 44_32, 43_result\d#100\v#30\20\ping_collision_summary.csv</t>
  </si>
  <si>
    <t>D:\CBP_2026.07.21\i#3\full\full#33, 44_32, 43_result\d#100\v#30\21\ping_collision_summary.csv</t>
  </si>
  <si>
    <t>D:\CBP_2026.07.21\i#3\full\full#33, 44_32, 43_result\d#100\v#30\22\ping_collision_summary.csv</t>
  </si>
  <si>
    <t>D:\CBP_2026.07.21\i#3\full\full#33, 44_32, 43_result\d#100\v#30\23\ping_collision_summary.csv</t>
  </si>
  <si>
    <t>D:\CBP_2026.07.21\i#3\full\full#33, 44_32, 43_result\d#100\v#30\24\ping_collision_summary.csv</t>
  </si>
  <si>
    <t>D:\CBP_2026.07.21\i#3\full\full#33, 44_32, 43_result\d#100\v#30\25\ping_collision_summary.csv</t>
  </si>
  <si>
    <t>D:\CBP_2026.07.21\i#3\full\full#33, 44_32, 43_result\d#100\v#30\26\ping_collision_summary.csv</t>
  </si>
  <si>
    <t>D:\CBP_2026.07.21\i#3\full\full#33, 44_32, 43_result\d#100\v#30\27\ping_collision_summary.csv</t>
  </si>
  <si>
    <t>D:\CBP_2026.07.21\i#3\full\full#33, 44_32, 43_result\d#100\v#30\28\ping_collision_summary.csv</t>
  </si>
  <si>
    <t>D:\CBP_2026.07.21\i#3\full\full#33, 44_32, 43_result\d#100\v#30\29\ping_collision_summary.csv</t>
  </si>
  <si>
    <t>D:\CBP_2026.07.21\i#3\full\full#33, 44_32, 43_result\d#100\v#30\2\ping_collision_summary.csv</t>
  </si>
  <si>
    <t>D:\CBP_2026.07.21\i#3\full\full#33, 44_32, 43_result\d#100\v#30\30\ping_collision_summary.csv</t>
  </si>
  <si>
    <t>D:\CBP_2026.07.21\i#3\full\full#33, 44_32, 43_result\d#100\v#30\3\ping_collision_summary.csv</t>
  </si>
  <si>
    <t>D:\CBP_2026.07.21\i#3\full\full#33, 44_32, 43_result\d#100\v#30\4\ping_collision_summary.csv</t>
  </si>
  <si>
    <t>D:\CBP_2026.07.21\i#3\full\full#33, 44_32, 43_result\d#100\v#30\5\ping_collision_summary.csv</t>
  </si>
  <si>
    <t>D:\CBP_2026.07.21\i#3\full\full#33, 44_32, 43_result\d#100\v#30\6\ping_collision_summary.csv</t>
  </si>
  <si>
    <t>D:\CBP_2026.07.21\i#3\full\full#33, 44_32, 43_result\d#100\v#30\7\ping_collision_summary.csv</t>
  </si>
  <si>
    <t>D:\CBP_2026.07.21\i#3\full\full#33, 44_32, 43_result\d#100\v#30\8\ping_collision_summary.csv</t>
  </si>
  <si>
    <t>D:\CBP_2026.07.21\i#3\full\full#33, 44_32, 43_result\d#100\v#30\9\ping_collision_summary.csv</t>
  </si>
  <si>
    <t>D:\CBP_2026.07.21\i#3\full\full#33, 44_32, 43_result\d#120\v#10\0\ping_collision_summary.csv</t>
  </si>
  <si>
    <t>D:\CBP_2026.07.21\i#3\full\full#33, 44_32, 43_result\d#120\v#10\10\ping_collision_summary.csv</t>
  </si>
  <si>
    <t>D:\CBP_2026.07.21\i#3\full\full#33, 44_32, 43_result\d#120\v#10\11\ping_collision_summary.csv</t>
  </si>
  <si>
    <t>D:\CBP_2026.07.21\i#3\full\full#33, 44_32, 43_result\d#120\v#10\12\ping_collision_summary.csv</t>
  </si>
  <si>
    <t>D:\CBP_2026.07.21\i#3\full\full#33, 44_32, 43_result\d#120\v#10\13\ping_collision_summary.csv</t>
  </si>
  <si>
    <t>D:\CBP_2026.07.21\i#3\full\full#33, 44_32, 43_result\d#120\v#10\14\ping_collision_summary.csv</t>
  </si>
  <si>
    <t>D:\CBP_2026.07.21\i#3\full\full#33, 44_32, 43_result\d#120\v#10\15\ping_collision_summary.csv</t>
  </si>
  <si>
    <t>D:\CBP_2026.07.21\i#3\full\full#33, 44_32, 43_result\d#120\v#10\16\ping_collision_summary.csv</t>
  </si>
  <si>
    <t>D:\CBP_2026.07.21\i#3\full\full#33, 44_32, 43_result\d#120\v#10\17\ping_collision_summary.csv</t>
  </si>
  <si>
    <t>D:\CBP_2026.07.21\i#3\full\full#33, 44_32, 43_result\d#120\v#10\18\ping_collision_summary.csv</t>
  </si>
  <si>
    <t>D:\CBP_2026.07.21\i#3\full\full#33, 44_32, 43_result\d#120\v#10\19\ping_collision_summary.csv</t>
  </si>
  <si>
    <t>D:\CBP_2026.07.21\i#3\full\full#33, 44_32, 43_result\d#120\v#10\1\ping_collision_summary.csv</t>
  </si>
  <si>
    <t>D:\CBP_2026.07.21\i#3\full\full#33, 44_32, 43_result\d#120\v#10\20\ping_collision_summary.csv</t>
  </si>
  <si>
    <t>D:\CBP_2026.07.21\i#3\full\full#33, 44_32, 43_result\d#120\v#10\21\ping_collision_summary.csv</t>
  </si>
  <si>
    <t>D:\CBP_2026.07.21\i#3\full\full#33, 44_32, 43_result\d#120\v#10\22\ping_collision_summary.csv</t>
  </si>
  <si>
    <t>D:\CBP_2026.07.21\i#3\full\full#33, 44_32, 43_result\d#120\v#10\23\ping_collision_summary.csv</t>
  </si>
  <si>
    <t>D:\CBP_2026.07.21\i#3\full\full#33, 44_32, 43_result\d#120\v#10\24\ping_collision_summary.csv</t>
  </si>
  <si>
    <t>D:\CBP_2026.07.21\i#3\full\full#33, 44_32, 43_result\d#120\v#10\25\ping_collision_summary.csv</t>
  </si>
  <si>
    <t>D:\CBP_2026.07.21\i#3\full\full#33, 44_32, 43_result\d#120\v#10\26\ping_collision_summary.csv</t>
  </si>
  <si>
    <t>D:\CBP_2026.07.21\i#3\full\full#33, 44_32, 43_result\d#120\v#10\27\ping_collision_summary.csv</t>
  </si>
  <si>
    <t>D:\CBP_2026.07.21\i#3\full\full#33, 44_32, 43_result\d#120\v#10\28\ping_collision_summary.csv</t>
  </si>
  <si>
    <t>D:\CBP_2026.07.21\i#3\full\full#33, 44_32, 43_result\d#120\v#10\29\ping_collision_summary.csv</t>
  </si>
  <si>
    <t>D:\CBP_2026.07.21\i#3\full\full#33, 44_32, 43_result\d#120\v#10\2\ping_collision_summary.csv</t>
  </si>
  <si>
    <t>D:\CBP_2026.07.21\i#3\full\full#33, 44_32, 43_result\d#120\v#10\30\ping_collision_summary.csv</t>
  </si>
  <si>
    <t>D:\CBP_2026.07.21\i#3\full\full#33, 44_32, 43_result\d#120\v#10\3\ping_collision_summary.csv</t>
  </si>
  <si>
    <t>D:\CBP_2026.07.21\i#3\full\full#33, 44_32, 43_result\d#120\v#10\4\ping_collision_summary.csv</t>
  </si>
  <si>
    <t>D:\CBP_2026.07.21\i#3\full\full#33, 44_32, 43_result\d#120\v#10\5\ping_collision_summary.csv</t>
  </si>
  <si>
    <t>D:\CBP_2026.07.21\i#3\full\full#33, 44_32, 43_result\d#120\v#10\6\ping_collision_summary.csv</t>
  </si>
  <si>
    <t>D:\CBP_2026.07.21\i#3\full\full#33, 44_32, 43_result\d#120\v#10\7\ping_collision_summary.csv</t>
  </si>
  <si>
    <t>D:\CBP_2026.07.21\i#3\full\full#33, 44_32, 43_result\d#120\v#10\8\ping_collision_summary.csv</t>
  </si>
  <si>
    <t>D:\CBP_2026.07.21\i#3\full\full#33, 44_32, 43_result\d#120\v#10\9\ping_collision_summary.csv</t>
  </si>
  <si>
    <t>D:\CBP_2026.07.21\i#3\full\full#33, 44_32, 43_result\d#120\v#20\0\ping_collision_summary.csv</t>
  </si>
  <si>
    <t>D:\CBP_2026.07.21\i#3\full\full#33, 44_32, 43_result\d#120\v#20\10\ping_collision_summary.csv</t>
  </si>
  <si>
    <t>D:\CBP_2026.07.21\i#3\full\full#33, 44_32, 43_result\d#120\v#20\11\ping_collision_summary.csv</t>
  </si>
  <si>
    <t>D:\CBP_2026.07.21\i#3\full\full#33, 44_32, 43_result\d#120\v#20\12\ping_collision_summary.csv</t>
  </si>
  <si>
    <t>D:\CBP_2026.07.21\i#3\full\full#33, 44_32, 43_result\d#120\v#20\13\ping_collision_summary.csv</t>
  </si>
  <si>
    <t>D:\CBP_2026.07.21\i#3\full\full#33, 44_32, 43_result\d#120\v#20\14\ping_collision_summary.csv</t>
  </si>
  <si>
    <t>D:\CBP_2026.07.21\i#3\full\full#33, 44_32, 43_result\d#120\v#20\15\ping_collision_summary.csv</t>
  </si>
  <si>
    <t>D:\CBP_2026.07.21\i#3\full\full#33, 44_32, 43_result\d#120\v#20\16\ping_collision_summary.csv</t>
  </si>
  <si>
    <t>D:\CBP_2026.07.21\i#3\full\full#33, 44_32, 43_result\d#120\v#20\17\ping_collision_summary.csv</t>
  </si>
  <si>
    <t>D:\CBP_2026.07.21\i#3\full\full#33, 44_32, 43_result\d#120\v#20\18\ping_collision_summary.csv</t>
  </si>
  <si>
    <t>D:\CBP_2026.07.21\i#3\full\full#33, 44_32, 43_result\d#120\v#20\19\ping_collision_summary.csv</t>
  </si>
  <si>
    <t>D:\CBP_2026.07.21\i#3\full\full#33, 44_32, 43_result\d#120\v#20\1\ping_collision_summary.csv</t>
  </si>
  <si>
    <t>D:\CBP_2026.07.21\i#3\full\full#33, 44_32, 43_result\d#120\v#20\20\ping_collision_summary.csv</t>
  </si>
  <si>
    <t>D:\CBP_2026.07.21\i#3\full\full#33, 44_32, 43_result\d#120\v#20\21\ping_collision_summary.csv</t>
  </si>
  <si>
    <t>D:\CBP_2026.07.21\i#3\full\full#33, 44_32, 43_result\d#120\v#20\22\ping_collision_summary.csv</t>
  </si>
  <si>
    <t>D:\CBP_2026.07.21\i#3\full\full#33, 44_32, 43_result\d#120\v#20\23\ping_collision_summary.csv</t>
  </si>
  <si>
    <t>D:\CBP_2026.07.21\i#3\full\full#33, 44_32, 43_result\d#120\v#20\24\ping_collision_summary.csv</t>
  </si>
  <si>
    <t>D:\CBP_2026.07.21\i#3\full\full#33, 44_32, 43_result\d#120\v#20\25\ping_collision_summary.csv</t>
  </si>
  <si>
    <t>D:\CBP_2026.07.21\i#3\full\full#33, 44_32, 43_result\d#120\v#20\26\ping_collision_summary.csv</t>
  </si>
  <si>
    <t>D:\CBP_2026.07.21\i#3\full\full#33, 44_32, 43_result\d#120\v#20\27\ping_collision_summary.csv</t>
  </si>
  <si>
    <t>D:\CBP_2026.07.21\i#3\full\full#33, 44_32, 43_result\d#120\v#20\28\ping_collision_summary.csv</t>
  </si>
  <si>
    <t>D:\CBP_2026.07.21\i#3\full\full#33, 44_32, 43_result\d#120\v#20\29\ping_collision_summary.csv</t>
  </si>
  <si>
    <t>D:\CBP_2026.07.21\i#3\full\full#33, 44_32, 43_result\d#120\v#20\2\ping_collision_summary.csv</t>
  </si>
  <si>
    <t>D:\CBP_2026.07.21\i#3\full\full#33, 44_32, 43_result\d#120\v#20\30\ping_collision_summary.csv</t>
  </si>
  <si>
    <t>D:\CBP_2026.07.21\i#3\full\full#33, 44_32, 43_result\d#120\v#20\3\ping_collision_summary.csv</t>
  </si>
  <si>
    <t>D:\CBP_2026.07.21\i#3\full\full#33, 44_32, 43_result\d#120\v#20\4\ping_collision_summary.csv</t>
  </si>
  <si>
    <t>D:\CBP_2026.07.21\i#3\full\full#33, 44_32, 43_result\d#120\v#20\5\ping_collision_summary.csv</t>
  </si>
  <si>
    <t>D:\CBP_2026.07.21\i#3\full\full#33, 44_32, 43_result\d#120\v#20\6\ping_collision_summary.csv</t>
  </si>
  <si>
    <t>D:\CBP_2026.07.21\i#3\full\full#33, 44_32, 43_result\d#120\v#20\7\ping_collision_summary.csv</t>
  </si>
  <si>
    <t>D:\CBP_2026.07.21\i#3\full\full#33, 44_32, 43_result\d#120\v#20\8\ping_collision_summary.csv</t>
  </si>
  <si>
    <t>D:\CBP_2026.07.21\i#3\full\full#33, 44_32, 43_result\d#120\v#20\9\ping_collision_summary.csv</t>
  </si>
  <si>
    <t>D:\CBP_2026.07.21\i#3\full\full#33, 44_32, 43_result\d#120\v#30\0\ping_collision_summary.csv</t>
  </si>
  <si>
    <t>D:\CBP_2026.07.21\i#3\full\full#33, 44_32, 43_result\d#120\v#30\10\ping_collision_summary.csv</t>
  </si>
  <si>
    <t>D:\CBP_2026.07.21\i#3\full\full#33, 44_32, 43_result\d#120\v#30\11\ping_collision_summary.csv</t>
  </si>
  <si>
    <t>D:\CBP_2026.07.21\i#3\full\full#33, 44_32, 43_result\d#120\v#30\12\ping_collision_summary.csv</t>
  </si>
  <si>
    <t>D:\CBP_2026.07.21\i#3\full\full#33, 44_32, 43_result\d#120\v#30\13\ping_collision_summary.csv</t>
  </si>
  <si>
    <t>D:\CBP_2026.07.21\i#3\full\full#33, 44_32, 43_result\d#120\v#30\14\ping_collision_summary.csv</t>
  </si>
  <si>
    <t>D:\CBP_2026.07.21\i#3\full\full#33, 44_32, 43_result\d#120\v#30\15\ping_collision_summary.csv</t>
  </si>
  <si>
    <t>D:\CBP_2026.07.21\i#3\full\full#33, 44_32, 43_result\d#120\v#30\16\ping_collision_summary.csv</t>
  </si>
  <si>
    <t>D:\CBP_2026.07.21\i#3\full\full#33, 44_32, 43_result\d#120\v#30\17\ping_collision_summary.csv</t>
  </si>
  <si>
    <t>D:\CBP_2026.07.21\i#3\full\full#33, 44_32, 43_result\d#120\v#30\18\ping_collision_summary.csv</t>
  </si>
  <si>
    <t>D:\CBP_2026.07.21\i#3\full\full#33, 44_32, 43_result\d#120\v#30\19\ping_collision_summary.csv</t>
  </si>
  <si>
    <t>D:\CBP_2026.07.21\i#3\full\full#33, 44_32, 43_result\d#120\v#30\1\ping_collision_summary.csv</t>
  </si>
  <si>
    <t>D:\CBP_2026.07.21\i#3\full\full#33, 44_32, 43_result\d#120\v#30\20\ping_collision_summary.csv</t>
  </si>
  <si>
    <t>D:\CBP_2026.07.21\i#3\full\full#33, 44_32, 43_result\d#120\v#30\21\ping_collision_summary.csv</t>
  </si>
  <si>
    <t>D:\CBP_2026.07.21\i#3\full\full#33, 44_32, 43_result\d#120\v#30\22\ping_collision_summary.csv</t>
  </si>
  <si>
    <t>D:\CBP_2026.07.21\i#3\full\full#33, 44_32, 43_result\d#120\v#30\23\ping_collision_summary.csv</t>
  </si>
  <si>
    <t>D:\CBP_2026.07.21\i#3\full\full#33, 44_32, 43_result\d#120\v#30\24\ping_collision_summary.csv</t>
  </si>
  <si>
    <t>D:\CBP_2026.07.21\i#3\full\full#33, 44_32, 43_result\d#120\v#30\25\ping_collision_summary.csv</t>
  </si>
  <si>
    <t>D:\CBP_2026.07.21\i#3\full\full#33, 44_32, 43_result\d#120\v#30\26\ping_collision_summary.csv</t>
  </si>
  <si>
    <t>D:\CBP_2026.07.21\i#3\full\full#33, 44_32, 43_result\d#120\v#30\27\ping_collision_summary.csv</t>
  </si>
  <si>
    <t>D:\CBP_2026.07.21\i#3\full\full#33, 44_32, 43_result\d#120\v#30\28\ping_collision_summary.csv</t>
  </si>
  <si>
    <t>D:\CBP_2026.07.21\i#3\full\full#33, 44_32, 43_result\d#120\v#30\29\ping_collision_summary.csv</t>
  </si>
  <si>
    <t>D:\CBP_2026.07.21\i#3\full\full#33, 44_32, 43_result\d#120\v#30\2\ping_collision_summary.csv</t>
  </si>
  <si>
    <t>D:\CBP_2026.07.21\i#3\full\full#33, 44_32, 43_result\d#120\v#30\30\ping_collision_summary.csv</t>
  </si>
  <si>
    <t>D:\CBP_2026.07.21\i#3\full\full#33, 44_32, 43_result\d#120\v#30\3\ping_collision_summary.csv</t>
  </si>
  <si>
    <t>D:\CBP_2026.07.21\i#3\full\full#33, 44_32, 43_result\d#120\v#30\4\ping_collision_summary.csv</t>
  </si>
  <si>
    <t>D:\CBP_2026.07.21\i#3\full\full#33, 44_32, 43_result\d#120\v#30\5\ping_collision_summary.csv</t>
  </si>
  <si>
    <t>D:\CBP_2026.07.21\i#3\full\full#33, 44_32, 43_result\d#120\v#30\6\ping_collision_summary.csv</t>
  </si>
  <si>
    <t>D:\CBP_2026.07.21\i#3\full\full#33, 44_32, 43_result\d#120\v#30\7\ping_collision_summary.csv</t>
  </si>
  <si>
    <t>D:\CBP_2026.07.21\i#3\full\full#33, 44_32, 43_result\d#120\v#30\8\ping_collision_summary.csv</t>
  </si>
  <si>
    <t>D:\CBP_2026.07.21\i#3\full\full#33, 44_32, 43_result\d#120\v#30\9\ping_collision_summary.csv</t>
  </si>
  <si>
    <t>D:\CBP_2026.07.21\i#3\full\full#33, 44_32, 43_result\d#70\v#10\0\ping_collision_summary.csv</t>
  </si>
  <si>
    <t>D:\CBP_2026.07.21\i#3\full\full#33, 44_32, 43_result\d#70\v#10\10\ping_collision_summary.csv</t>
  </si>
  <si>
    <t>D:\CBP_2026.07.21\i#3\full\full#33, 44_32, 43_result\d#70\v#10\11\ping_collision_summary.csv</t>
  </si>
  <si>
    <t>D:\CBP_2026.07.21\i#3\full\full#33, 44_32, 43_result\d#70\v#10\12\ping_collision_summary.csv</t>
  </si>
  <si>
    <t>D:\CBP_2026.07.21\i#3\full\full#33, 44_32, 43_result\d#70\v#10\13\ping_collision_summary.csv</t>
  </si>
  <si>
    <t>D:\CBP_2026.07.21\i#3\full\full#33, 44_32, 43_result\d#70\v#10\14\ping_collision_summary.csv</t>
  </si>
  <si>
    <t>D:\CBP_2026.07.21\i#3\full\full#33, 44_32, 43_result\d#70\v#10\15\ping_collision_summary.csv</t>
  </si>
  <si>
    <t>D:\CBP_2026.07.21\i#3\full\full#33, 44_32, 43_result\d#70\v#10\16\ping_collision_summary.csv</t>
  </si>
  <si>
    <t>D:\CBP_2026.07.21\i#3\full\full#33, 44_32, 43_result\d#70\v#10\17\ping_collision_summary.csv</t>
  </si>
  <si>
    <t>D:\CBP_2026.07.21\i#3\full\full#33, 44_32, 43_result\d#70\v#10\18\ping_collision_summary.csv</t>
  </si>
  <si>
    <t>D:\CBP_2026.07.21\i#3\full\full#33, 44_32, 43_result\d#70\v#10\19\ping_collision_summary.csv</t>
  </si>
  <si>
    <t>D:\CBP_2026.07.21\i#3\full\full#33, 44_32, 43_result\d#70\v#10\1\ping_collision_summary.csv</t>
  </si>
  <si>
    <t>D:\CBP_2026.07.21\i#3\full\full#33, 44_32, 43_result\d#70\v#10\20\ping_collision_summary.csv</t>
  </si>
  <si>
    <t>D:\CBP_2026.07.21\i#3\full\full#33, 44_32, 43_result\d#70\v#10\21\ping_collision_summary.csv</t>
  </si>
  <si>
    <t>D:\CBP_2026.07.21\i#3\full\full#33, 44_32, 43_result\d#70\v#10\22\ping_collision_summary.csv</t>
  </si>
  <si>
    <t>D:\CBP_2026.07.21\i#3\full\full#33, 44_32, 43_result\d#70\v#10\23\ping_collision_summary.csv</t>
  </si>
  <si>
    <t>D:\CBP_2026.07.21\i#3\full\full#33, 44_32, 43_result\d#70\v#10\24\ping_collision_summary.csv</t>
  </si>
  <si>
    <t>D:\CBP_2026.07.21\i#3\full\full#33, 44_32, 43_result\d#70\v#10\25\ping_collision_summary.csv</t>
  </si>
  <si>
    <t>D:\CBP_2026.07.21\i#3\full\full#33, 44_32, 43_result\d#70\v#10\26\ping_collision_summary.csv</t>
  </si>
  <si>
    <t>D:\CBP_2026.07.21\i#3\full\full#33, 44_32, 43_result\d#70\v#10\27\ping_collision_summary.csv</t>
  </si>
  <si>
    <t>D:\CBP_2026.07.21\i#3\full\full#33, 44_32, 43_result\d#70\v#10\28\ping_collision_summary.csv</t>
  </si>
  <si>
    <t>D:\CBP_2026.07.21\i#3\full\full#33, 44_32, 43_result\d#70\v#10\29\ping_collision_summary.csv</t>
  </si>
  <si>
    <t>D:\CBP_2026.07.21\i#3\full\full#33, 44_32, 43_result\d#70\v#10\2\ping_collision_summary.csv</t>
  </si>
  <si>
    <t>D:\CBP_2026.07.21\i#3\full\full#33, 44_32, 43_result\d#70\v#10\30\ping_collision_summary.csv</t>
  </si>
  <si>
    <t>D:\CBP_2026.07.21\i#3\full\full#33, 44_32, 43_result\d#70\v#10\3\ping_collision_summary.csv</t>
  </si>
  <si>
    <t>D:\CBP_2026.07.21\i#3\full\full#33, 44_32, 43_result\d#70\v#10\4\ping_collision_summary.csv</t>
  </si>
  <si>
    <t>D:\CBP_2026.07.21\i#3\full\full#33, 44_32, 43_result\d#70\v#10\5\ping_collision_summary.csv</t>
  </si>
  <si>
    <t>D:\CBP_2026.07.21\i#3\full\full#33, 44_32, 43_result\d#70\v#10\6\ping_collision_summary.csv</t>
  </si>
  <si>
    <t>D:\CBP_2026.07.21\i#3\full\full#33, 44_32, 43_result\d#70\v#10\7\ping_collision_summary.csv</t>
  </si>
  <si>
    <t>D:\CBP_2026.07.21\i#3\full\full#33, 44_32, 43_result\d#70\v#10\8\ping_collision_summary.csv</t>
  </si>
  <si>
    <t>D:\CBP_2026.07.21\i#3\full\full#33, 44_32, 43_result\d#70\v#10\9\ping_collision_summary.csv</t>
  </si>
  <si>
    <t>D:\CBP_2026.07.21\i#3\full\full#33, 44_32, 43_result\d#70\v#20\0\ping_collision_summary.csv</t>
  </si>
  <si>
    <t>D:\CBP_2026.07.21\i#3\full\full#33, 44_32, 43_result\d#70\v#20\10\ping_collision_summary.csv</t>
  </si>
  <si>
    <t>D:\CBP_2026.07.21\i#3\full\full#33, 44_32, 43_result\d#70\v#20\11\ping_collision_summary.csv</t>
  </si>
  <si>
    <t>D:\CBP_2026.07.21\i#3\full\full#33, 44_32, 43_result\d#70\v#20\12\ping_collision_summary.csv</t>
  </si>
  <si>
    <t>D:\CBP_2026.07.21\i#3\full\full#33, 44_32, 43_result\d#70\v#20\13\ping_collision_summary.csv</t>
  </si>
  <si>
    <t>D:\CBP_2026.07.21\i#3\full\full#33, 44_32, 43_result\d#70\v#20\14\ping_collision_summary.csv</t>
  </si>
  <si>
    <t>D:\CBP_2026.07.21\i#3\full\full#33, 44_32, 43_result\d#70\v#20\15\ping_collision_summary.csv</t>
  </si>
  <si>
    <t>D:\CBP_2026.07.21\i#3\full\full#33, 44_32, 43_result\d#70\v#20\16\ping_collision_summary.csv</t>
  </si>
  <si>
    <t>D:\CBP_2026.07.21\i#3\full\full#33, 44_32, 43_result\d#70\v#20\17\ping_collision_summary.csv</t>
  </si>
  <si>
    <t>D:\CBP_2026.07.21\i#3\full\full#33, 44_32, 43_result\d#70\v#20\18\ping_collision_summary.csv</t>
  </si>
  <si>
    <t>D:\CBP_2026.07.21\i#3\full\full#33, 44_32, 43_result\d#70\v#20\19\ping_collision_summary.csv</t>
  </si>
  <si>
    <t>D:\CBP_2026.07.21\i#3\full\full#33, 44_32, 43_result\d#70\v#20\1\ping_collision_summary.csv</t>
  </si>
  <si>
    <t>D:\CBP_2026.07.21\i#3\full\full#33, 44_32, 43_result\d#70\v#20\20\ping_collision_summary.csv</t>
  </si>
  <si>
    <t>D:\CBP_2026.07.21\i#3\full\full#33, 44_32, 43_result\d#70\v#20\21\ping_collision_summary.csv</t>
  </si>
  <si>
    <t>D:\CBP_2026.07.21\i#3\full\full#33, 44_32, 43_result\d#70\v#20\22\ping_collision_summary.csv</t>
  </si>
  <si>
    <t>D:\CBP_2026.07.21\i#3\full\full#33, 44_32, 43_result\d#70\v#20\23\ping_collision_summary.csv</t>
  </si>
  <si>
    <t>D:\CBP_2026.07.21\i#3\full\full#33, 44_32, 43_result\d#70\v#20\24\ping_collision_summary.csv</t>
  </si>
  <si>
    <t>D:\CBP_2026.07.21\i#3\full\full#33, 44_32, 43_result\d#70\v#20\25\ping_collision_summary.csv</t>
  </si>
  <si>
    <t>D:\CBP_2026.07.21\i#3\full\full#33, 44_32, 43_result\d#70\v#20\26\ping_collision_summary.csv</t>
  </si>
  <si>
    <t>D:\CBP_2026.07.21\i#3\full\full#33, 44_32, 43_result\d#70\v#20\27\ping_collision_summary.csv</t>
  </si>
  <si>
    <t>D:\CBP_2026.07.21\i#3\full\full#33, 44_32, 43_result\d#70\v#20\28\ping_collision_summary.csv</t>
  </si>
  <si>
    <t>D:\CBP_2026.07.21\i#3\full\full#33, 44_32, 43_result\d#70\v#20\29\ping_collision_summary.csv</t>
  </si>
  <si>
    <t>D:\CBP_2026.07.21\i#3\full\full#33, 44_32, 43_result\d#70\v#20\2\ping_collision_summary.csv</t>
  </si>
  <si>
    <t>D:\CBP_2026.07.21\i#3\full\full#33, 44_32, 43_result\d#70\v#20\30\ping_collision_summary.csv</t>
  </si>
  <si>
    <t>D:\CBP_2026.07.21\i#3\full\full#33, 44_32, 43_result\d#70\v#20\3\ping_collision_summary.csv</t>
  </si>
  <si>
    <t>D:\CBP_2026.07.21\i#3\full\full#33, 44_32, 43_result\d#70\v#20\4\ping_collision_summary.csv</t>
  </si>
  <si>
    <t>D:\CBP_2026.07.21\i#3\full\full#33, 44_32, 43_result\d#70\v#20\5\ping_collision_summary.csv</t>
  </si>
  <si>
    <t>D:\CBP_2026.07.21\i#3\full\full#33, 44_32, 43_result\d#70\v#20\6\ping_collision_summary.csv</t>
  </si>
  <si>
    <t>D:\CBP_2026.07.21\i#3\full\full#33, 44_32, 43_result\d#70\v#20\7\ping_collision_summary.csv</t>
  </si>
  <si>
    <t>D:\CBP_2026.07.21\i#3\full\full#33, 44_32, 43_result\d#70\v#20\8\ping_collision_summary.csv</t>
  </si>
  <si>
    <t>D:\CBP_2026.07.21\i#3\full\full#33, 44_32, 43_result\d#70\v#20\9\ping_collision_summary.csv</t>
  </si>
  <si>
    <t>D:\CBP_2026.07.21\i#3\full\full#33, 44_32, 43_result\d#70\v#30\0\ping_collision_summary.csv</t>
  </si>
  <si>
    <t>D:\CBP_2026.07.21\i#3\full\full#33, 44_32, 43_result\d#70\v#30\10\ping_collision_summary.csv</t>
  </si>
  <si>
    <t>D:\CBP_2026.07.21\i#3\full\full#33, 44_32, 43_result\d#70\v#30\11\ping_collision_summary.csv</t>
  </si>
  <si>
    <t>D:\CBP_2026.07.21\i#3\full\full#33, 44_32, 43_result\d#70\v#30\12\ping_collision_summary.csv</t>
  </si>
  <si>
    <t>D:\CBP_2026.07.21\i#3\full\full#33, 44_32, 43_result\d#70\v#30\13\ping_collision_summary.csv</t>
  </si>
  <si>
    <t>D:\CBP_2026.07.21\i#3\full\full#33, 44_32, 43_result\d#70\v#30\14\ping_collision_summary.csv</t>
  </si>
  <si>
    <t>D:\CBP_2026.07.21\i#3\full\full#33, 44_32, 43_result\d#70\v#30\15\ping_collision_summary.csv</t>
  </si>
  <si>
    <t>D:\CBP_2026.07.21\i#3\full\full#33, 44_32, 43_result\d#70\v#30\16\ping_collision_summary.csv</t>
  </si>
  <si>
    <t>D:\CBP_2026.07.21\i#3\full\full#33, 44_32, 43_result\d#70\v#30\17\ping_collision_summary.csv</t>
  </si>
  <si>
    <t>D:\CBP_2026.07.21\i#3\full\full#33, 44_32, 43_result\d#70\v#30\18\ping_collision_summary.csv</t>
  </si>
  <si>
    <t>D:\CBP_2026.07.21\i#3\full\full#33, 44_32, 43_result\d#70\v#30\19\ping_collision_summary.csv</t>
  </si>
  <si>
    <t>D:\CBP_2026.07.21\i#3\full\full#33, 44_32, 43_result\d#70\v#30\1\ping_collision_summary.csv</t>
  </si>
  <si>
    <t>D:\CBP_2026.07.21\i#3\full\full#33, 44_32, 43_result\d#70\v#30\20\ping_collision_summary.csv</t>
  </si>
  <si>
    <t>D:\CBP_2026.07.21\i#3\full\full#33, 44_32, 43_result\d#70\v#30\21\ping_collision_summary.csv</t>
  </si>
  <si>
    <t>D:\CBP_2026.07.21\i#3\full\full#33, 44_32, 43_result\d#70\v#30\22\ping_collision_summary.csv</t>
  </si>
  <si>
    <t>D:\CBP_2026.07.21\i#3\full\full#33, 44_32, 43_result\d#70\v#30\23\ping_collision_summary.csv</t>
  </si>
  <si>
    <t>D:\CBP_2026.07.21\i#3\full\full#33, 44_32, 43_result\d#70\v#30\24\ping_collision_summary.csv</t>
  </si>
  <si>
    <t>D:\CBP_2026.07.21\i#3\full\full#33, 44_32, 43_result\d#70\v#30\25\ping_collision_summary.csv</t>
  </si>
  <si>
    <t>D:\CBP_2026.07.21\i#3\full\full#33, 44_32, 43_result\d#70\v#30\26\ping_collision_summary.csv</t>
  </si>
  <si>
    <t>D:\CBP_2026.07.21\i#3\full\full#33, 44_32, 43_result\d#70\v#30\27\ping_collision_summary.csv</t>
  </si>
  <si>
    <t>D:\CBP_2026.07.21\i#3\full\full#33, 44_32, 43_result\d#70\v#30\28\ping_collision_summary.csv</t>
  </si>
  <si>
    <t>D:\CBP_2026.07.21\i#3\full\full#33, 44_32, 43_result\d#70\v#30\29\ping_collision_summary.csv</t>
  </si>
  <si>
    <t>D:\CBP_2026.07.21\i#3\full\full#33, 44_32, 43_result\d#70\v#30\2\ping_collision_summary.csv</t>
  </si>
  <si>
    <t>D:\CBP_2026.07.21\i#3\full\full#33, 44_32, 43_result\d#70\v#30\30\ping_collision_summary.csv</t>
  </si>
  <si>
    <t>D:\CBP_2026.07.21\i#3\full\full#33, 44_32, 43_result\d#70\v#30\3\ping_collision_summary.csv</t>
  </si>
  <si>
    <t>D:\CBP_2026.07.21\i#3\full\full#33, 44_32, 43_result\d#70\v#30\4\ping_collision_summary.csv</t>
  </si>
  <si>
    <t>D:\CBP_2026.07.21\i#3\full\full#33, 44_32, 43_result\d#70\v#30\5\ping_collision_summary.csv</t>
  </si>
  <si>
    <t>D:\CBP_2026.07.21\i#3\full\full#33, 44_32, 43_result\d#70\v#30\6\ping_collision_summary.csv</t>
  </si>
  <si>
    <t>D:\CBP_2026.07.21\i#3\full\full#33, 44_32, 43_result\d#70\v#30\7\ping_collision_summary.csv</t>
  </si>
  <si>
    <t>D:\CBP_2026.07.21\i#3\full\full#33, 44_32, 43_result\d#70\v#30\8\ping_collision_summary.csv</t>
  </si>
  <si>
    <t>D:\CBP_2026.07.21\i#3\full\full#33, 44_32, 43_result\d#70\v#30\9\ping_collision_summary.csv</t>
  </si>
  <si>
    <t>D:\CBP_2026.07.21\i#3\full\full#44, 101_43, 101_result\d#100\v#10\0\ping_collision_summary.csv</t>
  </si>
  <si>
    <t>D:\CBP_2026.07.21\i#3\full\full#44, 101_43, 101_result\d#100\v#10\10\ping_collision_summary.csv</t>
  </si>
  <si>
    <t>D:\CBP_2026.07.21\i#3\full\full#44, 101_43, 101_result\d#100\v#10\11\ping_collision_summary.csv</t>
  </si>
  <si>
    <t>D:\CBP_2026.07.21\i#3\full\full#44, 101_43, 101_result\d#100\v#10\12\ping_collision_summary.csv</t>
  </si>
  <si>
    <t>D:\CBP_2026.07.21\i#3\full\full#44, 101_43, 101_result\d#100\v#10\13\ping_collision_summary.csv</t>
  </si>
  <si>
    <t>D:\CBP_2026.07.21\i#3\full\full#44, 101_43, 101_result\d#100\v#10\14\ping_collision_summary.csv</t>
  </si>
  <si>
    <t>D:\CBP_2026.07.21\i#3\full\full#44, 101_43, 101_result\d#100\v#10\15\ping_collision_summary.csv</t>
  </si>
  <si>
    <t>D:\CBP_2026.07.21\i#3\full\full#44, 101_43, 101_result\d#100\v#10\16\ping_collision_summary.csv</t>
  </si>
  <si>
    <t>D:\CBP_2026.07.21\i#3\full\full#44, 101_43, 101_result\d#100\v#10\17\ping_collision_summary.csv</t>
  </si>
  <si>
    <t>D:\CBP_2026.07.21\i#3\full\full#44, 101_43, 101_result\d#100\v#10\18\ping_collision_summary.csv</t>
  </si>
  <si>
    <t>D:\CBP_2026.07.21\i#3\full\full#44, 101_43, 101_result\d#100\v#10\19\ping_collision_summary.csv</t>
  </si>
  <si>
    <t>D:\CBP_2026.07.21\i#3\full\full#44, 101_43, 101_result\d#100\v#10\1\ping_collision_summary.csv</t>
  </si>
  <si>
    <t>D:\CBP_2026.07.21\i#3\full\full#44, 101_43, 101_result\d#100\v#10\20\ping_collision_summary.csv</t>
  </si>
  <si>
    <t>D:\CBP_2026.07.21\i#3\full\full#44, 101_43, 101_result\d#100\v#10\21\ping_collision_summary.csv</t>
  </si>
  <si>
    <t>D:\CBP_2026.07.21\i#3\full\full#44, 101_43, 101_result\d#100\v#10\22\ping_collision_summary.csv</t>
  </si>
  <si>
    <t>D:\CBP_2026.07.21\i#3\full\full#44, 101_43, 101_result\d#100\v#10\23\ping_collision_summary.csv</t>
  </si>
  <si>
    <t>D:\CBP_2026.07.21\i#3\full\full#44, 101_43, 101_result\d#100\v#10\24\ping_collision_summary.csv</t>
  </si>
  <si>
    <t>D:\CBP_2026.07.21\i#3\full\full#44, 101_43, 101_result\d#100\v#10\25\ping_collision_summary.csv</t>
  </si>
  <si>
    <t>D:\CBP_2026.07.21\i#3\full\full#44, 101_43, 101_result\d#100\v#10\26\ping_collision_summary.csv</t>
  </si>
  <si>
    <t>D:\CBP_2026.07.21\i#3\full\full#44, 101_43, 101_result\d#100\v#10\27\ping_collision_summary.csv</t>
  </si>
  <si>
    <t>D:\CBP_2026.07.21\i#3\full\full#44, 101_43, 101_result\d#100\v#10\28\ping_collision_summary.csv</t>
  </si>
  <si>
    <t>D:\CBP_2026.07.21\i#3\full\full#44, 101_43, 101_result\d#100\v#10\29\ping_collision_summary.csv</t>
  </si>
  <si>
    <t>D:\CBP_2026.07.21\i#3\full\full#44, 101_43, 101_result\d#100\v#10\2\ping_collision_summary.csv</t>
  </si>
  <si>
    <t>D:\CBP_2026.07.21\i#3\full\full#44, 101_43, 101_result\d#100\v#10\30\ping_collision_summary.csv</t>
  </si>
  <si>
    <t>D:\CBP_2026.07.21\i#3\full\full#44, 101_43, 101_result\d#100\v#10\3\ping_collision_summary.csv</t>
  </si>
  <si>
    <t>D:\CBP_2026.07.21\i#3\full\full#44, 101_43, 101_result\d#100\v#10\4\ping_collision_summary.csv</t>
  </si>
  <si>
    <t>D:\CBP_2026.07.21\i#3\full\full#44, 101_43, 101_result\d#100\v#10\5\ping_collision_summary.csv</t>
  </si>
  <si>
    <t>D:\CBP_2026.07.21\i#3\full\full#44, 101_43, 101_result\d#100\v#10\6\ping_collision_summary.csv</t>
  </si>
  <si>
    <t>D:\CBP_2026.07.21\i#3\full\full#44, 101_43, 101_result\d#100\v#10\7\ping_collision_summary.csv</t>
  </si>
  <si>
    <t>D:\CBP_2026.07.21\i#3\full\full#44, 101_43, 101_result\d#100\v#10\8\ping_collision_summary.csv</t>
  </si>
  <si>
    <t>D:\CBP_2026.07.21\i#3\full\full#44, 101_43, 101_result\d#100\v#10\9\ping_collision_summary.csv</t>
  </si>
  <si>
    <t>D:\CBP_2026.07.21\i#3\full\full#44, 101_43, 101_result\d#100\v#20\0\ping_collision_summary.csv</t>
  </si>
  <si>
    <t>D:\CBP_2026.07.21\i#3\full\full#44, 101_43, 101_result\d#100\v#20\10\ping_collision_summary.csv</t>
  </si>
  <si>
    <t>D:\CBP_2026.07.21\i#3\full\full#44, 101_43, 101_result\d#100\v#20\11\ping_collision_summary.csv</t>
  </si>
  <si>
    <t>D:\CBP_2026.07.21\i#3\full\full#44, 101_43, 101_result\d#100\v#20\12\ping_collision_summary.csv</t>
  </si>
  <si>
    <t>D:\CBP_2026.07.21\i#3\full\full#44, 101_43, 101_result\d#100\v#20\13\ping_collision_summary.csv</t>
  </si>
  <si>
    <t>D:\CBP_2026.07.21\i#3\full\full#44, 101_43, 101_result\d#100\v#20\14\ping_collision_summary.csv</t>
  </si>
  <si>
    <t>D:\CBP_2026.07.21\i#3\full\full#44, 101_43, 101_result\d#100\v#20\15\ping_collision_summary.csv</t>
  </si>
  <si>
    <t>D:\CBP_2026.07.21\i#3\full\full#44, 101_43, 101_result\d#100\v#20\16\ping_collision_summary.csv</t>
  </si>
  <si>
    <t>D:\CBP_2026.07.21\i#3\full\full#44, 101_43, 101_result\d#100\v#20\17\ping_collision_summary.csv</t>
  </si>
  <si>
    <t>D:\CBP_2026.07.21\i#3\full\full#44, 101_43, 101_result\d#100\v#20\18\ping_collision_summary.csv</t>
  </si>
  <si>
    <t>D:\CBP_2026.07.21\i#3\full\full#44, 101_43, 101_result\d#100\v#20\19\ping_collision_summary.csv</t>
  </si>
  <si>
    <t>D:\CBP_2026.07.21\i#3\full\full#44, 101_43, 101_result\d#100\v#20\1\ping_collision_summary.csv</t>
  </si>
  <si>
    <t>D:\CBP_2026.07.21\i#3\full\full#44, 101_43, 101_result\d#100\v#20\20\ping_collision_summary.csv</t>
  </si>
  <si>
    <t>D:\CBP_2026.07.21\i#3\full\full#44, 101_43, 101_result\d#100\v#20\21\ping_collision_summary.csv</t>
  </si>
  <si>
    <t>D:\CBP_2026.07.21\i#3\full\full#44, 101_43, 101_result\d#100\v#20\22\ping_collision_summary.csv</t>
  </si>
  <si>
    <t>D:\CBP_2026.07.21\i#3\full\full#44, 101_43, 101_result\d#100\v#20\23\ping_collision_summary.csv</t>
  </si>
  <si>
    <t>D:\CBP_2026.07.21\i#3\full\full#44, 101_43, 101_result\d#100\v#20\24\ping_collision_summary.csv</t>
  </si>
  <si>
    <t>D:\CBP_2026.07.21\i#3\full\full#44, 101_43, 101_result\d#100\v#20\25\ping_collision_summary.csv</t>
  </si>
  <si>
    <t>D:\CBP_2026.07.21\i#3\full\full#44, 101_43, 101_result\d#100\v#20\26\ping_collision_summary.csv</t>
  </si>
  <si>
    <t>D:\CBP_2026.07.21\i#3\full\full#44, 101_43, 101_result\d#100\v#20\27\ping_collision_summary.csv</t>
  </si>
  <si>
    <t>D:\CBP_2026.07.21\i#3\full\full#44, 101_43, 101_result\d#100\v#20\28\ping_collision_summary.csv</t>
  </si>
  <si>
    <t>D:\CBP_2026.07.21\i#3\full\full#44, 101_43, 101_result\d#100\v#20\29\ping_collision_summary.csv</t>
  </si>
  <si>
    <t>D:\CBP_2026.07.21\i#3\full\full#44, 101_43, 101_result\d#100\v#20\2\ping_collision_summary.csv</t>
  </si>
  <si>
    <t>D:\CBP_2026.07.21\i#3\full\full#44, 101_43, 101_result\d#100\v#20\30\ping_collision_summary.csv</t>
  </si>
  <si>
    <t>D:\CBP_2026.07.21\i#3\full\full#44, 101_43, 101_result\d#100\v#20\3\ping_collision_summary.csv</t>
  </si>
  <si>
    <t>D:\CBP_2026.07.21\i#3\full\full#44, 101_43, 101_result\d#100\v#20\4\ping_collision_summary.csv</t>
  </si>
  <si>
    <t>D:\CBP_2026.07.21\i#3\full\full#44, 101_43, 101_result\d#100\v#20\5\ping_collision_summary.csv</t>
  </si>
  <si>
    <t>D:\CBP_2026.07.21\i#3\full\full#44, 101_43, 101_result\d#100\v#20\6\ping_collision_summary.csv</t>
  </si>
  <si>
    <t>D:\CBP_2026.07.21\i#3\full\full#44, 101_43, 101_result\d#100\v#20\7\ping_collision_summary.csv</t>
  </si>
  <si>
    <t>D:\CBP_2026.07.21\i#3\full\full#44, 101_43, 101_result\d#100\v#20\8\ping_collision_summary.csv</t>
  </si>
  <si>
    <t>D:\CBP_2026.07.21\i#3\full\full#44, 101_43, 101_result\d#100\v#20\9\ping_collision_summary.csv</t>
  </si>
  <si>
    <t>D:\CBP_2026.07.21\i#3\full\full#44, 101_43, 101_result\d#100\v#30\0\ping_collision_summary.csv</t>
  </si>
  <si>
    <t>D:\CBP_2026.07.21\i#3\full\full#44, 101_43, 101_result\d#100\v#30\10\ping_collision_summary.csv</t>
  </si>
  <si>
    <t>D:\CBP_2026.07.21\i#3\full\full#44, 101_43, 101_result\d#100\v#30\11\ping_collision_summary.csv</t>
  </si>
  <si>
    <t>D:\CBP_2026.07.21\i#3\full\full#44, 101_43, 101_result\d#100\v#30\12\ping_collision_summary.csv</t>
  </si>
  <si>
    <t>D:\CBP_2026.07.21\i#3\full\full#44, 101_43, 101_result\d#100\v#30\13\ping_collision_summary.csv</t>
  </si>
  <si>
    <t>D:\CBP_2026.07.21\i#3\full\full#44, 101_43, 101_result\d#100\v#30\14\ping_collision_summary.csv</t>
  </si>
  <si>
    <t>D:\CBP_2026.07.21\i#3\full\full#44, 101_43, 101_result\d#100\v#30\15\ping_collision_summary.csv</t>
  </si>
  <si>
    <t>D:\CBP_2026.07.21\i#3\full\full#44, 101_43, 101_result\d#100\v#30\16\ping_collision_summary.csv</t>
  </si>
  <si>
    <t>D:\CBP_2026.07.21\i#3\full\full#44, 101_43, 101_result\d#100\v#30\17\ping_collision_summary.csv</t>
  </si>
  <si>
    <t>D:\CBP_2026.07.21\i#3\full\full#44, 101_43, 101_result\d#100\v#30\18\ping_collision_summary.csv</t>
  </si>
  <si>
    <t>D:\CBP_2026.07.21\i#3\full\full#44, 101_43, 101_result\d#100\v#30\19\ping_collision_summary.csv</t>
  </si>
  <si>
    <t>D:\CBP_2026.07.21\i#3\full\full#44, 101_43, 101_result\d#100\v#30\1\ping_collision_summary.csv</t>
  </si>
  <si>
    <t>D:\CBP_2026.07.21\i#3\full\full#44, 101_43, 101_result\d#100\v#30\20\ping_collision_summary.csv</t>
  </si>
  <si>
    <t>D:\CBP_2026.07.21\i#3\full\full#44, 101_43, 101_result\d#100\v#30\21\ping_collision_summary.csv</t>
  </si>
  <si>
    <t>D:\CBP_2026.07.21\i#3\full\full#44, 101_43, 101_result\d#100\v#30\22\ping_collision_summary.csv</t>
  </si>
  <si>
    <t>D:\CBP_2026.07.21\i#3\full\full#44, 101_43, 101_result\d#100\v#30\23\ping_collision_summary.csv</t>
  </si>
  <si>
    <t>D:\CBP_2026.07.21\i#3\full\full#44, 101_43, 101_result\d#100\v#30\24\ping_collision_summary.csv</t>
  </si>
  <si>
    <t>D:\CBP_2026.07.21\i#3\full\full#44, 101_43, 101_result\d#100\v#30\25\ping_collision_summary.csv</t>
  </si>
  <si>
    <t>D:\CBP_2026.07.21\i#3\full\full#44, 101_43, 101_result\d#100\v#30\26\ping_collision_summary.csv</t>
  </si>
  <si>
    <t>D:\CBP_2026.07.21\i#3\full\full#44, 101_43, 101_result\d#100\v#30\27\ping_collision_summary.csv</t>
  </si>
  <si>
    <t>D:\CBP_2026.07.21\i#3\full\full#44, 101_43, 101_result\d#100\v#30\28\ping_collision_summary.csv</t>
  </si>
  <si>
    <t>D:\CBP_2026.07.21\i#3\full\full#44, 101_43, 101_result\d#100\v#30\29\ping_collision_summary.csv</t>
  </si>
  <si>
    <t>D:\CBP_2026.07.21\i#3\full\full#44, 101_43, 101_result\d#100\v#30\2\ping_collision_summary.csv</t>
  </si>
  <si>
    <t>D:\CBP_2026.07.21\i#3\full\full#44, 101_43, 101_result\d#100\v#30\30\ping_collision_summary.csv</t>
  </si>
  <si>
    <t>D:\CBP_2026.07.21\i#3\full\full#44, 101_43, 101_result\d#100\v#30\3\ping_collision_summary.csv</t>
  </si>
  <si>
    <t>D:\CBP_2026.07.21\i#3\full\full#44, 101_43, 101_result\d#100\v#30\4\ping_collision_summary.csv</t>
  </si>
  <si>
    <t>D:\CBP_2026.07.21\i#3\full\full#44, 101_43, 101_result\d#100\v#30\5\ping_collision_summary.csv</t>
  </si>
  <si>
    <t>D:\CBP_2026.07.21\i#3\full\full#44, 101_43, 101_result\d#100\v#30\6\ping_collision_summary.csv</t>
  </si>
  <si>
    <t>D:\CBP_2026.07.21\i#3\full\full#44, 101_43, 101_result\d#100\v#30\7\ping_collision_summary.csv</t>
  </si>
  <si>
    <t>D:\CBP_2026.07.21\i#3\full\full#44, 101_43, 101_result\d#100\v#30\8\ping_collision_summary.csv</t>
  </si>
  <si>
    <t>D:\CBP_2026.07.21\i#3\full\full#44, 101_43, 101_result\d#100\v#30\9\ping_collision_summary.csv</t>
  </si>
  <si>
    <t>D:\CBP_2026.07.21\i#3\full\full#44, 101_43, 101_result\d#120\v#10\0\ping_collision_summary.csv</t>
  </si>
  <si>
    <t>D:\CBP_2026.07.21\i#3\full\full#44, 101_43, 101_result\d#120\v#10\10\ping_collision_summary.csv</t>
  </si>
  <si>
    <t>D:\CBP_2026.07.21\i#3\full\full#44, 101_43, 101_result\d#120\v#10\11\ping_collision_summary.csv</t>
  </si>
  <si>
    <t>D:\CBP_2026.07.21\i#3\full\full#44, 101_43, 101_result\d#120\v#10\12\ping_collision_summary.csv</t>
  </si>
  <si>
    <t>D:\CBP_2026.07.21\i#3\full\full#44, 101_43, 101_result\d#120\v#10\13\ping_collision_summary.csv</t>
  </si>
  <si>
    <t>D:\CBP_2026.07.21\i#3\full\full#44, 101_43, 101_result\d#120\v#10\14\ping_collision_summary.csv</t>
  </si>
  <si>
    <t>D:\CBP_2026.07.21\i#3\full\full#44, 101_43, 101_result\d#120\v#10\15\ping_collision_summary.csv</t>
  </si>
  <si>
    <t>D:\CBP_2026.07.21\i#3\full\full#44, 101_43, 101_result\d#120\v#10\16\ping_collision_summary.csv</t>
  </si>
  <si>
    <t>D:\CBP_2026.07.21\i#3\full\full#44, 101_43, 101_result\d#120\v#10\17\ping_collision_summary.csv</t>
  </si>
  <si>
    <t>D:\CBP_2026.07.21\i#3\full\full#44, 101_43, 101_result\d#120\v#10\18\ping_collision_summary.csv</t>
  </si>
  <si>
    <t>D:\CBP_2026.07.21\i#3\full\full#44, 101_43, 101_result\d#120\v#10\19\ping_collision_summary.csv</t>
  </si>
  <si>
    <t>D:\CBP_2026.07.21\i#3\full\full#44, 101_43, 101_result\d#120\v#10\1\ping_collision_summary.csv</t>
  </si>
  <si>
    <t>D:\CBP_2026.07.21\i#3\full\full#44, 101_43, 101_result\d#120\v#10\20\ping_collision_summary.csv</t>
  </si>
  <si>
    <t>D:\CBP_2026.07.21\i#3\full\full#44, 101_43, 101_result\d#120\v#10\21\ping_collision_summary.csv</t>
  </si>
  <si>
    <t>D:\CBP_2026.07.21\i#3\full\full#44, 101_43, 101_result\d#120\v#10\22\ping_collision_summary.csv</t>
  </si>
  <si>
    <t>D:\CBP_2026.07.21\i#3\full\full#44, 101_43, 101_result\d#120\v#10\23\ping_collision_summary.csv</t>
  </si>
  <si>
    <t>D:\CBP_2026.07.21\i#3\full\full#44, 101_43, 101_result\d#120\v#10\24\ping_collision_summary.csv</t>
  </si>
  <si>
    <t>D:\CBP_2026.07.21\i#3\full\full#44, 101_43, 101_result\d#120\v#10\25\ping_collision_summary.csv</t>
  </si>
  <si>
    <t>D:\CBP_2026.07.21\i#3\full\full#44, 101_43, 101_result\d#120\v#10\26\ping_collision_summary.csv</t>
  </si>
  <si>
    <t>D:\CBP_2026.07.21\i#3\full\full#44, 101_43, 101_result\d#120\v#10\27\ping_collision_summary.csv</t>
  </si>
  <si>
    <t>D:\CBP_2026.07.21\i#3\full\full#44, 101_43, 101_result\d#120\v#10\28\ping_collision_summary.csv</t>
  </si>
  <si>
    <t>D:\CBP_2026.07.21\i#3\full\full#44, 101_43, 101_result\d#120\v#10\29\ping_collision_summary.csv</t>
  </si>
  <si>
    <t>D:\CBP_2026.07.21\i#3\full\full#44, 101_43, 101_result\d#120\v#10\2\ping_collision_summary.csv</t>
  </si>
  <si>
    <t>D:\CBP_2026.07.21\i#3\full\full#44, 101_43, 101_result\d#120\v#10\30\ping_collision_summary.csv</t>
  </si>
  <si>
    <t>D:\CBP_2026.07.21\i#3\full\full#44, 101_43, 101_result\d#120\v#10\3\ping_collision_summary.csv</t>
  </si>
  <si>
    <t>D:\CBP_2026.07.21\i#3\full\full#44, 101_43, 101_result\d#120\v#10\4\ping_collision_summary.csv</t>
  </si>
  <si>
    <t>D:\CBP_2026.07.21\i#3\full\full#44, 101_43, 101_result\d#120\v#10\5\ping_collision_summary.csv</t>
  </si>
  <si>
    <t>D:\CBP_2026.07.21\i#3\full\full#44, 101_43, 101_result\d#120\v#10\6\ping_collision_summary.csv</t>
  </si>
  <si>
    <t>D:\CBP_2026.07.21\i#3\full\full#44, 101_43, 101_result\d#120\v#10\7\ping_collision_summary.csv</t>
  </si>
  <si>
    <t>D:\CBP_2026.07.21\i#3\full\full#44, 101_43, 101_result\d#120\v#10\8\ping_collision_summary.csv</t>
  </si>
  <si>
    <t>D:\CBP_2026.07.21\i#3\full\full#44, 101_43, 101_result\d#120\v#10\9\ping_collision_summary.csv</t>
  </si>
  <si>
    <t>D:\CBP_2026.07.21\i#3\full\full#44, 101_43, 101_result\d#120\v#20\0\ping_collision_summary.csv</t>
  </si>
  <si>
    <t>D:\CBP_2026.07.21\i#3\full\full#44, 101_43, 101_result\d#120\v#20\10\ping_collision_summary.csv</t>
  </si>
  <si>
    <t>D:\CBP_2026.07.21\i#3\full\full#44, 101_43, 101_result\d#120\v#20\11\ping_collision_summary.csv</t>
  </si>
  <si>
    <t>D:\CBP_2026.07.21\i#3\full\full#44, 101_43, 101_result\d#120\v#20\12\ping_collision_summary.csv</t>
  </si>
  <si>
    <t>D:\CBP_2026.07.21\i#3\full\full#44, 101_43, 101_result\d#120\v#20\13\ping_collision_summary.csv</t>
  </si>
  <si>
    <t>D:\CBP_2026.07.21\i#3\full\full#44, 101_43, 101_result\d#120\v#20\14\ping_collision_summary.csv</t>
  </si>
  <si>
    <t>D:\CBP_2026.07.21\i#3\full\full#44, 101_43, 101_result\d#120\v#20\15\ping_collision_summary.csv</t>
  </si>
  <si>
    <t>D:\CBP_2026.07.21\i#3\full\full#44, 101_43, 101_result\d#120\v#20\16\ping_collision_summary.csv</t>
  </si>
  <si>
    <t>D:\CBP_2026.07.21\i#3\full\full#44, 101_43, 101_result\d#120\v#20\17\ping_collision_summary.csv</t>
  </si>
  <si>
    <t>D:\CBP_2026.07.21\i#3\full\full#44, 101_43, 101_result\d#120\v#20\18\ping_collision_summary.csv</t>
  </si>
  <si>
    <t>D:\CBP_2026.07.21\i#3\full\full#44, 101_43, 101_result\d#120\v#20\19\ping_collision_summary.csv</t>
  </si>
  <si>
    <t>D:\CBP_2026.07.21\i#3\full\full#44, 101_43, 101_result\d#120\v#20\1\ping_collision_summary.csv</t>
  </si>
  <si>
    <t>D:\CBP_2026.07.21\i#3\full\full#44, 101_43, 101_result\d#120\v#20\20\ping_collision_summary.csv</t>
  </si>
  <si>
    <t>D:\CBP_2026.07.21\i#3\full\full#44, 101_43, 101_result\d#120\v#20\21\ping_collision_summary.csv</t>
  </si>
  <si>
    <t>D:\CBP_2026.07.21\i#3\full\full#44, 101_43, 101_result\d#120\v#20\22\ping_collision_summary.csv</t>
  </si>
  <si>
    <t>D:\CBP_2026.07.21\i#3\full\full#44, 101_43, 101_result\d#120\v#20\23\ping_collision_summary.csv</t>
  </si>
  <si>
    <t>D:\CBP_2026.07.21\i#3\full\full#44, 101_43, 101_result\d#120\v#20\24\ping_collision_summary.csv</t>
  </si>
  <si>
    <t>D:\CBP_2026.07.21\i#3\full\full#44, 101_43, 101_result\d#120\v#20\25\ping_collision_summary.csv</t>
  </si>
  <si>
    <t>D:\CBP_2026.07.21\i#3\full\full#44, 101_43, 101_result\d#120\v#20\26\ping_collision_summary.csv</t>
  </si>
  <si>
    <t>D:\CBP_2026.07.21\i#3\full\full#44, 101_43, 101_result\d#120\v#20\27\ping_collision_summary.csv</t>
  </si>
  <si>
    <t>D:\CBP_2026.07.21\i#3\full\full#44, 101_43, 101_result\d#120\v#20\28\ping_collision_summary.csv</t>
  </si>
  <si>
    <t>D:\CBP_2026.07.21\i#3\full\full#44, 101_43, 101_result\d#120\v#20\29\ping_collision_summary.csv</t>
  </si>
  <si>
    <t>D:\CBP_2026.07.21\i#3\full\full#44, 101_43, 101_result\d#120\v#20\2\ping_collision_summary.csv</t>
  </si>
  <si>
    <t>D:\CBP_2026.07.21\i#3\full\full#44, 101_43, 101_result\d#120\v#20\30\ping_collision_summary.csv</t>
  </si>
  <si>
    <t>D:\CBP_2026.07.21\i#3\full\full#44, 101_43, 101_result\d#120\v#20\3\ping_collision_summary.csv</t>
  </si>
  <si>
    <t>D:\CBP_2026.07.21\i#3\full\full#44, 101_43, 101_result\d#120\v#20\4\ping_collision_summary.csv</t>
  </si>
  <si>
    <t>D:\CBP_2026.07.21\i#3\full\full#44, 101_43, 101_result\d#120\v#20\5\ping_collision_summary.csv</t>
  </si>
  <si>
    <t>D:\CBP_2026.07.21\i#3\full\full#44, 101_43, 101_result\d#120\v#20\6\ping_collision_summary.csv</t>
  </si>
  <si>
    <t>D:\CBP_2026.07.21\i#3\full\full#44, 101_43, 101_result\d#120\v#20\7\ping_collision_summary.csv</t>
  </si>
  <si>
    <t>D:\CBP_2026.07.21\i#3\full\full#44, 101_43, 101_result\d#120\v#20\8\ping_collision_summary.csv</t>
  </si>
  <si>
    <t>D:\CBP_2026.07.21\i#3\full\full#44, 101_43, 101_result\d#120\v#20\9\ping_collision_summary.csv</t>
  </si>
  <si>
    <t>D:\CBP_2026.07.21\i#3\full\full#44, 101_43, 101_result\d#120\v#30\0\ping_collision_summary.csv</t>
  </si>
  <si>
    <t>D:\CBP_2026.07.21\i#3\full\full#44, 101_43, 101_result\d#120\v#30\10\ping_collision_summary.csv</t>
  </si>
  <si>
    <t>D:\CBP_2026.07.21\i#3\full\full#44, 101_43, 101_result\d#120\v#30\11\ping_collision_summary.csv</t>
  </si>
  <si>
    <t>D:\CBP_2026.07.21\i#3\full\full#44, 101_43, 101_result\d#120\v#30\12\ping_collision_summary.csv</t>
  </si>
  <si>
    <t>D:\CBP_2026.07.21\i#3\full\full#44, 101_43, 101_result\d#120\v#30\13\ping_collision_summary.csv</t>
  </si>
  <si>
    <t>D:\CBP_2026.07.21\i#3\full\full#44, 101_43, 101_result\d#120\v#30\14\ping_collision_summary.csv</t>
  </si>
  <si>
    <t>D:\CBP_2026.07.21\i#3\full\full#44, 101_43, 101_result\d#120\v#30\15\ping_collision_summary.csv</t>
  </si>
  <si>
    <t>D:\CBP_2026.07.21\i#3\full\full#44, 101_43, 101_result\d#120\v#30\16\ping_collision_summary.csv</t>
  </si>
  <si>
    <t>D:\CBP_2026.07.21\i#3\full\full#44, 101_43, 101_result\d#120\v#30\17\ping_collision_summary.csv</t>
  </si>
  <si>
    <t>D:\CBP_2026.07.21\i#3\full\full#44, 101_43, 101_result\d#120\v#30\18\ping_collision_summary.csv</t>
  </si>
  <si>
    <t>D:\CBP_2026.07.21\i#3\full\full#44, 101_43, 101_result\d#120\v#30\19\ping_collision_summary.csv</t>
  </si>
  <si>
    <t>D:\CBP_2026.07.21\i#3\full\full#44, 101_43, 101_result\d#120\v#30\1\ping_collision_summary.csv</t>
  </si>
  <si>
    <t>D:\CBP_2026.07.21\i#3\full\full#44, 101_43, 101_result\d#120\v#30\20\ping_collision_summary.csv</t>
  </si>
  <si>
    <t>D:\CBP_2026.07.21\i#3\full\full#44, 101_43, 101_result\d#120\v#30\21\ping_collision_summary.csv</t>
  </si>
  <si>
    <t>D:\CBP_2026.07.21\i#3\full\full#44, 101_43, 101_result\d#120\v#30\22\ping_collision_summary.csv</t>
  </si>
  <si>
    <t>D:\CBP_2026.07.21\i#3\full\full#44, 101_43, 101_result\d#120\v#30\23\ping_collision_summary.csv</t>
  </si>
  <si>
    <t>D:\CBP_2026.07.21\i#3\full\full#44, 101_43, 101_result\d#120\v#30\24\ping_collision_summary.csv</t>
  </si>
  <si>
    <t>D:\CBP_2026.07.21\i#3\full\full#44, 101_43, 101_result\d#120\v#30\25\ping_collision_summary.csv</t>
  </si>
  <si>
    <t>D:\CBP_2026.07.21\i#3\full\full#44, 101_43, 101_result\d#120\v#30\26\ping_collision_summary.csv</t>
  </si>
  <si>
    <t>D:\CBP_2026.07.21\i#3\full\full#44, 101_43, 101_result\d#120\v#30\27\ping_collision_summary.csv</t>
  </si>
  <si>
    <t>D:\CBP_2026.07.21\i#3\full\full#44, 101_43, 101_result\d#120\v#30\28\ping_collision_summary.csv</t>
  </si>
  <si>
    <t>D:\CBP_2026.07.21\i#3\full\full#44, 101_43, 101_result\d#120\v#30\29\ping_collision_summary.csv</t>
  </si>
  <si>
    <t>D:\CBP_2026.07.21\i#3\full\full#44, 101_43, 101_result\d#120\v#30\2\ping_collision_summary.csv</t>
  </si>
  <si>
    <t>D:\CBP_2026.07.21\i#3\full\full#44, 101_43, 101_result\d#120\v#30\30\ping_collision_summary.csv</t>
  </si>
  <si>
    <t>D:\CBP_2026.07.21\i#3\full\full#44, 101_43, 101_result\d#120\v#30\3\ping_collision_summary.csv</t>
  </si>
  <si>
    <t>D:\CBP_2026.07.21\i#3\full\full#44, 101_43, 101_result\d#120\v#30\4\ping_collision_summary.csv</t>
  </si>
  <si>
    <t>D:\CBP_2026.07.21\i#3\full\full#44, 101_43, 101_result\d#120\v#30\5\ping_collision_summary.csv</t>
  </si>
  <si>
    <t>D:\CBP_2026.07.21\i#3\full\full#44, 101_43, 101_result\d#120\v#30\6\ping_collision_summary.csv</t>
  </si>
  <si>
    <t>D:\CBP_2026.07.21\i#3\full\full#44, 101_43, 101_result\d#120\v#30\7\ping_collision_summary.csv</t>
  </si>
  <si>
    <t>D:\CBP_2026.07.21\i#3\full\full#44, 101_43, 101_result\d#120\v#30\8\ping_collision_summary.csv</t>
  </si>
  <si>
    <t>D:\CBP_2026.07.21\i#3\full\full#44, 101_43, 101_result\d#120\v#30\9\ping_collision_summary.csv</t>
  </si>
  <si>
    <t>D:\CBP_2026.07.21\i#3\full\full#44, 101_43, 101_result\d#70\v#10\0\ping_collision_summary.csv</t>
  </si>
  <si>
    <t>D:\CBP_2026.07.21\i#3\full\full#44, 101_43, 101_result\d#70\v#10\10\ping_collision_summary.csv</t>
  </si>
  <si>
    <t>D:\CBP_2026.07.21\i#3\full\full#44, 101_43, 101_result\d#70\v#10\11\ping_collision_summary.csv</t>
  </si>
  <si>
    <t>D:\CBP_2026.07.21\i#3\full\full#44, 101_43, 101_result\d#70\v#10\12\ping_collision_summary.csv</t>
  </si>
  <si>
    <t>D:\CBP_2026.07.21\i#3\full\full#44, 101_43, 101_result\d#70\v#10\13\ping_collision_summary.csv</t>
  </si>
  <si>
    <t>D:\CBP_2026.07.21\i#3\full\full#44, 101_43, 101_result\d#70\v#10\14\ping_collision_summary.csv</t>
  </si>
  <si>
    <t>D:\CBP_2026.07.21\i#3\full\full#44, 101_43, 101_result\d#70\v#10\15\ping_collision_summary.csv</t>
  </si>
  <si>
    <t>D:\CBP_2026.07.21\i#3\full\full#44, 101_43, 101_result\d#70\v#10\16\ping_collision_summary.csv</t>
  </si>
  <si>
    <t>D:\CBP_2026.07.21\i#3\full\full#44, 101_43, 101_result\d#70\v#10\17\ping_collision_summary.csv</t>
  </si>
  <si>
    <t>D:\CBP_2026.07.21\i#3\full\full#44, 101_43, 101_result\d#70\v#10\18\ping_collision_summary.csv</t>
  </si>
  <si>
    <t>D:\CBP_2026.07.21\i#3\full\full#44, 101_43, 101_result\d#70\v#10\19\ping_collision_summary.csv</t>
  </si>
  <si>
    <t>D:\CBP_2026.07.21\i#3\full\full#44, 101_43, 101_result\d#70\v#10\1\ping_collision_summary.csv</t>
  </si>
  <si>
    <t>D:\CBP_2026.07.21\i#3\full\full#44, 101_43, 101_result\d#70\v#10\20\ping_collision_summary.csv</t>
  </si>
  <si>
    <t>D:\CBP_2026.07.21\i#3\full\full#44, 101_43, 101_result\d#70\v#10\21\ping_collision_summary.csv</t>
  </si>
  <si>
    <t>D:\CBP_2026.07.21\i#3\full\full#44, 101_43, 101_result\d#70\v#10\22\ping_collision_summary.csv</t>
  </si>
  <si>
    <t>D:\CBP_2026.07.21\i#3\full\full#44, 101_43, 101_result\d#70\v#10\23\ping_collision_summary.csv</t>
  </si>
  <si>
    <t>D:\CBP_2026.07.21\i#3\full\full#44, 101_43, 101_result\d#70\v#10\24\ping_collision_summary.csv</t>
  </si>
  <si>
    <t>D:\CBP_2026.07.21\i#3\full\full#44, 101_43, 101_result\d#70\v#10\25\ping_collision_summary.csv</t>
  </si>
  <si>
    <t>D:\CBP_2026.07.21\i#3\full\full#44, 101_43, 101_result\d#70\v#10\26\ping_collision_summary.csv</t>
  </si>
  <si>
    <t>D:\CBP_2026.07.21\i#3\full\full#44, 101_43, 101_result\d#70\v#10\27\ping_collision_summary.csv</t>
  </si>
  <si>
    <t>D:\CBP_2026.07.21\i#3\full\full#44, 101_43, 101_result\d#70\v#10\28\ping_collision_summary.csv</t>
  </si>
  <si>
    <t>D:\CBP_2026.07.21\i#3\full\full#44, 101_43, 101_result\d#70\v#10\29\ping_collision_summary.csv</t>
  </si>
  <si>
    <t>D:\CBP_2026.07.21\i#3\full\full#44, 101_43, 101_result\d#70\v#10\2\ping_collision_summary.csv</t>
  </si>
  <si>
    <t>D:\CBP_2026.07.21\i#3\full\full#44, 101_43, 101_result\d#70\v#10\30\ping_collision_summary.csv</t>
  </si>
  <si>
    <t>D:\CBP_2026.07.21\i#3\full\full#44, 101_43, 101_result\d#70\v#10\3\ping_collision_summary.csv</t>
  </si>
  <si>
    <t>D:\CBP_2026.07.21\i#3\full\full#44, 101_43, 101_result\d#70\v#10\4\ping_collision_summary.csv</t>
  </si>
  <si>
    <t>D:\CBP_2026.07.21\i#3\full\full#44, 101_43, 101_result\d#70\v#10\5\ping_collision_summary.csv</t>
  </si>
  <si>
    <t>D:\CBP_2026.07.21\i#3\full\full#44, 101_43, 101_result\d#70\v#10\6\ping_collision_summary.csv</t>
  </si>
  <si>
    <t>D:\CBP_2026.07.21\i#3\full\full#44, 101_43, 101_result\d#70\v#10\7\ping_collision_summary.csv</t>
  </si>
  <si>
    <t>D:\CBP_2026.07.21\i#3\full\full#44, 101_43, 101_result\d#70\v#10\8\ping_collision_summary.csv</t>
  </si>
  <si>
    <t>D:\CBP_2026.07.21\i#3\full\full#44, 101_43, 101_result\d#70\v#10\9\ping_collision_summary.csv</t>
  </si>
  <si>
    <t>D:\CBP_2026.07.21\i#3\full\full#44, 101_43, 101_result\d#70\v#20\0\ping_collision_summary.csv</t>
  </si>
  <si>
    <t>D:\CBP_2026.07.21\i#3\full\full#44, 101_43, 101_result\d#70\v#20\10\ping_collision_summary.csv</t>
  </si>
  <si>
    <t>D:\CBP_2026.07.21\i#3\full\full#44, 101_43, 101_result\d#70\v#20\11\ping_collision_summary.csv</t>
  </si>
  <si>
    <t>D:\CBP_2026.07.21\i#3\full\full#44, 101_43, 101_result\d#70\v#20\12\ping_collision_summary.csv</t>
  </si>
  <si>
    <t>D:\CBP_2026.07.21\i#3\full\full#44, 101_43, 101_result\d#70\v#20\13\ping_collision_summary.csv</t>
  </si>
  <si>
    <t>D:\CBP_2026.07.21\i#3\full\full#44, 101_43, 101_result\d#70\v#20\14\ping_collision_summary.csv</t>
  </si>
  <si>
    <t>D:\CBP_2026.07.21\i#3\full\full#44, 101_43, 101_result\d#70\v#20\15\ping_collision_summary.csv</t>
  </si>
  <si>
    <t>D:\CBP_2026.07.21\i#3\full\full#44, 101_43, 101_result\d#70\v#20\16\ping_collision_summary.csv</t>
  </si>
  <si>
    <t>D:\CBP_2026.07.21\i#3\full\full#44, 101_43, 101_result\d#70\v#20\17\ping_collision_summary.csv</t>
  </si>
  <si>
    <t>D:\CBP_2026.07.21\i#3\full\full#44, 101_43, 101_result\d#70\v#20\18\ping_collision_summary.csv</t>
  </si>
  <si>
    <t>D:\CBP_2026.07.21\i#3\full\full#44, 101_43, 101_result\d#70\v#20\19\ping_collision_summary.csv</t>
  </si>
  <si>
    <t>D:\CBP_2026.07.21\i#3\full\full#44, 101_43, 101_result\d#70\v#20\1\ping_collision_summary.csv</t>
  </si>
  <si>
    <t>D:\CBP_2026.07.21\i#3\full\full#44, 101_43, 101_result\d#70\v#20\20\ping_collision_summary.csv</t>
  </si>
  <si>
    <t>D:\CBP_2026.07.21\i#3\full\full#44, 101_43, 101_result\d#70\v#20\21\ping_collision_summary.csv</t>
  </si>
  <si>
    <t>D:\CBP_2026.07.21\i#3\full\full#44, 101_43, 101_result\d#70\v#20\22\ping_collision_summary.csv</t>
  </si>
  <si>
    <t>D:\CBP_2026.07.21\i#3\full\full#44, 101_43, 101_result\d#70\v#20\23\ping_collision_summary.csv</t>
  </si>
  <si>
    <t>D:\CBP_2026.07.21\i#3\full\full#44, 101_43, 101_result\d#70\v#20\24\ping_collision_summary.csv</t>
  </si>
  <si>
    <t>D:\CBP_2026.07.21\i#3\full\full#44, 101_43, 101_result\d#70\v#20\25\ping_collision_summary.csv</t>
  </si>
  <si>
    <t>D:\CBP_2026.07.21\i#3\full\full#44, 101_43, 101_result\d#70\v#20\26\ping_collision_summary.csv</t>
  </si>
  <si>
    <t>D:\CBP_2026.07.21\i#3\full\full#44, 101_43, 101_result\d#70\v#20\27\ping_collision_summary.csv</t>
  </si>
  <si>
    <t>D:\CBP_2026.07.21\i#3\full\full#44, 101_43, 101_result\d#70\v#20\28\ping_collision_summary.csv</t>
  </si>
  <si>
    <t>D:\CBP_2026.07.21\i#3\full\full#44, 101_43, 101_result\d#70\v#20\29\ping_collision_summary.csv</t>
  </si>
  <si>
    <t>D:\CBP_2026.07.21\i#3\full\full#44, 101_43, 101_result\d#70\v#20\2\ping_collision_summary.csv</t>
  </si>
  <si>
    <t>D:\CBP_2026.07.21\i#3\full\full#44, 101_43, 101_result\d#70\v#20\30\ping_collision_summary.csv</t>
  </si>
  <si>
    <t>D:\CBP_2026.07.21\i#3\full\full#44, 101_43, 101_result\d#70\v#20\3\ping_collision_summary.csv</t>
  </si>
  <si>
    <t>D:\CBP_2026.07.21\i#3\full\full#44, 101_43, 101_result\d#70\v#20\4\ping_collision_summary.csv</t>
  </si>
  <si>
    <t>D:\CBP_2026.07.21\i#3\full\full#44, 101_43, 101_result\d#70\v#20\5\ping_collision_summary.csv</t>
  </si>
  <si>
    <t>D:\CBP_2026.07.21\i#3\full\full#44, 101_43, 101_result\d#70\v#20\6\ping_collision_summary.csv</t>
  </si>
  <si>
    <t>D:\CBP_2026.07.21\i#3\full\full#44, 101_43, 101_result\d#70\v#20\7\ping_collision_summary.csv</t>
  </si>
  <si>
    <t>D:\CBP_2026.07.21\i#3\full\full#44, 101_43, 101_result\d#70\v#20\8\ping_collision_summary.csv</t>
  </si>
  <si>
    <t>D:\CBP_2026.07.21\i#3\full\full#44, 101_43, 101_result\d#70\v#20\9\ping_collision_summary.csv</t>
  </si>
  <si>
    <t>D:\CBP_2026.07.21\i#3\full\full#44, 101_43, 101_result\d#70\v#30\0\ping_collision_summary.csv</t>
  </si>
  <si>
    <t>D:\CBP_2026.07.21\i#3\full\full#44, 101_43, 101_result\d#70\v#30\10\ping_collision_summary.csv</t>
  </si>
  <si>
    <t>D:\CBP_2026.07.21\i#3\full\full#44, 101_43, 101_result\d#70\v#30\11\ping_collision_summary.csv</t>
  </si>
  <si>
    <t>D:\CBP_2026.07.21\i#3\full\full#44, 101_43, 101_result\d#70\v#30\12\ping_collision_summary.csv</t>
  </si>
  <si>
    <t>D:\CBP_2026.07.21\i#3\full\full#44, 101_43, 101_result\d#70\v#30\13\ping_collision_summary.csv</t>
  </si>
  <si>
    <t>D:\CBP_2026.07.21\i#3\full\full#44, 101_43, 101_result\d#70\v#30\14\ping_collision_summary.csv</t>
  </si>
  <si>
    <t>D:\CBP_2026.07.21\i#3\full\full#44, 101_43, 101_result\d#70\v#30\15\ping_collision_summary.csv</t>
  </si>
  <si>
    <t>D:\CBP_2026.07.21\i#3\full\full#44, 101_43, 101_result\d#70\v#30\16\ping_collision_summary.csv</t>
  </si>
  <si>
    <t>D:\CBP_2026.07.21\i#3\full\full#44, 101_43, 101_result\d#70\v#30\17\ping_collision_summary.csv</t>
  </si>
  <si>
    <t>D:\CBP_2026.07.21\i#3\full\full#44, 101_43, 101_result\d#70\v#30\18\ping_collision_summary.csv</t>
  </si>
  <si>
    <t>D:\CBP_2026.07.21\i#3\full\full#44, 101_43, 101_result\d#70\v#30\19\ping_collision_summary.csv</t>
  </si>
  <si>
    <t>D:\CBP_2026.07.21\i#3\full\full#44, 101_43, 101_result\d#70\v#30\1\ping_collision_summary.csv</t>
  </si>
  <si>
    <t>D:\CBP_2026.07.21\i#3\full\full#44, 101_43, 101_result\d#70\v#30\20\ping_collision_summary.csv</t>
  </si>
  <si>
    <t>D:\CBP_2026.07.21\i#3\full\full#44, 101_43, 101_result\d#70\v#30\21\ping_collision_summary.csv</t>
  </si>
  <si>
    <t>D:\CBP_2026.07.21\i#3\full\full#44, 101_43, 101_result\d#70\v#30\22\ping_collision_summary.csv</t>
  </si>
  <si>
    <t>D:\CBP_2026.07.21\i#3\full\full#44, 101_43, 101_result\d#70\v#30\23\ping_collision_summary.csv</t>
  </si>
  <si>
    <t>D:\CBP_2026.07.21\i#3\full\full#44, 101_43, 101_result\d#70\v#30\24\ping_collision_summary.csv</t>
  </si>
  <si>
    <t>D:\CBP_2026.07.21\i#3\full\full#44, 101_43, 101_result\d#70\v#30\25\ping_collision_summary.csv</t>
  </si>
  <si>
    <t>D:\CBP_2026.07.21\i#3\full\full#44, 101_43, 101_result\d#70\v#30\26\ping_collision_summary.csv</t>
  </si>
  <si>
    <t>D:\CBP_2026.07.21\i#3\full\full#44, 101_43, 101_result\d#70\v#30\27\ping_collision_summary.csv</t>
  </si>
  <si>
    <t>D:\CBP_2026.07.21\i#3\full\full#44, 101_43, 101_result\d#70\v#30\28\ping_collision_summary.csv</t>
  </si>
  <si>
    <t>D:\CBP_2026.07.21\i#3\full\full#44, 101_43, 101_result\d#70\v#30\29\ping_collision_summary.csv</t>
  </si>
  <si>
    <t>D:\CBP_2026.07.21\i#3\full\full#44, 101_43, 101_result\d#70\v#30\2\ping_collision_summary.csv</t>
  </si>
  <si>
    <t>D:\CBP_2026.07.21\i#3\full\full#44, 101_43, 101_result\d#70\v#30\30\ping_collision_summary.csv</t>
  </si>
  <si>
    <t>D:\CBP_2026.07.21\i#3\full\full#44, 101_43, 101_result\d#70\v#30\3\ping_collision_summary.csv</t>
  </si>
  <si>
    <t>D:\CBP_2026.07.21\i#3\full\full#44, 101_43, 101_result\d#70\v#30\4\ping_collision_summary.csv</t>
  </si>
  <si>
    <t>D:\CBP_2026.07.21\i#3\full\full#44, 101_43, 101_result\d#70\v#30\5\ping_collision_summary.csv</t>
  </si>
  <si>
    <t>D:\CBP_2026.07.21\i#3\full\full#44, 101_43, 101_result\d#70\v#30\6\ping_collision_summary.csv</t>
  </si>
  <si>
    <t>D:\CBP_2026.07.21\i#3\full\full#44, 101_43, 101_result\d#70\v#30\7\ping_collision_summary.csv</t>
  </si>
  <si>
    <t>D:\CBP_2026.07.21\i#3\full\full#44, 101_43, 101_result\d#70\v#30\8\ping_collision_summary.csv</t>
  </si>
  <si>
    <t>D:\CBP_2026.07.21\i#3\full\full#44, 101_43, 101_result\d#70\v#30\9\ping_collision_summary.csv</t>
  </si>
  <si>
    <t>D:\CBP_2026.07.21\i#3\r#legacy\d#100\v#10\0\ping_collision_summary.csv</t>
  </si>
  <si>
    <t>D:\CBP_2026.07.21\i#3\r#legacy\d#100\v#10\10\ping_collision_summary.csv</t>
  </si>
  <si>
    <t>D:\CBP_2026.07.21\i#3\r#legacy\d#100\v#10\11\ping_collision_summary.csv</t>
  </si>
  <si>
    <t>D:\CBP_2026.07.21\i#3\r#legacy\d#100\v#10\12\ping_collision_summary.csv</t>
  </si>
  <si>
    <t>D:\CBP_2026.07.21\i#3\r#legacy\d#100\v#10\13\ping_collision_summary.csv</t>
  </si>
  <si>
    <t>D:\CBP_2026.07.21\i#3\r#legacy\d#100\v#10\14\ping_collision_summary.csv</t>
  </si>
  <si>
    <t>D:\CBP_2026.07.21\i#3\r#legacy\d#100\v#10\15\ping_collision_summary.csv</t>
  </si>
  <si>
    <t>D:\CBP_2026.07.21\i#3\r#legacy\d#100\v#10\16\ping_collision_summary.csv</t>
  </si>
  <si>
    <t>D:\CBP_2026.07.21\i#3\r#legacy\d#100\v#10\17\ping_collision_summary.csv</t>
  </si>
  <si>
    <t>D:\CBP_2026.07.21\i#3\r#legacy\d#100\v#10\18\ping_collision_summary.csv</t>
  </si>
  <si>
    <t>D:\CBP_2026.07.21\i#3\r#legacy\d#100\v#10\19\ping_collision_summary.csv</t>
  </si>
  <si>
    <t>D:\CBP_2026.07.21\i#3\r#legacy\d#100\v#10\1\ping_collision_summary.csv</t>
  </si>
  <si>
    <t>D:\CBP_2026.07.21\i#3\r#legacy\d#100\v#10\20\ping_collision_summary.csv</t>
  </si>
  <si>
    <t>D:\CBP_2026.07.21\i#3\r#legacy\d#100\v#10\21\ping_collision_summary.csv</t>
  </si>
  <si>
    <t>D:\CBP_2026.07.21\i#3\r#legacy\d#100\v#10\22\ping_collision_summary.csv</t>
  </si>
  <si>
    <t>D:\CBP_2026.07.21\i#3\r#legacy\d#100\v#10\23\ping_collision_summary.csv</t>
  </si>
  <si>
    <t>D:\CBP_2026.07.21\i#3\r#legacy\d#100\v#10\24\ping_collision_summary.csv</t>
  </si>
  <si>
    <t>D:\CBP_2026.07.21\i#3\r#legacy\d#100\v#10\25\ping_collision_summary.csv</t>
  </si>
  <si>
    <t>D:\CBP_2026.07.21\i#3\r#legacy\d#100\v#10\26\ping_collision_summary.csv</t>
  </si>
  <si>
    <t>D:\CBP_2026.07.21\i#3\r#legacy\d#100\v#10\27\ping_collision_summary.csv</t>
  </si>
  <si>
    <t>D:\CBP_2026.07.21\i#3\r#legacy\d#100\v#10\28\ping_collision_summary.csv</t>
  </si>
  <si>
    <t>D:\CBP_2026.07.21\i#3\r#legacy\d#100\v#10\29\ping_collision_summary.csv</t>
  </si>
  <si>
    <t>D:\CBP_2026.07.21\i#3\r#legacy\d#100\v#10\2\ping_collision_summary.csv</t>
  </si>
  <si>
    <t>D:\CBP_2026.07.21\i#3\r#legacy\d#100\v#10\30\ping_collision_summary.csv</t>
  </si>
  <si>
    <t>D:\CBP_2026.07.21\i#3\r#legacy\d#100\v#10\3\ping_collision_summary.csv</t>
  </si>
  <si>
    <t>D:\CBP_2026.07.21\i#3\r#legacy\d#100\v#10\4\ping_collision_summary.csv</t>
  </si>
  <si>
    <t>D:\CBP_2026.07.21\i#3\r#legacy\d#100\v#10\5\ping_collision_summary.csv</t>
  </si>
  <si>
    <t>D:\CBP_2026.07.21\i#3\r#legacy\d#100\v#10\6\ping_collision_summary.csv</t>
  </si>
  <si>
    <t>D:\CBP_2026.07.21\i#3\r#legacy\d#100\v#10\7\ping_collision_summary.csv</t>
  </si>
  <si>
    <t>D:\CBP_2026.07.21\i#3\r#legacy\d#100\v#10\8\ping_collision_summary.csv</t>
  </si>
  <si>
    <t>D:\CBP_2026.07.21\i#3\r#legacy\d#100\v#10\9\ping_collision_summary.csv</t>
  </si>
  <si>
    <t>D:\CBP_2026.07.21\i#3\r#legacy\d#100\v#20\0\ping_collision_summary.csv</t>
  </si>
  <si>
    <t>D:\CBP_2026.07.21\i#3\r#legacy\d#100\v#20\10\ping_collision_summary.csv</t>
  </si>
  <si>
    <t>D:\CBP_2026.07.21\i#3\r#legacy\d#100\v#20\11\ping_collision_summary.csv</t>
  </si>
  <si>
    <t>zero_attempts</t>
  </si>
  <si>
    <t>D:\CBP_2026.07.21\i#3\r#legacy\d#100\v#20\12\ping_collision_summary.csv</t>
  </si>
  <si>
    <t>D:\CBP_2026.07.21\i#3\r#legacy\d#100\v#20\13\ping_collision_summary.csv</t>
  </si>
  <si>
    <t>D:\CBP_2026.07.21\i#3\r#legacy\d#100\v#20\14\ping_collision_summary.csv</t>
  </si>
  <si>
    <t>D:\CBP_2026.07.21\i#3\r#legacy\d#100\v#20\15\ping_collision_summary.csv</t>
  </si>
  <si>
    <t>D:\CBP_2026.07.21\i#3\r#legacy\d#100\v#20\16\ping_collision_summary.csv</t>
  </si>
  <si>
    <t>D:\CBP_2026.07.21\i#3\r#legacy\d#100\v#20\17\ping_collision_summary.csv</t>
  </si>
  <si>
    <t>D:\CBP_2026.07.21\i#3\r#legacy\d#100\v#20\18\ping_collision_summary.csv</t>
  </si>
  <si>
    <t>D:\CBP_2026.07.21\i#3\r#legacy\d#100\v#20\19\ping_collision_summary.csv</t>
  </si>
  <si>
    <t>D:\CBP_2026.07.21\i#3\r#legacy\d#100\v#20\1\ping_collision_summary.csv</t>
  </si>
  <si>
    <t>D:\CBP_2026.07.21\i#3\r#legacy\d#100\v#20\20\ping_collision_summary.csv</t>
  </si>
  <si>
    <t>D:\CBP_2026.07.21\i#3\r#legacy\d#100\v#20\21\ping_collision_summary.csv</t>
  </si>
  <si>
    <t>D:\CBP_2026.07.21\i#3\r#legacy\d#100\v#20\22\ping_collision_summary.csv</t>
  </si>
  <si>
    <t>D:\CBP_2026.07.21\i#3\r#legacy\d#100\v#20\23\ping_collision_summary.csv</t>
  </si>
  <si>
    <t>D:\CBP_2026.07.21\i#3\r#legacy\d#100\v#20\24\ping_collision_summary.csv</t>
  </si>
  <si>
    <t>D:\CBP_2026.07.21\i#3\r#legacy\d#100\v#20\25\ping_collision_summary.csv</t>
  </si>
  <si>
    <t>D:\CBP_2026.07.21\i#3\r#legacy\d#100\v#20\26\ping_collision_summary.csv</t>
  </si>
  <si>
    <t>D:\CBP_2026.07.21\i#3\r#legacy\d#100\v#20\27\ping_collision_summary.csv</t>
  </si>
  <si>
    <t>D:\CBP_2026.07.21\i#3\r#legacy\d#100\v#20\28\ping_collision_summary.csv</t>
  </si>
  <si>
    <t>D:\CBP_2026.07.21\i#3\r#legacy\d#100\v#20\29\ping_collision_summary.csv</t>
  </si>
  <si>
    <t>D:\CBP_2026.07.21\i#3\r#legacy\d#100\v#20\2\ping_collision_summary.csv</t>
  </si>
  <si>
    <t>D:\CBP_2026.07.21\i#3\r#legacy\d#100\v#20\30\ping_collision_summary.csv</t>
  </si>
  <si>
    <t>D:\CBP_2026.07.21\i#3\r#legacy\d#100\v#20\3\ping_collision_summary.csv</t>
  </si>
  <si>
    <t>D:\CBP_2026.07.21\i#3\r#legacy\d#100\v#20\4\ping_collision_summary.csv</t>
  </si>
  <si>
    <t>D:\CBP_2026.07.21\i#3\r#legacy\d#100\v#20\5\ping_collision_summary.csv</t>
  </si>
  <si>
    <t>D:\CBP_2026.07.21\i#3\r#legacy\d#100\v#20\6\ping_collision_summary.csv</t>
  </si>
  <si>
    <t>D:\CBP_2026.07.21\i#3\r#legacy\d#100\v#20\7\ping_collision_summary.csv</t>
  </si>
  <si>
    <t>D:\CBP_2026.07.21\i#3\r#legacy\d#100\v#20\8\ping_collision_summary.csv</t>
  </si>
  <si>
    <t>D:\CBP_2026.07.21\i#3\r#legacy\d#100\v#20\9\ping_collision_summary.csv</t>
  </si>
  <si>
    <t>D:\CBP_2026.07.21\i#3\r#legacy\d#100\v#30\0\ping_collision_summary.csv</t>
  </si>
  <si>
    <t>D:\CBP_2026.07.21\i#3\r#legacy\d#100\v#30\10\ping_collision_summary.csv</t>
  </si>
  <si>
    <t>D:\CBP_2026.07.21\i#3\r#legacy\d#100\v#30\11\ping_collision_summary.csv</t>
  </si>
  <si>
    <t>D:\CBP_2026.07.21\i#3\r#legacy\d#100\v#30\12\ping_collision_summary.csv</t>
  </si>
  <si>
    <t>D:\CBP_2026.07.21\i#3\r#legacy\d#100\v#30\13\ping_collision_summary.csv</t>
  </si>
  <si>
    <t>D:\CBP_2026.07.21\i#3\r#legacy\d#100\v#30\14\ping_collision_summary.csv</t>
  </si>
  <si>
    <t>D:\CBP_2026.07.21\i#3\r#legacy\d#100\v#30\15\ping_collision_summary.csv</t>
  </si>
  <si>
    <t>D:\CBP_2026.07.21\i#3\r#legacy\d#100\v#30\16\ping_collision_summary.csv</t>
  </si>
  <si>
    <t>D:\CBP_2026.07.21\i#3\r#legacy\d#100\v#30\17\ping_collision_summary.csv</t>
  </si>
  <si>
    <t>D:\CBP_2026.07.21\i#3\r#legacy\d#100\v#30\18\ping_collision_summary.csv</t>
  </si>
  <si>
    <t>D:\CBP_2026.07.21\i#3\r#legacy\d#100\v#30\19\ping_collision_summary.csv</t>
  </si>
  <si>
    <t>D:\CBP_2026.07.21\i#3\r#legacy\d#100\v#30\1\ping_collision_summary.csv</t>
  </si>
  <si>
    <t>D:\CBP_2026.07.21\i#3\r#legacy\d#100\v#30\20\ping_collision_summary.csv</t>
  </si>
  <si>
    <t>D:\CBP_2026.07.21\i#3\r#legacy\d#100\v#30\21\ping_collision_summary.csv</t>
  </si>
  <si>
    <t>D:\CBP_2026.07.21\i#3\r#legacy\d#100\v#30\22\ping_collision_summary.csv</t>
  </si>
  <si>
    <t>D:\CBP_2026.07.21\i#3\r#legacy\d#100\v#30\23\ping_collision_summary.csv</t>
  </si>
  <si>
    <t>D:\CBP_2026.07.21\i#3\r#legacy\d#100\v#30\24\ping_collision_summary.csv</t>
  </si>
  <si>
    <t>D:\CBP_2026.07.21\i#3\r#legacy\d#100\v#30\25\ping_collision_summary.csv</t>
  </si>
  <si>
    <t>D:\CBP_2026.07.21\i#3\r#legacy\d#100\v#30\26\ping_collision_summary.csv</t>
  </si>
  <si>
    <t>D:\CBP_2026.07.21\i#3\r#legacy\d#100\v#30\27\ping_collision_summary.csv</t>
  </si>
  <si>
    <t>D:\CBP_2026.07.21\i#3\r#legacy\d#100\v#30\28\ping_collision_summary.csv</t>
  </si>
  <si>
    <t>D:\CBP_2026.07.21\i#3\r#legacy\d#100\v#30\29\ping_collision_summary.csv</t>
  </si>
  <si>
    <t>D:\CBP_2026.07.21\i#3\r#legacy\d#100\v#30\2\ping_collision_summary.csv</t>
  </si>
  <si>
    <t>D:\CBP_2026.07.21\i#3\r#legacy\d#100\v#30\30\ping_collision_summary.csv</t>
  </si>
  <si>
    <t>D:\CBP_2026.07.21\i#3\r#legacy\d#100\v#30\3\ping_collision_summary.csv</t>
  </si>
  <si>
    <t>D:\CBP_2026.07.21\i#3\r#legacy\d#100\v#30\4\ping_collision_summary.csv</t>
  </si>
  <si>
    <t>D:\CBP_2026.07.21\i#3\r#legacy\d#100\v#30\5\ping_collision_summary.csv</t>
  </si>
  <si>
    <t>D:\CBP_2026.07.21\i#3\r#legacy\d#100\v#30\6\ping_collision_summary.csv</t>
  </si>
  <si>
    <t>D:\CBP_2026.07.21\i#3\r#legacy\d#100\v#30\7\ping_collision_summary.csv</t>
  </si>
  <si>
    <t>D:\CBP_2026.07.21\i#3\r#legacy\d#100\v#30\8\ping_collision_summary.csv</t>
  </si>
  <si>
    <t>D:\CBP_2026.07.21\i#3\r#legacy\d#100\v#30\9\ping_collision_summary.csv</t>
  </si>
  <si>
    <t>D:\CBP_2026.07.21\i#3\r#legacy\d#120\v#10\0\ping_collision_summary.csv</t>
  </si>
  <si>
    <t>D:\CBP_2026.07.21\i#3\r#legacy\d#120\v#10\10\ping_collision_summary.csv</t>
  </si>
  <si>
    <t>D:\CBP_2026.07.21\i#3\r#legacy\d#120\v#10\11\ping_collision_summary.csv</t>
  </si>
  <si>
    <t>D:\CBP_2026.07.21\i#3\r#legacy\d#120\v#10\12\ping_collision_summary.csv</t>
  </si>
  <si>
    <t>D:\CBP_2026.07.21\i#3\r#legacy\d#120\v#10\13\ping_collision_summary.csv</t>
  </si>
  <si>
    <t>D:\CBP_2026.07.21\i#3\r#legacy\d#120\v#10\14\ping_collision_summary.csv</t>
  </si>
  <si>
    <t>D:\CBP_2026.07.21\i#3\r#legacy\d#120\v#10\15\ping_collision_summary.csv</t>
  </si>
  <si>
    <t>D:\CBP_2026.07.21\i#3\r#legacy\d#120\v#10\16\ping_collision_summary.csv</t>
  </si>
  <si>
    <t>D:\CBP_2026.07.21\i#3\r#legacy\d#120\v#10\17\ping_collision_summary.csv</t>
  </si>
  <si>
    <t>D:\CBP_2026.07.21\i#3\r#legacy\d#120\v#10\18\ping_collision_summary.csv</t>
  </si>
  <si>
    <t>D:\CBP_2026.07.21\i#3\r#legacy\d#120\v#10\19\ping_collision_summary.csv</t>
  </si>
  <si>
    <t>D:\CBP_2026.07.21\i#3\r#legacy\d#120\v#10\1\ping_collision_summary.csv</t>
  </si>
  <si>
    <t>D:\CBP_2026.07.21\i#3\r#legacy\d#120\v#10\20\ping_collision_summary.csv</t>
  </si>
  <si>
    <t>D:\CBP_2026.07.21\i#3\r#legacy\d#120\v#10\21\ping_collision_summary.csv</t>
  </si>
  <si>
    <t>D:\CBP_2026.07.21\i#3\r#legacy\d#120\v#10\22\ping_collision_summary.csv</t>
  </si>
  <si>
    <t>D:\CBP_2026.07.21\i#3\r#legacy\d#120\v#10\23\ping_collision_summary.csv</t>
  </si>
  <si>
    <t>D:\CBP_2026.07.21\i#3\r#legacy\d#120\v#10\24\ping_collision_summary.csv</t>
  </si>
  <si>
    <t>D:\CBP_2026.07.21\i#3\r#legacy\d#120\v#10\25\ping_collision_summary.csv</t>
  </si>
  <si>
    <t>D:\CBP_2026.07.21\i#3\r#legacy\d#120\v#10\26\ping_collision_summary.csv</t>
  </si>
  <si>
    <t>D:\CBP_2026.07.21\i#3\r#legacy\d#120\v#10\27\ping_collision_summary.csv</t>
  </si>
  <si>
    <t>D:\CBP_2026.07.21\i#3\r#legacy\d#120\v#10\28\ping_collision_summary.csv</t>
  </si>
  <si>
    <t>D:\CBP_2026.07.21\i#3\r#legacy\d#120\v#10\29\ping_collision_summary.csv</t>
  </si>
  <si>
    <t>D:\CBP_2026.07.21\i#3\r#legacy\d#120\v#10\2\ping_collision_summary.csv</t>
  </si>
  <si>
    <t>D:\CBP_2026.07.21\i#3\r#legacy\d#120\v#10\30\ping_collision_summary.csv</t>
  </si>
  <si>
    <t>D:\CBP_2026.07.21\i#3\r#legacy\d#120\v#10\3\ping_collision_summary.csv</t>
  </si>
  <si>
    <t>D:\CBP_2026.07.21\i#3\r#legacy\d#120\v#10\4\ping_collision_summary.csv</t>
  </si>
  <si>
    <t>D:\CBP_2026.07.21\i#3\r#legacy\d#120\v#10\5\ping_collision_summary.csv</t>
  </si>
  <si>
    <t>D:\CBP_2026.07.21\i#3\r#legacy\d#120\v#10\6\ping_collision_summary.csv</t>
  </si>
  <si>
    <t>D:\CBP_2026.07.21\i#3\r#legacy\d#120\v#10\7\ping_collision_summary.csv</t>
  </si>
  <si>
    <t>D:\CBP_2026.07.21\i#3\r#legacy\d#120\v#10\8\ping_collision_summary.csv</t>
  </si>
  <si>
    <t>D:\CBP_2026.07.21\i#3\r#legacy\d#120\v#10\9\ping_collision_summary.csv</t>
  </si>
  <si>
    <t>D:\CBP_2026.07.21\i#3\r#legacy\d#120\v#20\0\ping_collision_summary.csv</t>
  </si>
  <si>
    <t>D:\CBP_2026.07.21\i#3\r#legacy\d#120\v#20\10\ping_collision_summary.csv</t>
  </si>
  <si>
    <t>D:\CBP_2026.07.21\i#3\r#legacy\d#120\v#20\11\ping_collision_summary.csv</t>
  </si>
  <si>
    <t>D:\CBP_2026.07.21\i#3\r#legacy\d#120\v#20\12\ping_collision_summary.csv</t>
  </si>
  <si>
    <t>D:\CBP_2026.07.21\i#3\r#legacy\d#120\v#20\13\ping_collision_summary.csv</t>
  </si>
  <si>
    <t>D:\CBP_2026.07.21\i#3\r#legacy\d#120\v#20\14\ping_collision_summary.csv</t>
  </si>
  <si>
    <t>D:\CBP_2026.07.21\i#3\r#legacy\d#120\v#20\15\ping_collision_summary.csv</t>
  </si>
  <si>
    <t>D:\CBP_2026.07.21\i#3\r#legacy\d#120\v#20\16\ping_collision_summary.csv</t>
  </si>
  <si>
    <t>D:\CBP_2026.07.21\i#3\r#legacy\d#120\v#20\18\ping_collision_summary.csv</t>
  </si>
  <si>
    <t>D:\CBP_2026.07.21\i#3\r#legacy\d#120\v#20\19\ping_collision_summary.csv</t>
  </si>
  <si>
    <t>D:\CBP_2026.07.21\i#3\r#legacy\d#120\v#20\1\ping_collision_summary.csv</t>
  </si>
  <si>
    <t>D:\CBP_2026.07.21\i#3\r#legacy\d#120\v#20\20\ping_collision_summary.csv</t>
  </si>
  <si>
    <t>D:\CBP_2026.07.21\i#3\r#legacy\d#120\v#20\21\ping_collision_summary.csv</t>
  </si>
  <si>
    <t>D:\CBP_2026.07.21\i#3\r#legacy\d#120\v#20\22\ping_collision_summary.csv</t>
  </si>
  <si>
    <t>D:\CBP_2026.07.21\i#3\r#legacy\d#120\v#20\23\ping_collision_summary.csv</t>
  </si>
  <si>
    <t>D:\CBP_2026.07.21\i#3\r#legacy\d#120\v#20\24\ping_collision_summary.csv</t>
  </si>
  <si>
    <t>D:\CBP_2026.07.21\i#3\r#legacy\d#120\v#20\25\ping_collision_summary.csv</t>
  </si>
  <si>
    <t>D:\CBP_2026.07.21\i#3\r#legacy\d#120\v#20\26\ping_collision_summary.csv</t>
  </si>
  <si>
    <t>D:\CBP_2026.07.21\i#3\r#legacy\d#120\v#20\27\ping_collision_summary.csv</t>
  </si>
  <si>
    <t>D:\CBP_2026.07.21\i#3\r#legacy\d#120\v#20\28\ping_collision_summary.csv</t>
  </si>
  <si>
    <t>D:\CBP_2026.07.21\i#3\r#legacy\d#120\v#20\29\ping_collision_summary.csv</t>
  </si>
  <si>
    <t>D:\CBP_2026.07.21\i#3\r#legacy\d#120\v#20\2\ping_collision_summary.csv</t>
  </si>
  <si>
    <t>D:\CBP_2026.07.21\i#3\r#legacy\d#120\v#20\30\ping_collision_summary.csv</t>
  </si>
  <si>
    <t>D:\CBP_2026.07.21\i#3\r#legacy\d#120\v#20\3\ping_collision_summary.csv</t>
  </si>
  <si>
    <t>D:\CBP_2026.07.21\i#3\r#legacy\d#120\v#20\4\ping_collision_summary.csv</t>
  </si>
  <si>
    <t>D:\CBP_2026.07.21\i#3\r#legacy\d#120\v#20\5\ping_collision_summary.csv</t>
  </si>
  <si>
    <t>D:\CBP_2026.07.21\i#3\r#legacy\d#120\v#20\6\ping_collision_summary.csv</t>
  </si>
  <si>
    <t>D:\CBP_2026.07.21\i#3\r#legacy\d#120\v#20\7\ping_collision_summary.csv</t>
  </si>
  <si>
    <t>D:\CBP_2026.07.21\i#3\r#legacy\d#120\v#20\8\ping_collision_summary.csv</t>
  </si>
  <si>
    <t>D:\CBP_2026.07.21\i#3\r#legacy\d#120\v#20\9\ping_collision_summary.csv</t>
  </si>
  <si>
    <t>D:\CBP_2026.07.21\i#3\r#legacy\d#120\v#30\0\ping_collision_summary.csv</t>
  </si>
  <si>
    <t>D:\CBP_2026.07.21\i#3\r#legacy\d#120\v#30\10\ping_collision_summary.csv</t>
  </si>
  <si>
    <t>D:\CBP_2026.07.21\i#3\r#legacy\d#120\v#30\11\ping_collision_summary.csv</t>
  </si>
  <si>
    <t>D:\CBP_2026.07.21\i#3\r#legacy\d#120\v#30\12\ping_collision_summary.csv</t>
  </si>
  <si>
    <t>D:\CBP_2026.07.21\i#3\r#legacy\d#120\v#30\13\ping_collision_summary.csv</t>
  </si>
  <si>
    <t>D:\CBP_2026.07.21\i#3\r#legacy\d#120\v#30\14\ping_collision_summary.csv</t>
  </si>
  <si>
    <t>D:\CBP_2026.07.21\i#3\r#legacy\d#120\v#30\15\ping_collision_summary.csv</t>
  </si>
  <si>
    <t>D:\CBP_2026.07.21\i#3\r#legacy\d#120\v#30\16\ping_collision_summary.csv</t>
  </si>
  <si>
    <t>D:\CBP_2026.07.21\i#3\r#legacy\d#120\v#30\17\ping_collision_summary.csv</t>
  </si>
  <si>
    <t>D:\CBP_2026.07.21\i#3\r#legacy\d#120\v#30\18\ping_collision_summary.csv</t>
  </si>
  <si>
    <t>D:\CBP_2026.07.21\i#3\r#legacy\d#120\v#30\19\ping_collision_summary.csv</t>
  </si>
  <si>
    <t>D:\CBP_2026.07.21\i#3\r#legacy\d#120\v#30\1\ping_collision_summary.csv</t>
  </si>
  <si>
    <t>D:\CBP_2026.07.21\i#3\r#legacy\d#120\v#30\20\ping_collision_summary.csv</t>
  </si>
  <si>
    <t>D:\CBP_2026.07.21\i#3\r#legacy\d#120\v#30\21\ping_collision_summary.csv</t>
  </si>
  <si>
    <t>D:\CBP_2026.07.21\i#3\r#legacy\d#120\v#30\22\ping_collision_summary.csv</t>
  </si>
  <si>
    <t>D:\CBP_2026.07.21\i#3\r#legacy\d#120\v#30\23\ping_collision_summary.csv</t>
  </si>
  <si>
    <t>D:\CBP_2026.07.21\i#3\r#legacy\d#120\v#30\24\ping_collision_summary.csv</t>
  </si>
  <si>
    <t>D:\CBP_2026.07.21\i#3\r#legacy\d#120\v#30\25\ping_collision_summary.csv</t>
  </si>
  <si>
    <t>D:\CBP_2026.07.21\i#3\r#legacy\d#120\v#30\26\ping_collision_summary.csv</t>
  </si>
  <si>
    <t>D:\CBP_2026.07.21\i#3\r#legacy\d#120\v#30\27\ping_collision_summary.csv</t>
  </si>
  <si>
    <t>D:\CBP_2026.07.21\i#3\r#legacy\d#120\v#30\28\ping_collision_summary.csv</t>
  </si>
  <si>
    <t>D:\CBP_2026.07.21\i#3\r#legacy\d#120\v#30\29\ping_collision_summary.csv</t>
  </si>
  <si>
    <t>D:\CBP_2026.07.21\i#3\r#legacy\d#120\v#30\2\ping_collision_summary.csv</t>
  </si>
  <si>
    <t>D:\CBP_2026.07.21\i#3\r#legacy\d#120\v#30\30\ping_collision_summary.csv</t>
  </si>
  <si>
    <t>D:\CBP_2026.07.21\i#3\r#legacy\d#120\v#30\3\ping_collision_summary.csv</t>
  </si>
  <si>
    <t>D:\CBP_2026.07.21\i#3\r#legacy\d#120\v#30\4\ping_collision_summary.csv</t>
  </si>
  <si>
    <t>D:\CBP_2026.07.21\i#3\r#legacy\d#120\v#30\5\ping_collision_summary.csv</t>
  </si>
  <si>
    <t>D:\CBP_2026.07.21\i#3\r#legacy\d#120\v#30\6\ping_collision_summary.csv</t>
  </si>
  <si>
    <t>D:\CBP_2026.07.21\i#3\r#legacy\d#120\v#30\7\ping_collision_summary.csv</t>
  </si>
  <si>
    <t>D:\CBP_2026.07.21\i#3\r#legacy\d#120\v#30\8\ping_collision_summary.csv</t>
  </si>
  <si>
    <t>D:\CBP_2026.07.21\i#3\r#legacy\d#120\v#30\9\ping_collision_summary.csv</t>
  </si>
  <si>
    <t>D:\CBP_2026.07.21\i#3\r#legacy\d#70\v#10\0\ping_collision_summary.csv</t>
  </si>
  <si>
    <t>D:\CBP_2026.07.21\i#3\r#legacy\d#70\v#10\10\ping_collision_summary.csv</t>
  </si>
  <si>
    <t>D:\CBP_2026.07.21\i#3\r#legacy\d#70\v#10\11\ping_collision_summary.csv</t>
  </si>
  <si>
    <t>D:\CBP_2026.07.21\i#3\r#legacy\d#70\v#10\12\ping_collision_summary.csv</t>
  </si>
  <si>
    <t>D:\CBP_2026.07.21\i#3\r#legacy\d#70\v#10\13\ping_collision_summary.csv</t>
  </si>
  <si>
    <t>D:\CBP_2026.07.21\i#3\r#legacy\d#70\v#10\14\ping_collision_summary.csv</t>
  </si>
  <si>
    <t>D:\CBP_2026.07.21\i#3\r#legacy\d#70\v#10\15\ping_collision_summary.csv</t>
  </si>
  <si>
    <t>D:\CBP_2026.07.21\i#3\r#legacy\d#70\v#10\16\ping_collision_summary.csv</t>
  </si>
  <si>
    <t>D:\CBP_2026.07.21\i#3\r#legacy\d#70\v#10\17\ping_collision_summary.csv</t>
  </si>
  <si>
    <t>D:\CBP_2026.07.21\i#3\r#legacy\d#70\v#10\18\ping_collision_summary.csv</t>
  </si>
  <si>
    <t>D:\CBP_2026.07.21\i#3\r#legacy\d#70\v#10\19\ping_collision_summary.csv</t>
  </si>
  <si>
    <t>D:\CBP_2026.07.21\i#3\r#legacy\d#70\v#10\1\ping_collision_summary.csv</t>
  </si>
  <si>
    <t>D:\CBP_2026.07.21\i#3\r#legacy\d#70\v#10\20\ping_collision_summary.csv</t>
  </si>
  <si>
    <t>D:\CBP_2026.07.21\i#3\r#legacy\d#70\v#10\21\ping_collision_summary.csv</t>
  </si>
  <si>
    <t>D:\CBP_2026.07.21\i#3\r#legacy\d#70\v#10\22\ping_collision_summary.csv</t>
  </si>
  <si>
    <t>D:\CBP_2026.07.21\i#3\r#legacy\d#70\v#10\23\ping_collision_summary.csv</t>
  </si>
  <si>
    <t>D:\CBP_2026.07.21\i#3\r#legacy\d#70\v#10\24\ping_collision_summary.csv</t>
  </si>
  <si>
    <t>D:\CBP_2026.07.21\i#3\r#legacy\d#70\v#10\25\ping_collision_summary.csv</t>
  </si>
  <si>
    <t>D:\CBP_2026.07.21\i#3\r#legacy\d#70\v#10\26\ping_collision_summary.csv</t>
  </si>
  <si>
    <t>D:\CBP_2026.07.21\i#3\r#legacy\d#70\v#10\27\ping_collision_summary.csv</t>
  </si>
  <si>
    <t>D:\CBP_2026.07.21\i#3\r#legacy\d#70\v#10\28\ping_collision_summary.csv</t>
  </si>
  <si>
    <t>D:\CBP_2026.07.21\i#3\r#legacy\d#70\v#10\29\ping_collision_summary.csv</t>
  </si>
  <si>
    <t>D:\CBP_2026.07.21\i#3\r#legacy\d#70\v#10\2\ping_collision_summary.csv</t>
  </si>
  <si>
    <t>D:\CBP_2026.07.21\i#3\r#legacy\d#70\v#10\30\ping_collision_summary.csv</t>
  </si>
  <si>
    <t>D:\CBP_2026.07.21\i#3\r#legacy\d#70\v#10\3\ping_collision_summary.csv</t>
  </si>
  <si>
    <t>D:\CBP_2026.07.21\i#3\r#legacy\d#70\v#10\4\ping_collision_summary.csv</t>
  </si>
  <si>
    <t>D:\CBP_2026.07.21\i#3\r#legacy\d#70\v#10\5\ping_collision_summary.csv</t>
  </si>
  <si>
    <t>D:\CBP_2026.07.21\i#3\r#legacy\d#70\v#10\6\ping_collision_summary.csv</t>
  </si>
  <si>
    <t>D:\CBP_2026.07.21\i#3\r#legacy\d#70\v#10\7\ping_collision_summary.csv</t>
  </si>
  <si>
    <t>D:\CBP_2026.07.21\i#3\r#legacy\d#70\v#10\8\ping_collision_summary.csv</t>
  </si>
  <si>
    <t>D:\CBP_2026.07.21\i#3\r#legacy\d#70\v#10\9\ping_collision_summary.csv</t>
  </si>
  <si>
    <t>D:\CBP_2026.07.21\i#3\r#legacy\d#70\v#20\0\ping_collision_summary.csv</t>
  </si>
  <si>
    <t>D:\CBP_2026.07.21\i#3\r#legacy\d#70\v#20\10\ping_collision_summary.csv</t>
  </si>
  <si>
    <t>D:\CBP_2026.07.21\i#3\r#legacy\d#70\v#20\11\ping_collision_summary.csv</t>
  </si>
  <si>
    <t>D:\CBP_2026.07.21\i#3\r#legacy\d#70\v#20\12\ping_collision_summary.csv</t>
  </si>
  <si>
    <t>D:\CBP_2026.07.21\i#3\r#legacy\d#70\v#20\13\ping_collision_summary.csv</t>
  </si>
  <si>
    <t>D:\CBP_2026.07.21\i#3\r#legacy\d#70\v#20\14\ping_collision_summary.csv</t>
  </si>
  <si>
    <t>D:\CBP_2026.07.21\i#3\r#legacy\d#70\v#20\15\ping_collision_summary.csv</t>
  </si>
  <si>
    <t>D:\CBP_2026.07.21\i#3\r#legacy\d#70\v#20\16\ping_collision_summary.csv</t>
  </si>
  <si>
    <t>D:\CBP_2026.07.21\i#3\r#legacy\d#70\v#20\17\ping_collision_summary.csv</t>
  </si>
  <si>
    <t>D:\CBP_2026.07.21\i#3\r#legacy\d#70\v#20\18\ping_collision_summary.csv</t>
  </si>
  <si>
    <t>D:\CBP_2026.07.21\i#3\r#legacy\d#70\v#20\19\ping_collision_summary.csv</t>
  </si>
  <si>
    <t>D:\CBP_2026.07.21\i#3\r#legacy\d#70\v#20\1\ping_collision_summary.csv</t>
  </si>
  <si>
    <t>D:\CBP_2026.07.21\i#3\r#legacy\d#70\v#20\20\ping_collision_summary.csv</t>
  </si>
  <si>
    <t>D:\CBP_2026.07.21\i#3\r#legacy\d#70\v#20\21\ping_collision_summary.csv</t>
  </si>
  <si>
    <t>D:\CBP_2026.07.21\i#3\r#legacy\d#70\v#20\22\ping_collision_summary.csv</t>
  </si>
  <si>
    <t>D:\CBP_2026.07.21\i#3\r#legacy\d#70\v#20\23\ping_collision_summary.csv</t>
  </si>
  <si>
    <t>D:\CBP_2026.07.21\i#3\r#legacy\d#70\v#20\24\ping_collision_summary.csv</t>
  </si>
  <si>
    <t>D:\CBP_2026.07.21\i#3\r#legacy\d#70\v#20\25\ping_collision_summary.csv</t>
  </si>
  <si>
    <t>D:\CBP_2026.07.21\i#3\r#legacy\d#70\v#20\26\ping_collision_summary.csv</t>
  </si>
  <si>
    <t>D:\CBP_2026.07.21\i#3\r#legacy\d#70\v#20\27\ping_collision_summary.csv</t>
  </si>
  <si>
    <t>D:\CBP_2026.07.21\i#3\r#legacy\d#70\v#20\28\ping_collision_summary.csv</t>
  </si>
  <si>
    <t>D:\CBP_2026.07.21\i#3\r#legacy\d#70\v#20\29\ping_collision_summary.csv</t>
  </si>
  <si>
    <t>D:\CBP_2026.07.21\i#3\r#legacy\d#70\v#20\2\ping_collision_summary.csv</t>
  </si>
  <si>
    <t>D:\CBP_2026.07.21\i#3\r#legacy\d#70\v#20\30\ping_collision_summary.csv</t>
  </si>
  <si>
    <t>D:\CBP_2026.07.21\i#3\r#legacy\d#70\v#20\3\ping_collision_summary.csv</t>
  </si>
  <si>
    <t>D:\CBP_2026.07.21\i#3\r#legacy\d#70\v#20\4\ping_collision_summary.csv</t>
  </si>
  <si>
    <t>D:\CBP_2026.07.21\i#3\r#legacy\d#70\v#20\5\ping_collision_summary.csv</t>
  </si>
  <si>
    <t>D:\CBP_2026.07.21\i#3\r#legacy\d#70\v#20\6\ping_collision_summary.csv</t>
  </si>
  <si>
    <t>D:\CBP_2026.07.21\i#3\r#legacy\d#70\v#20\7\ping_collision_summary.csv</t>
  </si>
  <si>
    <t>D:\CBP_2026.07.21\i#3\r#legacy\d#70\v#20\8\ping_collision_summary.csv</t>
  </si>
  <si>
    <t>D:\CBP_2026.07.21\i#3\r#legacy\d#70\v#20\9\ping_collision_summary.csv</t>
  </si>
  <si>
    <t>D:\CBP_2026.07.21\i#3\r#legacy\d#70\v#30\0\ping_collision_summary.csv</t>
  </si>
  <si>
    <t>D:\CBP_2026.07.21\i#3\r#legacy\d#70\v#30\10\ping_collision_summary.csv</t>
  </si>
  <si>
    <t>D:\CBP_2026.07.21\i#3\r#legacy\d#70\v#30\11\ping_collision_summary.csv</t>
  </si>
  <si>
    <t>D:\CBP_2026.07.21\i#3\r#legacy\d#70\v#30\12\ping_collision_summary.csv</t>
  </si>
  <si>
    <t>D:\CBP_2026.07.21\i#3\r#legacy\d#70\v#30\13\ping_collision_summary.csv</t>
  </si>
  <si>
    <t>D:\CBP_2026.07.21\i#3\r#legacy\d#70\v#30\14\ping_collision_summary.csv</t>
  </si>
  <si>
    <t>D:\CBP_2026.07.21\i#3\r#legacy\d#70\v#30\15\ping_collision_summary.csv</t>
  </si>
  <si>
    <t>D:\CBP_2026.07.21\i#3\r#legacy\d#70\v#30\16\ping_collision_summary.csv</t>
  </si>
  <si>
    <t>D:\CBP_2026.07.21\i#3\r#legacy\d#70\v#30\17\ping_collision_summary.csv</t>
  </si>
  <si>
    <t>D:\CBP_2026.07.21\i#3\r#legacy\d#70\v#30\18\ping_collision_summary.csv</t>
  </si>
  <si>
    <t>D:\CBP_2026.07.21\i#3\r#legacy\d#70\v#30\19\ping_collision_summary.csv</t>
  </si>
  <si>
    <t>D:\CBP_2026.07.21\i#3\r#legacy\d#70\v#30\1\ping_collision_summary.csv</t>
  </si>
  <si>
    <t>D:\CBP_2026.07.21\i#3\r#legacy\d#70\v#30\20\ping_collision_summary.csv</t>
  </si>
  <si>
    <t>D:\CBP_2026.07.21\i#3\r#legacy\d#70\v#30\21\ping_collision_summary.csv</t>
  </si>
  <si>
    <t>D:\CBP_2026.07.21\i#3\r#legacy\d#70\v#30\22\ping_collision_summary.csv</t>
  </si>
  <si>
    <t>D:\CBP_2026.07.21\i#3\r#legacy\d#70\v#30\23\ping_collision_summary.csv</t>
  </si>
  <si>
    <t>D:\CBP_2026.07.21\i#3\r#legacy\d#70\v#30\24\ping_collision_summary.csv</t>
  </si>
  <si>
    <t>D:\CBP_2026.07.21\i#3\r#legacy\d#70\v#30\25\ping_collision_summary.csv</t>
  </si>
  <si>
    <t>D:\CBP_2026.07.21\i#3\r#legacy\d#70\v#30\26\ping_collision_summary.csv</t>
  </si>
  <si>
    <t>D:\CBP_2026.07.21\i#3\r#legacy\d#70\v#30\27\ping_collision_summary.csv</t>
  </si>
  <si>
    <t>D:\CBP_2026.07.21\i#3\r#legacy\d#70\v#30\28\ping_collision_summary.csv</t>
  </si>
  <si>
    <t>D:\CBP_2026.07.21\i#3\r#legacy\d#70\v#30\29\ping_collision_summary.csv</t>
  </si>
  <si>
    <t>D:\CBP_2026.07.21\i#3\r#legacy\d#70\v#30\2\ping_collision_summary.csv</t>
  </si>
  <si>
    <t>D:\CBP_2026.07.21\i#3\r#legacy\d#70\v#30\30\ping_collision_summary.csv</t>
  </si>
  <si>
    <t>D:\CBP_2026.07.21\i#3\r#legacy\d#70\v#30\3\ping_collision_summary.csv</t>
  </si>
  <si>
    <t>D:\CBP_2026.07.21\i#3\r#legacy\d#70\v#30\4\ping_collision_summary.csv</t>
  </si>
  <si>
    <t>D:\CBP_2026.07.21\i#3\r#legacy\d#70\v#30\5\ping_collision_summary.csv</t>
  </si>
  <si>
    <t>D:\CBP_2026.07.21\i#3\r#legacy\d#70\v#30\6\ping_collision_summary.csv</t>
  </si>
  <si>
    <t>D:\CBP_2026.07.21\i#3\r#legacy\d#70\v#30\7\ping_collision_summary.csv</t>
  </si>
  <si>
    <t>D:\CBP_2026.07.21\i#3\r#legacy\d#70\v#30\8\ping_collision_summary.csv</t>
  </si>
  <si>
    <t>D:\CBP_2026.07.21\i#3\r#legacy\d#70\v#30\9\ping_collision_summary.csv</t>
  </si>
  <si>
    <t>D:\CBP_2026.07.21\i#3\rrep\rrep#0_21_result\d#100\v#10\0\ping_collision_summary.csv</t>
  </si>
  <si>
    <t>D:\CBP_2026.07.21\i#3\rrep\rrep#0_21_result\d#100\v#10\10\ping_collision_summary.csv</t>
  </si>
  <si>
    <t>D:\CBP_2026.07.21\i#3\rrep\rrep#0_21_result\d#100\v#10\11\ping_collision_summary.csv</t>
  </si>
  <si>
    <t>D:\CBP_2026.07.21\i#3\rrep\rrep#0_21_result\d#100\v#10\12\ping_collision_summary.csv</t>
  </si>
  <si>
    <t>D:\CBP_2026.07.21\i#3\rrep\rrep#0_21_result\d#100\v#10\13\ping_collision_summary.csv</t>
  </si>
  <si>
    <t>D:\CBP_2026.07.21\i#3\rrep\rrep#0_21_result\d#100\v#10\14\ping_collision_summary.csv</t>
  </si>
  <si>
    <t>D:\CBP_2026.07.21\i#3\rrep\rrep#0_21_result\d#100\v#10\15\ping_collision_summary.csv</t>
  </si>
  <si>
    <t>D:\CBP_2026.07.21\i#3\rrep\rrep#0_21_result\d#100\v#10\16\ping_collision_summary.csv</t>
  </si>
  <si>
    <t>D:\CBP_2026.07.21\i#3\rrep\rrep#0_21_result\d#100\v#10\17\ping_collision_summary.csv</t>
  </si>
  <si>
    <t>D:\CBP_2026.07.21\i#3\rrep\rrep#0_21_result\d#100\v#10\18\ping_collision_summary.csv</t>
  </si>
  <si>
    <t>D:\CBP_2026.07.21\i#3\rrep\rrep#0_21_result\d#100\v#10\19\ping_collision_summary.csv</t>
  </si>
  <si>
    <t>D:\CBP_2026.07.21\i#3\rrep\rrep#0_21_result\d#100\v#10\1\ping_collision_summary.csv</t>
  </si>
  <si>
    <t>D:\CBP_2026.07.21\i#3\rrep\rrep#0_21_result\d#100\v#10\20\ping_collision_summary.csv</t>
  </si>
  <si>
    <t>D:\CBP_2026.07.21\i#3\rrep\rrep#0_21_result\d#100\v#10\21\ping_collision_summary.csv</t>
  </si>
  <si>
    <t>D:\CBP_2026.07.21\i#3\rrep\rrep#0_21_result\d#100\v#10\22\ping_collision_summary.csv</t>
  </si>
  <si>
    <t>D:\CBP_2026.07.21\i#3\rrep\rrep#0_21_result\d#100\v#10\23\ping_collision_summary.csv</t>
  </si>
  <si>
    <t>D:\CBP_2026.07.21\i#3\rrep\rrep#0_21_result\d#100\v#10\24\ping_collision_summary.csv</t>
  </si>
  <si>
    <t>D:\CBP_2026.07.21\i#3\rrep\rrep#0_21_result\d#100\v#10\25\ping_collision_summary.csv</t>
  </si>
  <si>
    <t>D:\CBP_2026.07.21\i#3\rrep\rrep#0_21_result\d#100\v#10\26\ping_collision_summary.csv</t>
  </si>
  <si>
    <t>D:\CBP_2026.07.21\i#3\rrep\rrep#0_21_result\d#100\v#10\27\ping_collision_summary.csv</t>
  </si>
  <si>
    <t>D:\CBP_2026.07.21\i#3\rrep\rrep#0_21_result\d#100\v#10\28\ping_collision_summary.csv</t>
  </si>
  <si>
    <t>D:\CBP_2026.07.21\i#3\rrep\rrep#0_21_result\d#100\v#10\29\ping_collision_summary.csv</t>
  </si>
  <si>
    <t>D:\CBP_2026.07.21\i#3\rrep\rrep#0_21_result\d#100\v#10\2\ping_collision_summary.csv</t>
  </si>
  <si>
    <t>D:\CBP_2026.07.21\i#3\rrep\rrep#0_21_result\d#100\v#10\30\ping_collision_summary.csv</t>
  </si>
  <si>
    <t>D:\CBP_2026.07.21\i#3\rrep\rrep#0_21_result\d#100\v#10\3\ping_collision_summary.csv</t>
  </si>
  <si>
    <t>D:\CBP_2026.07.21\i#3\rrep\rrep#0_21_result\d#100\v#10\4\ping_collision_summary.csv</t>
  </si>
  <si>
    <t>D:\CBP_2026.07.21\i#3\rrep\rrep#0_21_result\d#100\v#10\5\ping_collision_summary.csv</t>
  </si>
  <si>
    <t>D:\CBP_2026.07.21\i#3\rrep\rrep#0_21_result\d#100\v#10\6\ping_collision_summary.csv</t>
  </si>
  <si>
    <t>D:\CBP_2026.07.21\i#3\rrep\rrep#0_21_result\d#100\v#10\7\ping_collision_summary.csv</t>
  </si>
  <si>
    <t>D:\CBP_2026.07.21\i#3\rrep\rrep#0_21_result\d#100\v#10\8\ping_collision_summary.csv</t>
  </si>
  <si>
    <t>D:\CBP_2026.07.21\i#3\rrep\rrep#0_21_result\d#100\v#10\9\ping_collision_summary.csv</t>
  </si>
  <si>
    <t>D:\CBP_2026.07.21\i#3\rrep\rrep#0_21_result\d#100\v#20\0\ping_collision_summary.csv</t>
  </si>
  <si>
    <t>D:\CBP_2026.07.21\i#3\rrep\rrep#0_21_result\d#100\v#20\10\ping_collision_summary.csv</t>
  </si>
  <si>
    <t>D:\CBP_2026.07.21\i#3\rrep\rrep#0_21_result\d#100\v#20\11\ping_collision_summary.csv</t>
  </si>
  <si>
    <t>D:\CBP_2026.07.21\i#3\rrep\rrep#0_21_result\d#100\v#20\12\ping_collision_summary.csv</t>
  </si>
  <si>
    <t>D:\CBP_2026.07.21\i#3\rrep\rrep#0_21_result\d#100\v#20\13\ping_collision_summary.csv</t>
  </si>
  <si>
    <t>D:\CBP_2026.07.21\i#3\rrep\rrep#0_21_result\d#100\v#20\14\ping_collision_summary.csv</t>
  </si>
  <si>
    <t>D:\CBP_2026.07.21\i#3\rrep\rrep#0_21_result\d#100\v#20\15\ping_collision_summary.csv</t>
  </si>
  <si>
    <t>D:\CBP_2026.07.21\i#3\rrep\rrep#0_21_result\d#100\v#20\16\ping_collision_summary.csv</t>
  </si>
  <si>
    <t>D:\CBP_2026.07.21\i#3\rrep\rrep#0_21_result\d#100\v#20\17\ping_collision_summary.csv</t>
  </si>
  <si>
    <t>D:\CBP_2026.07.21\i#3\rrep\rrep#0_21_result\d#100\v#20\18\ping_collision_summary.csv</t>
  </si>
  <si>
    <t>D:\CBP_2026.07.21\i#3\rrep\rrep#0_21_result\d#100\v#20\19\ping_collision_summary.csv</t>
  </si>
  <si>
    <t>D:\CBP_2026.07.21\i#3\rrep\rrep#0_21_result\d#100\v#20\1\ping_collision_summary.csv</t>
  </si>
  <si>
    <t>D:\CBP_2026.07.21\i#3\rrep\rrep#0_21_result\d#100\v#20\20\ping_collision_summary.csv</t>
  </si>
  <si>
    <t>D:\CBP_2026.07.21\i#3\rrep\rrep#0_21_result\d#100\v#20\21\ping_collision_summary.csv</t>
  </si>
  <si>
    <t>D:\CBP_2026.07.21\i#3\rrep\rrep#0_21_result\d#100\v#20\22\ping_collision_summary.csv</t>
  </si>
  <si>
    <t>D:\CBP_2026.07.21\i#3\rrep\rrep#0_21_result\d#100\v#20\23\ping_collision_summary.csv</t>
  </si>
  <si>
    <t>D:\CBP_2026.07.21\i#3\rrep\rrep#0_21_result\d#100\v#20\24\ping_collision_summary.csv</t>
  </si>
  <si>
    <t>D:\CBP_2026.07.21\i#3\rrep\rrep#0_21_result\d#100\v#20\25\ping_collision_summary.csv</t>
  </si>
  <si>
    <t>D:\CBP_2026.07.21\i#3\rrep\rrep#0_21_result\d#100\v#20\26\ping_collision_summary.csv</t>
  </si>
  <si>
    <t>D:\CBP_2026.07.21\i#3\rrep\rrep#0_21_result\d#100\v#20\27\ping_collision_summary.csv</t>
  </si>
  <si>
    <t>D:\CBP_2026.07.21\i#3\rrep\rrep#0_21_result\d#100\v#20\28\ping_collision_summary.csv</t>
  </si>
  <si>
    <t>D:\CBP_2026.07.21\i#3\rrep\rrep#0_21_result\d#100\v#20\29\ping_collision_summary.csv</t>
  </si>
  <si>
    <t>D:\CBP_2026.07.21\i#3\rrep\rrep#0_21_result\d#100\v#20\2\ping_collision_summary.csv</t>
  </si>
  <si>
    <t>D:\CBP_2026.07.21\i#3\rrep\rrep#0_21_result\d#100\v#20\30\ping_collision_summary.csv</t>
  </si>
  <si>
    <t>D:\CBP_2026.07.21\i#3\rrep\rrep#0_21_result\d#100\v#20\3\ping_collision_summary.csv</t>
  </si>
  <si>
    <t>D:\CBP_2026.07.21\i#3\rrep\rrep#0_21_result\d#100\v#20\4\ping_collision_summary.csv</t>
  </si>
  <si>
    <t>D:\CBP_2026.07.21\i#3\rrep\rrep#0_21_result\d#100\v#20\5\ping_collision_summary.csv</t>
  </si>
  <si>
    <t>D:\CBP_2026.07.21\i#3\rrep\rrep#0_21_result\d#100\v#20\6\ping_collision_summary.csv</t>
  </si>
  <si>
    <t>D:\CBP_2026.07.21\i#3\rrep\rrep#0_21_result\d#100\v#20\7\ping_collision_summary.csv</t>
  </si>
  <si>
    <t>D:\CBP_2026.07.21\i#3\rrep\rrep#0_21_result\d#100\v#20\8\ping_collision_summary.csv</t>
  </si>
  <si>
    <t>D:\CBP_2026.07.21\i#3\rrep\rrep#0_21_result\d#100\v#20\9\ping_collision_summary.csv</t>
  </si>
  <si>
    <t>D:\CBP_2026.07.21\i#3\rrep\rrep#0_21_result\d#100\v#30\0\ping_collision_summary.csv</t>
  </si>
  <si>
    <t>D:\CBP_2026.07.21\i#3\rrep\rrep#0_21_result\d#100\v#30\10\ping_collision_summary.csv</t>
  </si>
  <si>
    <t>D:\CBP_2026.07.21\i#3\rrep\rrep#0_21_result\d#100\v#30\11\ping_collision_summary.csv</t>
  </si>
  <si>
    <t>D:\CBP_2026.07.21\i#3\rrep\rrep#0_21_result\d#100\v#30\12\ping_collision_summary.csv</t>
  </si>
  <si>
    <t>D:\CBP_2026.07.21\i#3\rrep\rrep#0_21_result\d#100\v#30\13\ping_collision_summary.csv</t>
  </si>
  <si>
    <t>D:\CBP_2026.07.21\i#3\rrep\rrep#0_21_result\d#100\v#30\14\ping_collision_summary.csv</t>
  </si>
  <si>
    <t>D:\CBP_2026.07.21\i#3\rrep\rrep#0_21_result\d#100\v#30\15\ping_collision_summary.csv</t>
  </si>
  <si>
    <t>D:\CBP_2026.07.21\i#3\rrep\rrep#0_21_result\d#100\v#30\16\ping_collision_summary.csv</t>
  </si>
  <si>
    <t>D:\CBP_2026.07.21\i#3\rrep\rrep#0_21_result\d#100\v#30\17\ping_collision_summary.csv</t>
  </si>
  <si>
    <t>D:\CBP_2026.07.21\i#3\rrep\rrep#0_21_result\d#100\v#30\18\ping_collision_summary.csv</t>
  </si>
  <si>
    <t>D:\CBP_2026.07.21\i#3\rrep\rrep#0_21_result\d#100\v#30\19\ping_collision_summary.csv</t>
  </si>
  <si>
    <t>D:\CBP_2026.07.21\i#3\rrep\rrep#0_21_result\d#100\v#30\1\ping_collision_summary.csv</t>
  </si>
  <si>
    <t>D:\CBP_2026.07.21\i#3\rrep\rrep#0_21_result\d#100\v#30\20\ping_collision_summary.csv</t>
  </si>
  <si>
    <t>D:\CBP_2026.07.21\i#3\rrep\rrep#0_21_result\d#100\v#30\21\ping_collision_summary.csv</t>
  </si>
  <si>
    <t>D:\CBP_2026.07.21\i#3\rrep\rrep#0_21_result\d#100\v#30\22\ping_collision_summary.csv</t>
  </si>
  <si>
    <t>D:\CBP_2026.07.21\i#3\rrep\rrep#0_21_result\d#100\v#30\23\ping_collision_summary.csv</t>
  </si>
  <si>
    <t>D:\CBP_2026.07.21\i#3\rrep\rrep#0_21_result\d#100\v#30\24\ping_collision_summary.csv</t>
  </si>
  <si>
    <t>D:\CBP_2026.07.21\i#3\rrep\rrep#0_21_result\d#100\v#30\25\ping_collision_summary.csv</t>
  </si>
  <si>
    <t>D:\CBP_2026.07.21\i#3\rrep\rrep#0_21_result\d#100\v#30\26\ping_collision_summary.csv</t>
  </si>
  <si>
    <t>D:\CBP_2026.07.21\i#3\rrep\rrep#0_21_result\d#100\v#30\27\ping_collision_summary.csv</t>
  </si>
  <si>
    <t>D:\CBP_2026.07.21\i#3\rrep\rrep#0_21_result\d#100\v#30\28\ping_collision_summary.csv</t>
  </si>
  <si>
    <t>D:\CBP_2026.07.21\i#3\rrep\rrep#0_21_result\d#100\v#30\29\ping_collision_summary.csv</t>
  </si>
  <si>
    <t>D:\CBP_2026.07.21\i#3\rrep\rrep#0_21_result\d#100\v#30\2\ping_collision_summary.csv</t>
  </si>
  <si>
    <t>D:\CBP_2026.07.21\i#3\rrep\rrep#0_21_result\d#100\v#30\30\ping_collision_summary.csv</t>
  </si>
  <si>
    <t>D:\CBP_2026.07.21\i#3\rrep\rrep#0_21_result\d#100\v#30\3\ping_collision_summary.csv</t>
  </si>
  <si>
    <t>D:\CBP_2026.07.21\i#3\rrep\rrep#0_21_result\d#100\v#30\4\ping_collision_summary.csv</t>
  </si>
  <si>
    <t>D:\CBP_2026.07.21\i#3\rrep\rrep#0_21_result\d#100\v#30\5\ping_collision_summary.csv</t>
  </si>
  <si>
    <t>D:\CBP_2026.07.21\i#3\rrep\rrep#0_21_result\d#100\v#30\6\ping_collision_summary.csv</t>
  </si>
  <si>
    <t>D:\CBP_2026.07.21\i#3\rrep\rrep#0_21_result\d#100\v#30\7\ping_collision_summary.csv</t>
  </si>
  <si>
    <t>D:\CBP_2026.07.21\i#3\rrep\rrep#0_21_result\d#100\v#30\8\ping_collision_summary.csv</t>
  </si>
  <si>
    <t>D:\CBP_2026.07.21\i#3\rrep\rrep#0_21_result\d#100\v#30\9\ping_collision_summary.csv</t>
  </si>
  <si>
    <t>D:\CBP_2026.07.21\i#3\rrep\rrep#0_21_result\d#120\v#10\0\ping_collision_summary.csv</t>
  </si>
  <si>
    <t>D:\CBP_2026.07.21\i#3\rrep\rrep#0_21_result\d#120\v#10\10\ping_collision_summary.csv</t>
  </si>
  <si>
    <t>D:\CBP_2026.07.21\i#3\rrep\rrep#0_21_result\d#120\v#10\11\ping_collision_summary.csv</t>
  </si>
  <si>
    <t>D:\CBP_2026.07.21\i#3\rrep\rrep#0_21_result\d#120\v#10\12\ping_collision_summary.csv</t>
  </si>
  <si>
    <t>D:\CBP_2026.07.21\i#3\rrep\rrep#0_21_result\d#120\v#10\13\ping_collision_summary.csv</t>
  </si>
  <si>
    <t>D:\CBP_2026.07.21\i#3\rrep\rrep#0_21_result\d#120\v#10\14\ping_collision_summary.csv</t>
  </si>
  <si>
    <t>D:\CBP_2026.07.21\i#3\rrep\rrep#0_21_result\d#120\v#10\15\ping_collision_summary.csv</t>
  </si>
  <si>
    <t>D:\CBP_2026.07.21\i#3\rrep\rrep#0_21_result\d#120\v#10\16\ping_collision_summary.csv</t>
  </si>
  <si>
    <t>D:\CBP_2026.07.21\i#3\rrep\rrep#0_21_result\d#120\v#10\17\ping_collision_summary.csv</t>
  </si>
  <si>
    <t>D:\CBP_2026.07.21\i#3\rrep\rrep#0_21_result\d#120\v#10\18\ping_collision_summary.csv</t>
  </si>
  <si>
    <t>D:\CBP_2026.07.21\i#3\rrep\rrep#0_21_result\d#120\v#10\19\ping_collision_summary.csv</t>
  </si>
  <si>
    <t>D:\CBP_2026.07.21\i#3\rrep\rrep#0_21_result\d#120\v#10\1\ping_collision_summary.csv</t>
  </si>
  <si>
    <t>D:\CBP_2026.07.21\i#3\rrep\rrep#0_21_result\d#120\v#10\20\ping_collision_summary.csv</t>
  </si>
  <si>
    <t>D:\CBP_2026.07.21\i#3\rrep\rrep#0_21_result\d#120\v#10\21\ping_collision_summary.csv</t>
  </si>
  <si>
    <t>D:\CBP_2026.07.21\i#3\rrep\rrep#0_21_result\d#120\v#10\22\ping_collision_summary.csv</t>
  </si>
  <si>
    <t>D:\CBP_2026.07.21\i#3\rrep\rrep#0_21_result\d#120\v#10\23\ping_collision_summary.csv</t>
  </si>
  <si>
    <t>D:\CBP_2026.07.21\i#3\rrep\rrep#0_21_result\d#120\v#10\24\ping_collision_summary.csv</t>
  </si>
  <si>
    <t>D:\CBP_2026.07.21\i#3\rrep\rrep#0_21_result\d#120\v#10\25\ping_collision_summary.csv</t>
  </si>
  <si>
    <t>D:\CBP_2026.07.21\i#3\rrep\rrep#0_21_result\d#120\v#10\26\ping_collision_summary.csv</t>
  </si>
  <si>
    <t>D:\CBP_2026.07.21\i#3\rrep\rrep#0_21_result\d#120\v#10\27\ping_collision_summary.csv</t>
  </si>
  <si>
    <t>D:\CBP_2026.07.21\i#3\rrep\rrep#0_21_result\d#120\v#10\28\ping_collision_summary.csv</t>
  </si>
  <si>
    <t>D:\CBP_2026.07.21\i#3\rrep\rrep#0_21_result\d#120\v#10\29\ping_collision_summary.csv</t>
  </si>
  <si>
    <t>D:\CBP_2026.07.21\i#3\rrep\rrep#0_21_result\d#120\v#10\2\ping_collision_summary.csv</t>
  </si>
  <si>
    <t>D:\CBP_2026.07.21\i#3\rrep\rrep#0_21_result\d#120\v#10\30\ping_collision_summary.csv</t>
  </si>
  <si>
    <t>D:\CBP_2026.07.21\i#3\rrep\rrep#0_21_result\d#120\v#10\3\ping_collision_summary.csv</t>
  </si>
  <si>
    <t>D:\CBP_2026.07.21\i#3\rrep\rrep#0_21_result\d#120\v#10\4\ping_collision_summary.csv</t>
  </si>
  <si>
    <t>D:\CBP_2026.07.21\i#3\rrep\rrep#0_21_result\d#120\v#10\5\ping_collision_summary.csv</t>
  </si>
  <si>
    <t>D:\CBP_2026.07.21\i#3\rrep\rrep#0_21_result\d#120\v#10\6\ping_collision_summary.csv</t>
  </si>
  <si>
    <t>D:\CBP_2026.07.21\i#3\rrep\rrep#0_21_result\d#120\v#10\7\ping_collision_summary.csv</t>
  </si>
  <si>
    <t>D:\CBP_2026.07.21\i#3\rrep\rrep#0_21_result\d#120\v#10\8\ping_collision_summary.csv</t>
  </si>
  <si>
    <t>D:\CBP_2026.07.21\i#3\rrep\rrep#0_21_result\d#120\v#10\9\ping_collision_summary.csv</t>
  </si>
  <si>
    <t>D:\CBP_2026.07.21\i#3\rrep\rrep#0_21_result\d#120\v#20\0\ping_collision_summary.csv</t>
  </si>
  <si>
    <t>D:\CBP_2026.07.21\i#3\rrep\rrep#0_21_result\d#120\v#20\10\ping_collision_summary.csv</t>
  </si>
  <si>
    <t>D:\CBP_2026.07.21\i#3\rrep\rrep#0_21_result\d#120\v#20\11\ping_collision_summary.csv</t>
  </si>
  <si>
    <t>D:\CBP_2026.07.21\i#3\rrep\rrep#0_21_result\d#120\v#20\12\ping_collision_summary.csv</t>
  </si>
  <si>
    <t>D:\CBP_2026.07.21\i#3\rrep\rrep#0_21_result\d#120\v#20\13\ping_collision_summary.csv</t>
  </si>
  <si>
    <t>D:\CBP_2026.07.21\i#3\rrep\rrep#0_21_result\d#120\v#20\14\ping_collision_summary.csv</t>
  </si>
  <si>
    <t>D:\CBP_2026.07.21\i#3\rrep\rrep#0_21_result\d#120\v#20\15\ping_collision_summary.csv</t>
  </si>
  <si>
    <t>D:\CBP_2026.07.21\i#3\rrep\rrep#0_21_result\d#120\v#20\16\ping_collision_summary.csv</t>
  </si>
  <si>
    <t>D:\CBP_2026.07.21\i#3\rrep\rrep#0_21_result\d#120\v#20\17\ping_collision_summary.csv</t>
  </si>
  <si>
    <t>D:\CBP_2026.07.21\i#3\rrep\rrep#0_21_result\d#120\v#20\18\ping_collision_summary.csv</t>
  </si>
  <si>
    <t>D:\CBP_2026.07.21\i#3\rrep\rrep#0_21_result\d#120\v#20\19\ping_collision_summary.csv</t>
  </si>
  <si>
    <t>D:\CBP_2026.07.21\i#3\rrep\rrep#0_21_result\d#120\v#20\1\ping_collision_summary.csv</t>
  </si>
  <si>
    <t>D:\CBP_2026.07.21\i#3\rrep\rrep#0_21_result\d#120\v#20\20\ping_collision_summary.csv</t>
  </si>
  <si>
    <t>D:\CBP_2026.07.21\i#3\rrep\rrep#0_21_result\d#120\v#20\21\ping_collision_summary.csv</t>
  </si>
  <si>
    <t>D:\CBP_2026.07.21\i#3\rrep\rrep#0_21_result\d#120\v#20\22\ping_collision_summary.csv</t>
  </si>
  <si>
    <t>D:\CBP_2026.07.21\i#3\rrep\rrep#0_21_result\d#120\v#20\23\ping_collision_summary.csv</t>
  </si>
  <si>
    <t>D:\CBP_2026.07.21\i#3\rrep\rrep#0_21_result\d#120\v#20\24\ping_collision_summary.csv</t>
  </si>
  <si>
    <t>D:\CBP_2026.07.21\i#3\rrep\rrep#0_21_result\d#120\v#20\25\ping_collision_summary.csv</t>
  </si>
  <si>
    <t>D:\CBP_2026.07.21\i#3\rrep\rrep#0_21_result\d#120\v#20\26\ping_collision_summary.csv</t>
  </si>
  <si>
    <t>D:\CBP_2026.07.21\i#3\rrep\rrep#0_21_result\d#120\v#20\27\ping_collision_summary.csv</t>
  </si>
  <si>
    <t>D:\CBP_2026.07.21\i#3\rrep\rrep#0_21_result\d#120\v#20\28\ping_collision_summary.csv</t>
  </si>
  <si>
    <t>D:\CBP_2026.07.21\i#3\rrep\rrep#0_21_result\d#120\v#20\29\ping_collision_summary.csv</t>
  </si>
  <si>
    <t>D:\CBP_2026.07.21\i#3\rrep\rrep#0_21_result\d#120\v#20\2\ping_collision_summary.csv</t>
  </si>
  <si>
    <t>D:\CBP_2026.07.21\i#3\rrep\rrep#0_21_result\d#120\v#20\30\ping_collision_summary.csv</t>
  </si>
  <si>
    <t>D:\CBP_2026.07.21\i#3\rrep\rrep#0_21_result\d#120\v#20\3\ping_collision_summary.csv</t>
  </si>
  <si>
    <t>D:\CBP_2026.07.21\i#3\rrep\rrep#0_21_result\d#120\v#20\4\ping_collision_summary.csv</t>
  </si>
  <si>
    <t>D:\CBP_2026.07.21\i#3\rrep\rrep#0_21_result\d#120\v#20\5\ping_collision_summary.csv</t>
  </si>
  <si>
    <t>D:\CBP_2026.07.21\i#3\rrep\rrep#0_21_result\d#120\v#20\6\ping_collision_summary.csv</t>
  </si>
  <si>
    <t>D:\CBP_2026.07.21\i#3\rrep\rrep#0_21_result\d#120\v#20\7\ping_collision_summary.csv</t>
  </si>
  <si>
    <t>D:\CBP_2026.07.21\i#3\rrep\rrep#0_21_result\d#120\v#20\8\ping_collision_summary.csv</t>
  </si>
  <si>
    <t>D:\CBP_2026.07.21\i#3\rrep\rrep#0_21_result\d#120\v#20\9\ping_collision_summary.csv</t>
  </si>
  <si>
    <t>D:\CBP_2026.07.21\i#3\rrep\rrep#0_21_result\d#120\v#30\0\ping_collision_summary.csv</t>
  </si>
  <si>
    <t>D:\CBP_2026.07.21\i#3\rrep\rrep#0_21_result\d#120\v#30\10\ping_collision_summary.csv</t>
  </si>
  <si>
    <t>D:\CBP_2026.07.21\i#3\rrep\rrep#0_21_result\d#120\v#30\11\ping_collision_summary.csv</t>
  </si>
  <si>
    <t>D:\CBP_2026.07.21\i#3\rrep\rrep#0_21_result\d#120\v#30\12\ping_collision_summary.csv</t>
  </si>
  <si>
    <t>D:\CBP_2026.07.21\i#3\rrep\rrep#0_21_result\d#120\v#30\13\ping_collision_summary.csv</t>
  </si>
  <si>
    <t>D:\CBP_2026.07.21\i#3\rrep\rrep#0_21_result\d#120\v#30\14\ping_collision_summary.csv</t>
  </si>
  <si>
    <t>D:\CBP_2026.07.21\i#3\rrep\rrep#0_21_result\d#120\v#30\15\ping_collision_summary.csv</t>
  </si>
  <si>
    <t>D:\CBP_2026.07.21\i#3\rrep\rrep#0_21_result\d#120\v#30\16\ping_collision_summary.csv</t>
  </si>
  <si>
    <t>D:\CBP_2026.07.21\i#3\rrep\rrep#0_21_result\d#120\v#30\17\ping_collision_summary.csv</t>
  </si>
  <si>
    <t>D:\CBP_2026.07.21\i#3\rrep\rrep#0_21_result\d#120\v#30\18\ping_collision_summary.csv</t>
  </si>
  <si>
    <t>D:\CBP_2026.07.21\i#3\rrep\rrep#0_21_result\d#120\v#30\19\ping_collision_summary.csv</t>
  </si>
  <si>
    <t>D:\CBP_2026.07.21\i#3\rrep\rrep#0_21_result\d#120\v#30\1\ping_collision_summary.csv</t>
  </si>
  <si>
    <t>D:\CBP_2026.07.21\i#3\rrep\rrep#0_21_result\d#120\v#30\20\ping_collision_summary.csv</t>
  </si>
  <si>
    <t>D:\CBP_2026.07.21\i#3\rrep\rrep#0_21_result\d#120\v#30\21\ping_collision_summary.csv</t>
  </si>
  <si>
    <t>D:\CBP_2026.07.21\i#3\rrep\rrep#0_21_result\d#120\v#30\22\ping_collision_summary.csv</t>
  </si>
  <si>
    <t>D:\CBP_2026.07.21\i#3\rrep\rrep#0_21_result\d#120\v#30\23\ping_collision_summary.csv</t>
  </si>
  <si>
    <t>D:\CBP_2026.07.21\i#3\rrep\rrep#0_21_result\d#120\v#30\24\ping_collision_summary.csv</t>
  </si>
  <si>
    <t>D:\CBP_2026.07.21\i#3\rrep\rrep#0_21_result\d#120\v#30\25\ping_collision_summary.csv</t>
  </si>
  <si>
    <t>D:\CBP_2026.07.21\i#3\rrep\rrep#0_21_result\d#120\v#30\26\ping_collision_summary.csv</t>
  </si>
  <si>
    <t>D:\CBP_2026.07.21\i#3\rrep\rrep#0_21_result\d#120\v#30\27\ping_collision_summary.csv</t>
  </si>
  <si>
    <t>D:\CBP_2026.07.21\i#3\rrep\rrep#0_21_result\d#120\v#30\28\ping_collision_summary.csv</t>
  </si>
  <si>
    <t>D:\CBP_2026.07.21\i#3\rrep\rrep#0_21_result\d#120\v#30\29\ping_collision_summary.csv</t>
  </si>
  <si>
    <t>D:\CBP_2026.07.21\i#3\rrep\rrep#0_21_result\d#120\v#30\2\ping_collision_summary.csv</t>
  </si>
  <si>
    <t>D:\CBP_2026.07.21\i#3\rrep\rrep#0_21_result\d#120\v#30\30\ping_collision_summary.csv</t>
  </si>
  <si>
    <t>D:\CBP_2026.07.21\i#3\rrep\rrep#0_21_result\d#120\v#30\3\ping_collision_summary.csv</t>
  </si>
  <si>
    <t>D:\CBP_2026.07.21\i#3\rrep\rrep#0_21_result\d#120\v#30\4\ping_collision_summary.csv</t>
  </si>
  <si>
    <t>D:\CBP_2026.07.21\i#3\rrep\rrep#0_21_result\d#120\v#30\5\ping_collision_summary.csv</t>
  </si>
  <si>
    <t>D:\CBP_2026.07.21\i#3\rrep\rrep#0_21_result\d#120\v#30\6\ping_collision_summary.csv</t>
  </si>
  <si>
    <t>D:\CBP_2026.07.21\i#3\rrep\rrep#0_21_result\d#120\v#30\7\ping_collision_summary.csv</t>
  </si>
  <si>
    <t>D:\CBP_2026.07.21\i#3\rrep\rrep#0_21_result\d#120\v#30\8\ping_collision_summary.csv</t>
  </si>
  <si>
    <t>D:\CBP_2026.07.21\i#3\rrep\rrep#0_21_result\d#120\v#30\9\ping_collision_summary.csv</t>
  </si>
  <si>
    <t>D:\CBP_2026.07.21\i#3\rrep\rrep#0_21_result\d#70\v#10\0\ping_collision_summary.csv</t>
  </si>
  <si>
    <t>D:\CBP_2026.07.21\i#3\rrep\rrep#0_21_result\d#70\v#10\10\ping_collision_summary.csv</t>
  </si>
  <si>
    <t>D:\CBP_2026.07.21\i#3\rrep\rrep#0_21_result\d#70\v#10\11\ping_collision_summary.csv</t>
  </si>
  <si>
    <t>D:\CBP_2026.07.21\i#3\rrep\rrep#0_21_result\d#70\v#10\12\ping_collision_summary.csv</t>
  </si>
  <si>
    <t>D:\CBP_2026.07.21\i#3\rrep\rrep#0_21_result\d#70\v#10\13\ping_collision_summary.csv</t>
  </si>
  <si>
    <t>D:\CBP_2026.07.21\i#3\rrep\rrep#0_21_result\d#70\v#10\14\ping_collision_summary.csv</t>
  </si>
  <si>
    <t>D:\CBP_2026.07.21\i#3\rrep\rrep#0_21_result\d#70\v#10\15\ping_collision_summary.csv</t>
  </si>
  <si>
    <t>D:\CBP_2026.07.21\i#3\rrep\rrep#0_21_result\d#70\v#10\16\ping_collision_summary.csv</t>
  </si>
  <si>
    <t>D:\CBP_2026.07.21\i#3\rrep\rrep#0_21_result\d#70\v#10\17\ping_collision_summary.csv</t>
  </si>
  <si>
    <t>D:\CBP_2026.07.21\i#3\rrep\rrep#0_21_result\d#70\v#10\18\ping_collision_summary.csv</t>
  </si>
  <si>
    <t>D:\CBP_2026.07.21\i#3\rrep\rrep#0_21_result\d#70\v#10\19\ping_collision_summary.csv</t>
  </si>
  <si>
    <t>D:\CBP_2026.07.21\i#3\rrep\rrep#0_21_result\d#70\v#10\1\ping_collision_summary.csv</t>
  </si>
  <si>
    <t>D:\CBP_2026.07.21\i#3\rrep\rrep#0_21_result\d#70\v#10\20\ping_collision_summary.csv</t>
  </si>
  <si>
    <t>D:\CBP_2026.07.21\i#3\rrep\rrep#0_21_result\d#70\v#10\21\ping_collision_summary.csv</t>
  </si>
  <si>
    <t>D:\CBP_2026.07.21\i#3\rrep\rrep#0_21_result\d#70\v#10\22\ping_collision_summary.csv</t>
  </si>
  <si>
    <t>D:\CBP_2026.07.21\i#3\rrep\rrep#0_21_result\d#70\v#10\23\ping_collision_summary.csv</t>
  </si>
  <si>
    <t>D:\CBP_2026.07.21\i#3\rrep\rrep#0_21_result\d#70\v#10\24\ping_collision_summary.csv</t>
  </si>
  <si>
    <t>D:\CBP_2026.07.21\i#3\rrep\rrep#0_21_result\d#70\v#10\25\ping_collision_summary.csv</t>
  </si>
  <si>
    <t>D:\CBP_2026.07.21\i#3\rrep\rrep#0_21_result\d#70\v#10\26\ping_collision_summary.csv</t>
  </si>
  <si>
    <t>D:\CBP_2026.07.21\i#3\rrep\rrep#0_21_result\d#70\v#10\27\ping_collision_summary.csv</t>
  </si>
  <si>
    <t>D:\CBP_2026.07.21\i#3\rrep\rrep#0_21_result\d#70\v#10\28\ping_collision_summary.csv</t>
  </si>
  <si>
    <t>D:\CBP_2026.07.21\i#3\rrep\rrep#0_21_result\d#70\v#10\29\ping_collision_summary.csv</t>
  </si>
  <si>
    <t>D:\CBP_2026.07.21\i#3\rrep\rrep#0_21_result\d#70\v#10\2\ping_collision_summary.csv</t>
  </si>
  <si>
    <t>D:\CBP_2026.07.21\i#3\rrep\rrep#0_21_result\d#70\v#10\30\ping_collision_summary.csv</t>
  </si>
  <si>
    <t>D:\CBP_2026.07.21\i#3\rrep\rrep#0_21_result\d#70\v#10\3\ping_collision_summary.csv</t>
  </si>
  <si>
    <t>D:\CBP_2026.07.21\i#3\rrep\rrep#0_21_result\d#70\v#10\4\ping_collision_summary.csv</t>
  </si>
  <si>
    <t>D:\CBP_2026.07.21\i#3\rrep\rrep#0_21_result\d#70\v#10\5\ping_collision_summary.csv</t>
  </si>
  <si>
    <t>D:\CBP_2026.07.21\i#3\rrep\rrep#0_21_result\d#70\v#10\6\ping_collision_summary.csv</t>
  </si>
  <si>
    <t>D:\CBP_2026.07.21\i#3\rrep\rrep#0_21_result\d#70\v#10\7\ping_collision_summary.csv</t>
  </si>
  <si>
    <t>D:\CBP_2026.07.21\i#3\rrep\rrep#0_21_result\d#70\v#10\8\ping_collision_summary.csv</t>
  </si>
  <si>
    <t>D:\CBP_2026.07.21\i#3\rrep\rrep#0_21_result\d#70\v#10\9\ping_collision_summary.csv</t>
  </si>
  <si>
    <t>D:\CBP_2026.07.21\i#3\rrep\rrep#0_21_result\d#70\v#20\0\ping_collision_summary.csv</t>
  </si>
  <si>
    <t>D:\CBP_2026.07.21\i#3\rrep\rrep#0_21_result\d#70\v#20\10\ping_collision_summary.csv</t>
  </si>
  <si>
    <t>D:\CBP_2026.07.21\i#3\rrep\rrep#0_21_result\d#70\v#20\11\ping_collision_summary.csv</t>
  </si>
  <si>
    <t>D:\CBP_2026.07.21\i#3\rrep\rrep#0_21_result\d#70\v#20\12\ping_collision_summary.csv</t>
  </si>
  <si>
    <t>D:\CBP_2026.07.21\i#3\rrep\rrep#0_21_result\d#70\v#20\13\ping_collision_summary.csv</t>
  </si>
  <si>
    <t>D:\CBP_2026.07.21\i#3\rrep\rrep#0_21_result\d#70\v#20\14\ping_collision_summary.csv</t>
  </si>
  <si>
    <t>D:\CBP_2026.07.21\i#3\rrep\rrep#0_21_result\d#70\v#20\15\ping_collision_summary.csv</t>
  </si>
  <si>
    <t>D:\CBP_2026.07.21\i#3\rrep\rrep#0_21_result\d#70\v#20\16\ping_collision_summary.csv</t>
  </si>
  <si>
    <t>D:\CBP_2026.07.21\i#3\rrep\rrep#0_21_result\d#70\v#20\17\ping_collision_summary.csv</t>
  </si>
  <si>
    <t>D:\CBP_2026.07.21\i#3\rrep\rrep#0_21_result\d#70\v#20\18\ping_collision_summary.csv</t>
  </si>
  <si>
    <t>D:\CBP_2026.07.21\i#3\rrep\rrep#0_21_result\d#70\v#20\19\ping_collision_summary.csv</t>
  </si>
  <si>
    <t>D:\CBP_2026.07.21\i#3\rrep\rrep#0_21_result\d#70\v#20\1\ping_collision_summary.csv</t>
  </si>
  <si>
    <t>D:\CBP_2026.07.21\i#3\rrep\rrep#0_21_result\d#70\v#20\20\ping_collision_summary.csv</t>
  </si>
  <si>
    <t>D:\CBP_2026.07.21\i#3\rrep\rrep#0_21_result\d#70\v#20\21\ping_collision_summary.csv</t>
  </si>
  <si>
    <t>D:\CBP_2026.07.21\i#3\rrep\rrep#0_21_result\d#70\v#20\22\ping_collision_summary.csv</t>
  </si>
  <si>
    <t>D:\CBP_2026.07.21\i#3\rrep\rrep#0_21_result\d#70\v#20\23\ping_collision_summary.csv</t>
  </si>
  <si>
    <t>D:\CBP_2026.07.21\i#3\rrep\rrep#0_21_result\d#70\v#20\24\ping_collision_summary.csv</t>
  </si>
  <si>
    <t>D:\CBP_2026.07.21\i#3\rrep\rrep#0_21_result\d#70\v#20\25\ping_collision_summary.csv</t>
  </si>
  <si>
    <t>D:\CBP_2026.07.21\i#3\rrep\rrep#0_21_result\d#70\v#20\26\ping_collision_summary.csv</t>
  </si>
  <si>
    <t>D:\CBP_2026.07.21\i#3\rrep\rrep#0_21_result\d#70\v#20\27\ping_collision_summary.csv</t>
  </si>
  <si>
    <t>D:\CBP_2026.07.21\i#3\rrep\rrep#0_21_result\d#70\v#20\28\ping_collision_summary.csv</t>
  </si>
  <si>
    <t>D:\CBP_2026.07.21\i#3\rrep\rrep#0_21_result\d#70\v#20\29\ping_collision_summary.csv</t>
  </si>
  <si>
    <t>D:\CBP_2026.07.21\i#3\rrep\rrep#0_21_result\d#70\v#20\2\ping_collision_summary.csv</t>
  </si>
  <si>
    <t>D:\CBP_2026.07.21\i#3\rrep\rrep#0_21_result\d#70\v#20\30\ping_collision_summary.csv</t>
  </si>
  <si>
    <t>D:\CBP_2026.07.21\i#3\rrep\rrep#0_21_result\d#70\v#20\3\ping_collision_summary.csv</t>
  </si>
  <si>
    <t>D:\CBP_2026.07.21\i#3\rrep\rrep#0_21_result\d#70\v#20\4\ping_collision_summary.csv</t>
  </si>
  <si>
    <t>D:\CBP_2026.07.21\i#3\rrep\rrep#0_21_result\d#70\v#20\5\ping_collision_summary.csv</t>
  </si>
  <si>
    <t>D:\CBP_2026.07.21\i#3\rrep\rrep#0_21_result\d#70\v#20\6\ping_collision_summary.csv</t>
  </si>
  <si>
    <t>D:\CBP_2026.07.21\i#3\rrep\rrep#0_21_result\d#70\v#20\7\ping_collision_summary.csv</t>
  </si>
  <si>
    <t>D:\CBP_2026.07.21\i#3\rrep\rrep#0_21_result\d#70\v#20\8\ping_collision_summary.csv</t>
  </si>
  <si>
    <t>D:\CBP_2026.07.21\i#3\rrep\rrep#0_21_result\d#70\v#20\9\ping_collision_summary.csv</t>
  </si>
  <si>
    <t>D:\CBP_2026.07.21\i#3\rrep\rrep#0_21_result\d#70\v#30\0\ping_collision_summary.csv</t>
  </si>
  <si>
    <t>D:\CBP_2026.07.21\i#3\rrep\rrep#0_21_result\d#70\v#30\10\ping_collision_summary.csv</t>
  </si>
  <si>
    <t>D:\CBP_2026.07.21\i#3\rrep\rrep#0_21_result\d#70\v#30\11\ping_collision_summary.csv</t>
  </si>
  <si>
    <t>D:\CBP_2026.07.21\i#3\rrep\rrep#0_21_result\d#70\v#30\12\ping_collision_summary.csv</t>
  </si>
  <si>
    <t>D:\CBP_2026.07.21\i#3\rrep\rrep#0_21_result\d#70\v#30\13\ping_collision_summary.csv</t>
  </si>
  <si>
    <t>D:\CBP_2026.07.21\i#3\rrep\rrep#0_21_result\d#70\v#30\14\ping_collision_summary.csv</t>
  </si>
  <si>
    <t>D:\CBP_2026.07.21\i#3\rrep\rrep#0_21_result\d#70\v#30\15\ping_collision_summary.csv</t>
  </si>
  <si>
    <t>D:\CBP_2026.07.21\i#3\rrep\rrep#0_21_result\d#70\v#30\16\ping_collision_summary.csv</t>
  </si>
  <si>
    <t>D:\CBP_2026.07.21\i#3\rrep\rrep#0_21_result\d#70\v#30\17\ping_collision_summary.csv</t>
  </si>
  <si>
    <t>D:\CBP_2026.07.21\i#3\rrep\rrep#0_21_result\d#70\v#30\18\ping_collision_summary.csv</t>
  </si>
  <si>
    <t>D:\CBP_2026.07.21\i#3\rrep\rrep#0_21_result\d#70\v#30\19\ping_collision_summary.csv</t>
  </si>
  <si>
    <t>D:\CBP_2026.07.21\i#3\rrep\rrep#0_21_result\d#70\v#30\1\ping_collision_summary.csv</t>
  </si>
  <si>
    <t>D:\CBP_2026.07.21\i#3\rrep\rrep#0_21_result\d#70\v#30\20\ping_collision_summary.csv</t>
  </si>
  <si>
    <t>D:\CBP_2026.07.21\i#3\rrep\rrep#0_21_result\d#70\v#30\21\ping_collision_summary.csv</t>
  </si>
  <si>
    <t>D:\CBP_2026.07.21\i#3\rrep\rrep#0_21_result\d#70\v#30\22\ping_collision_summary.csv</t>
  </si>
  <si>
    <t>D:\CBP_2026.07.21\i#3\rrep\rrep#0_21_result\d#70\v#30\23\ping_collision_summary.csv</t>
  </si>
  <si>
    <t>D:\CBP_2026.07.21\i#3\rrep\rrep#0_21_result\d#70\v#30\24\ping_collision_summary.csv</t>
  </si>
  <si>
    <t>D:\CBP_2026.07.21\i#3\rrep\rrep#0_21_result\d#70\v#30\25\ping_collision_summary.csv</t>
  </si>
  <si>
    <t>D:\CBP_2026.07.21\i#3\rrep\rrep#0_21_result\d#70\v#30\26\ping_collision_summary.csv</t>
  </si>
  <si>
    <t>D:\CBP_2026.07.21\i#3\rrep\rrep#0_21_result\d#70\v#30\27\ping_collision_summary.csv</t>
  </si>
  <si>
    <t>D:\CBP_2026.07.21\i#3\rrep\rrep#0_21_result\d#70\v#30\28\ping_collision_summary.csv</t>
  </si>
  <si>
    <t>D:\CBP_2026.07.21\i#3\rrep\rrep#0_21_result\d#70\v#30\29\ping_collision_summary.csv</t>
  </si>
  <si>
    <t>D:\CBP_2026.07.21\i#3\rrep\rrep#0_21_result\d#70\v#30\2\ping_collision_summary.csv</t>
  </si>
  <si>
    <t>D:\CBP_2026.07.21\i#3\rrep\rrep#0_21_result\d#70\v#30\30\ping_collision_summary.csv</t>
  </si>
  <si>
    <t>D:\CBP_2026.07.21\i#3\rrep\rrep#0_21_result\d#70\v#30\3\ping_collision_summary.csv</t>
  </si>
  <si>
    <t>D:\CBP_2026.07.21\i#3\rrep\rrep#0_21_result\d#70\v#30\4\ping_collision_summary.csv</t>
  </si>
  <si>
    <t>D:\CBP_2026.07.21\i#3\rrep\rrep#0_21_result\d#70\v#30\5\ping_collision_summary.csv</t>
  </si>
  <si>
    <t>D:\CBP_2026.07.21\i#3\rrep\rrep#0_21_result\d#70\v#30\6\ping_collision_summary.csv</t>
  </si>
  <si>
    <t>D:\CBP_2026.07.21\i#3\rrep\rrep#0_21_result\d#70\v#30\7\ping_collision_summary.csv</t>
  </si>
  <si>
    <t>D:\CBP_2026.07.21\i#3\rrep\rrep#0_21_result\d#70\v#30\8\ping_collision_summary.csv</t>
  </si>
  <si>
    <t>D:\CBP_2026.07.21\i#3\rrep\rrep#0_21_result\d#70\v#30\9\ping_collision_summary.csv</t>
  </si>
  <si>
    <t>D:\CBP_2026.07.21\i#3\rrep\rrep#21_33_result\d#100\v#10\0\ping_collision_summary.csv</t>
  </si>
  <si>
    <t>D:\CBP_2026.07.21\i#3\rrep\rrep#21_33_result\d#100\v#10\10\ping_collision_summary.csv</t>
  </si>
  <si>
    <t>D:\CBP_2026.07.21\i#3\rrep\rrep#21_33_result\d#100\v#10\11\ping_collision_summary.csv</t>
  </si>
  <si>
    <t>D:\CBP_2026.07.21\i#3\rrep\rrep#21_33_result\d#100\v#10\12\ping_collision_summary.csv</t>
  </si>
  <si>
    <t>D:\CBP_2026.07.21\i#3\rrep\rrep#21_33_result\d#100\v#10\13\ping_collision_summary.csv</t>
  </si>
  <si>
    <t>D:\CBP_2026.07.21\i#3\rrep\rrep#21_33_result\d#100\v#10\14\ping_collision_summary.csv</t>
  </si>
  <si>
    <t>D:\CBP_2026.07.21\i#3\rrep\rrep#21_33_result\d#100\v#10\15\ping_collision_summary.csv</t>
  </si>
  <si>
    <t>D:\CBP_2026.07.21\i#3\rrep\rrep#21_33_result\d#100\v#10\16\ping_collision_summary.csv</t>
  </si>
  <si>
    <t>D:\CBP_2026.07.21\i#3\rrep\rrep#21_33_result\d#100\v#10\17\ping_collision_summary.csv</t>
  </si>
  <si>
    <t>D:\CBP_2026.07.21\i#3\rrep\rrep#21_33_result\d#100\v#10\18\ping_collision_summary.csv</t>
  </si>
  <si>
    <t>D:\CBP_2026.07.21\i#3\rrep\rrep#21_33_result\d#100\v#10\19\ping_collision_summary.csv</t>
  </si>
  <si>
    <t>D:\CBP_2026.07.21\i#3\rrep\rrep#21_33_result\d#100\v#10\1\ping_collision_summary.csv</t>
  </si>
  <si>
    <t>D:\CBP_2026.07.21\i#3\rrep\rrep#21_33_result\d#100\v#10\20\ping_collision_summary.csv</t>
  </si>
  <si>
    <t>D:\CBP_2026.07.21\i#3\rrep\rrep#21_33_result\d#100\v#10\21\ping_collision_summary.csv</t>
  </si>
  <si>
    <t>D:\CBP_2026.07.21\i#3\rrep\rrep#21_33_result\d#100\v#10\22\ping_collision_summary.csv</t>
  </si>
  <si>
    <t>D:\CBP_2026.07.21\i#3\rrep\rrep#21_33_result\d#100\v#10\23\ping_collision_summary.csv</t>
  </si>
  <si>
    <t>D:\CBP_2026.07.21\i#3\rrep\rrep#21_33_result\d#100\v#10\24\ping_collision_summary.csv</t>
  </si>
  <si>
    <t>D:\CBP_2026.07.21\i#3\rrep\rrep#21_33_result\d#100\v#10\25\ping_collision_summary.csv</t>
  </si>
  <si>
    <t>D:\CBP_2026.07.21\i#3\rrep\rrep#21_33_result\d#100\v#10\26\ping_collision_summary.csv</t>
  </si>
  <si>
    <t>D:\CBP_2026.07.21\i#3\rrep\rrep#21_33_result\d#100\v#10\27\ping_collision_summary.csv</t>
  </si>
  <si>
    <t>D:\CBP_2026.07.21\i#3\rrep\rrep#21_33_result\d#100\v#10\28\ping_collision_summary.csv</t>
  </si>
  <si>
    <t>D:\CBP_2026.07.21\i#3\rrep\rrep#21_33_result\d#100\v#10\29\ping_collision_summary.csv</t>
  </si>
  <si>
    <t>D:\CBP_2026.07.21\i#3\rrep\rrep#21_33_result\d#100\v#10\2\ping_collision_summary.csv</t>
  </si>
  <si>
    <t>D:\CBP_2026.07.21\i#3\rrep\rrep#21_33_result\d#100\v#10\30\ping_collision_summary.csv</t>
  </si>
  <si>
    <t>D:\CBP_2026.07.21\i#3\rrep\rrep#21_33_result\d#100\v#10\3\ping_collision_summary.csv</t>
  </si>
  <si>
    <t>D:\CBP_2026.07.21\i#3\rrep\rrep#21_33_result\d#100\v#10\4\ping_collision_summary.csv</t>
  </si>
  <si>
    <t>D:\CBP_2026.07.21\i#3\rrep\rrep#21_33_result\d#100\v#10\5\ping_collision_summary.csv</t>
  </si>
  <si>
    <t>D:\CBP_2026.07.21\i#3\rrep\rrep#21_33_result\d#100\v#10\6\ping_collision_summary.csv</t>
  </si>
  <si>
    <t>D:\CBP_2026.07.21\i#3\rrep\rrep#21_33_result\d#100\v#10\7\ping_collision_summary.csv</t>
  </si>
  <si>
    <t>D:\CBP_2026.07.21\i#3\rrep\rrep#21_33_result\d#100\v#10\8\ping_collision_summary.csv</t>
  </si>
  <si>
    <t>D:\CBP_2026.07.21\i#3\rrep\rrep#21_33_result\d#100\v#10\9\ping_collision_summary.csv</t>
  </si>
  <si>
    <t>D:\CBP_2026.07.21\i#3\rrep\rrep#21_33_result\d#100\v#20\0\ping_collision_summary.csv</t>
  </si>
  <si>
    <t>D:\CBP_2026.07.21\i#3\rrep\rrep#21_33_result\d#100\v#20\10\ping_collision_summary.csv</t>
  </si>
  <si>
    <t>D:\CBP_2026.07.21\i#3\rrep\rrep#21_33_result\d#100\v#20\11\ping_collision_summary.csv</t>
  </si>
  <si>
    <t>D:\CBP_2026.07.21\i#3\rrep\rrep#21_33_result\d#100\v#20\12\ping_collision_summary.csv</t>
  </si>
  <si>
    <t>D:\CBP_2026.07.21\i#3\rrep\rrep#21_33_result\d#100\v#20\13\ping_collision_summary.csv</t>
  </si>
  <si>
    <t>D:\CBP_2026.07.21\i#3\rrep\rrep#21_33_result\d#100\v#20\14\ping_collision_summary.csv</t>
  </si>
  <si>
    <t>D:\CBP_2026.07.21\i#3\rrep\rrep#21_33_result\d#100\v#20\15\ping_collision_summary.csv</t>
  </si>
  <si>
    <t>D:\CBP_2026.07.21\i#3\rrep\rrep#21_33_result\d#100\v#20\16\ping_collision_summary.csv</t>
  </si>
  <si>
    <t>D:\CBP_2026.07.21\i#3\rrep\rrep#21_33_result\d#100\v#20\17\ping_collision_summary.csv</t>
  </si>
  <si>
    <t>D:\CBP_2026.07.21\i#3\rrep\rrep#21_33_result\d#100\v#20\18\ping_collision_summary.csv</t>
  </si>
  <si>
    <t>D:\CBP_2026.07.21\i#3\rrep\rrep#21_33_result\d#100\v#20\19\ping_collision_summary.csv</t>
  </si>
  <si>
    <t>D:\CBP_2026.07.21\i#3\rrep\rrep#21_33_result\d#100\v#20\1\ping_collision_summary.csv</t>
  </si>
  <si>
    <t>D:\CBP_2026.07.21\i#3\rrep\rrep#21_33_result\d#100\v#20\20\ping_collision_summary.csv</t>
  </si>
  <si>
    <t>D:\CBP_2026.07.21\i#3\rrep\rrep#21_33_result\d#100\v#20\21\ping_collision_summary.csv</t>
  </si>
  <si>
    <t>D:\CBP_2026.07.21\i#3\rrep\rrep#21_33_result\d#100\v#20\22\ping_collision_summary.csv</t>
  </si>
  <si>
    <t>D:\CBP_2026.07.21\i#3\rrep\rrep#21_33_result\d#100\v#20\23\ping_collision_summary.csv</t>
  </si>
  <si>
    <t>D:\CBP_2026.07.21\i#3\rrep\rrep#21_33_result\d#100\v#20\24\ping_collision_summary.csv</t>
  </si>
  <si>
    <t>D:\CBP_2026.07.21\i#3\rrep\rrep#21_33_result\d#100\v#20\25\ping_collision_summary.csv</t>
  </si>
  <si>
    <t>D:\CBP_2026.07.21\i#3\rrep\rrep#21_33_result\d#100\v#20\26\ping_collision_summary.csv</t>
  </si>
  <si>
    <t>D:\CBP_2026.07.21\i#3\rrep\rrep#21_33_result\d#100\v#20\27\ping_collision_summary.csv</t>
  </si>
  <si>
    <t>D:\CBP_2026.07.21\i#3\rrep\rrep#21_33_result\d#100\v#20\28\ping_collision_summary.csv</t>
  </si>
  <si>
    <t>D:\CBP_2026.07.21\i#3\rrep\rrep#21_33_result\d#100\v#20\29\ping_collision_summary.csv</t>
  </si>
  <si>
    <t>D:\CBP_2026.07.21\i#3\rrep\rrep#21_33_result\d#100\v#20\2\ping_collision_summary.csv</t>
  </si>
  <si>
    <t>D:\CBP_2026.07.21\i#3\rrep\rrep#21_33_result\d#100\v#20\30\ping_collision_summary.csv</t>
  </si>
  <si>
    <t>D:\CBP_2026.07.21\i#3\rrep\rrep#21_33_result\d#100\v#20\3\ping_collision_summary.csv</t>
  </si>
  <si>
    <t>D:\CBP_2026.07.21\i#3\rrep\rrep#21_33_result\d#100\v#20\4\ping_collision_summary.csv</t>
  </si>
  <si>
    <t>D:\CBP_2026.07.21\i#3\rrep\rrep#21_33_result\d#100\v#20\5\ping_collision_summary.csv</t>
  </si>
  <si>
    <t>D:\CBP_2026.07.21\i#3\rrep\rrep#21_33_result\d#100\v#20\6\ping_collision_summary.csv</t>
  </si>
  <si>
    <t>D:\CBP_2026.07.21\i#3\rrep\rrep#21_33_result\d#100\v#20\7\ping_collision_summary.csv</t>
  </si>
  <si>
    <t>D:\CBP_2026.07.21\i#3\rrep\rrep#21_33_result\d#100\v#20\8\ping_collision_summary.csv</t>
  </si>
  <si>
    <t>D:\CBP_2026.07.21\i#3\rrep\rrep#21_33_result\d#100\v#20\9\ping_collision_summary.csv</t>
  </si>
  <si>
    <t>D:\CBP_2026.07.21\i#3\rrep\rrep#21_33_result\d#100\v#30\0\ping_collision_summary.csv</t>
  </si>
  <si>
    <t>D:\CBP_2026.07.21\i#3\rrep\rrep#21_33_result\d#100\v#30\10\ping_collision_summary.csv</t>
  </si>
  <si>
    <t>D:\CBP_2026.07.21\i#3\rrep\rrep#21_33_result\d#100\v#30\11\ping_collision_summary.csv</t>
  </si>
  <si>
    <t>D:\CBP_2026.07.21\i#3\rrep\rrep#21_33_result\d#100\v#30\12\ping_collision_summary.csv</t>
  </si>
  <si>
    <t>D:\CBP_2026.07.21\i#3\rrep\rrep#21_33_result\d#100\v#30\13\ping_collision_summary.csv</t>
  </si>
  <si>
    <t>D:\CBP_2026.07.21\i#3\rrep\rrep#21_33_result\d#100\v#30\14\ping_collision_summary.csv</t>
  </si>
  <si>
    <t>D:\CBP_2026.07.21\i#3\rrep\rrep#21_33_result\d#100\v#30\15\ping_collision_summary.csv</t>
  </si>
  <si>
    <t>D:\CBP_2026.07.21\i#3\rrep\rrep#21_33_result\d#100\v#30\16\ping_collision_summary.csv</t>
  </si>
  <si>
    <t>D:\CBP_2026.07.21\i#3\rrep\rrep#21_33_result\d#100\v#30\17\ping_collision_summary.csv</t>
  </si>
  <si>
    <t>D:\CBP_2026.07.21\i#3\rrep\rrep#21_33_result\d#100\v#30\18\ping_collision_summary.csv</t>
  </si>
  <si>
    <t>D:\CBP_2026.07.21\i#3\rrep\rrep#21_33_result\d#100\v#30\19\ping_collision_summary.csv</t>
  </si>
  <si>
    <t>D:\CBP_2026.07.21\i#3\rrep\rrep#21_33_result\d#100\v#30\1\ping_collision_summary.csv</t>
  </si>
  <si>
    <t>D:\CBP_2026.07.21\i#3\rrep\rrep#21_33_result\d#100\v#30\20\ping_collision_summary.csv</t>
  </si>
  <si>
    <t>D:\CBP_2026.07.21\i#3\rrep\rrep#21_33_result\d#100\v#30\21\ping_collision_summary.csv</t>
  </si>
  <si>
    <t>D:\CBP_2026.07.21\i#3\rrep\rrep#21_33_result\d#100\v#30\22\ping_collision_summary.csv</t>
  </si>
  <si>
    <t>D:\CBP_2026.07.21\i#3\rrep\rrep#21_33_result\d#100\v#30\23\ping_collision_summary.csv</t>
  </si>
  <si>
    <t>D:\CBP_2026.07.21\i#3\rrep\rrep#21_33_result\d#100\v#30\24\ping_collision_summary.csv</t>
  </si>
  <si>
    <t>D:\CBP_2026.07.21\i#3\rrep\rrep#21_33_result\d#100\v#30\25\ping_collision_summary.csv</t>
  </si>
  <si>
    <t>D:\CBP_2026.07.21\i#3\rrep\rrep#21_33_result\d#100\v#30\26\ping_collision_summary.csv</t>
  </si>
  <si>
    <t>D:\CBP_2026.07.21\i#3\rrep\rrep#21_33_result\d#100\v#30\27\ping_collision_summary.csv</t>
  </si>
  <si>
    <t>D:\CBP_2026.07.21\i#3\rrep\rrep#21_33_result\d#100\v#30\28\ping_collision_summary.csv</t>
  </si>
  <si>
    <t>D:\CBP_2026.07.21\i#3\rrep\rrep#21_33_result\d#100\v#30\29\ping_collision_summary.csv</t>
  </si>
  <si>
    <t>D:\CBP_2026.07.21\i#3\rrep\rrep#21_33_result\d#100\v#30\2\ping_collision_summary.csv</t>
  </si>
  <si>
    <t>D:\CBP_2026.07.21\i#3\rrep\rrep#21_33_result\d#100\v#30\30\ping_collision_summary.csv</t>
  </si>
  <si>
    <t>D:\CBP_2026.07.21\i#3\rrep\rrep#21_33_result\d#100\v#30\3\ping_collision_summary.csv</t>
  </si>
  <si>
    <t>D:\CBP_2026.07.21\i#3\rrep\rrep#21_33_result\d#100\v#30\4\ping_collision_summary.csv</t>
  </si>
  <si>
    <t>D:\CBP_2026.07.21\i#3\rrep\rrep#21_33_result\d#100\v#30\5\ping_collision_summary.csv</t>
  </si>
  <si>
    <t>D:\CBP_2026.07.21\i#3\rrep\rrep#21_33_result\d#100\v#30\6\ping_collision_summary.csv</t>
  </si>
  <si>
    <t>D:\CBP_2026.07.21\i#3\rrep\rrep#21_33_result\d#100\v#30\7\ping_collision_summary.csv</t>
  </si>
  <si>
    <t>D:\CBP_2026.07.21\i#3\rrep\rrep#21_33_result\d#100\v#30\8\ping_collision_summary.csv</t>
  </si>
  <si>
    <t>D:\CBP_2026.07.21\i#3\rrep\rrep#21_33_result\d#100\v#30\9\ping_collision_summary.csv</t>
  </si>
  <si>
    <t>D:\CBP_2026.07.21\i#3\rrep\rrep#21_33_result\d#120\v#10\0\ping_collision_summary.csv</t>
  </si>
  <si>
    <t>D:\CBP_2026.07.21\i#3\rrep\rrep#21_33_result\d#120\v#10\10\ping_collision_summary.csv</t>
  </si>
  <si>
    <t>D:\CBP_2026.07.21\i#3\rrep\rrep#21_33_result\d#120\v#10\11\ping_collision_summary.csv</t>
  </si>
  <si>
    <t>D:\CBP_2026.07.21\i#3\rrep\rrep#21_33_result\d#120\v#10\12\ping_collision_summary.csv</t>
  </si>
  <si>
    <t>D:\CBP_2026.07.21\i#3\rrep\rrep#21_33_result\d#120\v#10\13\ping_collision_summary.csv</t>
  </si>
  <si>
    <t>D:\CBP_2026.07.21\i#3\rrep\rrep#21_33_result\d#120\v#10\14\ping_collision_summary.csv</t>
  </si>
  <si>
    <t>D:\CBP_2026.07.21\i#3\rrep\rrep#21_33_result\d#120\v#10\15\ping_collision_summary.csv</t>
  </si>
  <si>
    <t>D:\CBP_2026.07.21\i#3\rrep\rrep#21_33_result\d#120\v#10\16\ping_collision_summary.csv</t>
  </si>
  <si>
    <t>D:\CBP_2026.07.21\i#3\rrep\rrep#21_33_result\d#120\v#10\17\ping_collision_summary.csv</t>
  </si>
  <si>
    <t>D:\CBP_2026.07.21\i#3\rrep\rrep#21_33_result\d#120\v#10\18\ping_collision_summary.csv</t>
  </si>
  <si>
    <t>D:\CBP_2026.07.21\i#3\rrep\rrep#21_33_result\d#120\v#10\19\ping_collision_summary.csv</t>
  </si>
  <si>
    <t>D:\CBP_2026.07.21\i#3\rrep\rrep#21_33_result\d#120\v#10\1\ping_collision_summary.csv</t>
  </si>
  <si>
    <t>D:\CBP_2026.07.21\i#3\rrep\rrep#21_33_result\d#120\v#10\20\ping_collision_summary.csv</t>
  </si>
  <si>
    <t>D:\CBP_2026.07.21\i#3\rrep\rrep#21_33_result\d#120\v#10\21\ping_collision_summary.csv</t>
  </si>
  <si>
    <t>D:\CBP_2026.07.21\i#3\rrep\rrep#21_33_result\d#120\v#10\22\ping_collision_summary.csv</t>
  </si>
  <si>
    <t>D:\CBP_2026.07.21\i#3\rrep\rrep#21_33_result\d#120\v#10\23\ping_collision_summary.csv</t>
  </si>
  <si>
    <t>D:\CBP_2026.07.21\i#3\rrep\rrep#21_33_result\d#120\v#10\24\ping_collision_summary.csv</t>
  </si>
  <si>
    <t>D:\CBP_2026.07.21\i#3\rrep\rrep#21_33_result\d#120\v#10\25\ping_collision_summary.csv</t>
  </si>
  <si>
    <t>D:\CBP_2026.07.21\i#3\rrep\rrep#21_33_result\d#120\v#10\26\ping_collision_summary.csv</t>
  </si>
  <si>
    <t>D:\CBP_2026.07.21\i#3\rrep\rrep#21_33_result\d#120\v#10\27\ping_collision_summary.csv</t>
  </si>
  <si>
    <t>D:\CBP_2026.07.21\i#3\rrep\rrep#21_33_result\d#120\v#10\28\ping_collision_summary.csv</t>
  </si>
  <si>
    <t>D:\CBP_2026.07.21\i#3\rrep\rrep#21_33_result\d#120\v#10\29\ping_collision_summary.csv</t>
  </si>
  <si>
    <t>D:\CBP_2026.07.21\i#3\rrep\rrep#21_33_result\d#120\v#10\2\ping_collision_summary.csv</t>
  </si>
  <si>
    <t>D:\CBP_2026.07.21\i#3\rrep\rrep#21_33_result\d#120\v#10\30\ping_collision_summary.csv</t>
  </si>
  <si>
    <t>D:\CBP_2026.07.21\i#3\rrep\rrep#21_33_result\d#120\v#10\3\ping_collision_summary.csv</t>
  </si>
  <si>
    <t>D:\CBP_2026.07.21\i#3\rrep\rrep#21_33_result\d#120\v#10\4\ping_collision_summary.csv</t>
  </si>
  <si>
    <t>D:\CBP_2026.07.21\i#3\rrep\rrep#21_33_result\d#120\v#10\5\ping_collision_summary.csv</t>
  </si>
  <si>
    <t>D:\CBP_2026.07.21\i#3\rrep\rrep#21_33_result\d#120\v#10\6\ping_collision_summary.csv</t>
  </si>
  <si>
    <t>D:\CBP_2026.07.21\i#3\rrep\rrep#21_33_result\d#120\v#10\7\ping_collision_summary.csv</t>
  </si>
  <si>
    <t>D:\CBP_2026.07.21\i#3\rrep\rrep#21_33_result\d#120\v#10\8\ping_collision_summary.csv</t>
  </si>
  <si>
    <t>D:\CBP_2026.07.21\i#3\rrep\rrep#21_33_result\d#120\v#10\9\ping_collision_summary.csv</t>
  </si>
  <si>
    <t>D:\CBP_2026.07.21\i#3\rrep\rrep#21_33_result\d#120\v#20\0\ping_collision_summary.csv</t>
  </si>
  <si>
    <t>D:\CBP_2026.07.21\i#3\rrep\rrep#21_33_result\d#120\v#20\10\ping_collision_summary.csv</t>
  </si>
  <si>
    <t>D:\CBP_2026.07.21\i#3\rrep\rrep#21_33_result\d#120\v#20\11\ping_collision_summary.csv</t>
  </si>
  <si>
    <t>D:\CBP_2026.07.21\i#3\rrep\rrep#21_33_result\d#120\v#20\12\ping_collision_summary.csv</t>
  </si>
  <si>
    <t>D:\CBP_2026.07.21\i#3\rrep\rrep#21_33_result\d#120\v#20\13\ping_collision_summary.csv</t>
  </si>
  <si>
    <t>D:\CBP_2026.07.21\i#3\rrep\rrep#21_33_result\d#120\v#20\14\ping_collision_summary.csv</t>
  </si>
  <si>
    <t>D:\CBP_2026.07.21\i#3\rrep\rrep#21_33_result\d#120\v#20\15\ping_collision_summary.csv</t>
  </si>
  <si>
    <t>D:\CBP_2026.07.21\i#3\rrep\rrep#21_33_result\d#120\v#20\16\ping_collision_summary.csv</t>
  </si>
  <si>
    <t>D:\CBP_2026.07.21\i#3\rrep\rrep#21_33_result\d#120\v#20\17\ping_collision_summary.csv</t>
  </si>
  <si>
    <t>D:\CBP_2026.07.21\i#3\rrep\rrep#21_33_result\d#120\v#20\18\ping_collision_summary.csv</t>
  </si>
  <si>
    <t>D:\CBP_2026.07.21\i#3\rrep\rrep#21_33_result\d#120\v#20\19\ping_collision_summary.csv</t>
  </si>
  <si>
    <t>D:\CBP_2026.07.21\i#3\rrep\rrep#21_33_result\d#120\v#20\1\ping_collision_summary.csv</t>
  </si>
  <si>
    <t>D:\CBP_2026.07.21\i#3\rrep\rrep#21_33_result\d#120\v#20\20\ping_collision_summary.csv</t>
  </si>
  <si>
    <t>D:\CBP_2026.07.21\i#3\rrep\rrep#21_33_result\d#120\v#20\21\ping_collision_summary.csv</t>
  </si>
  <si>
    <t>D:\CBP_2026.07.21\i#3\rrep\rrep#21_33_result\d#120\v#20\22\ping_collision_summary.csv</t>
  </si>
  <si>
    <t>D:\CBP_2026.07.21\i#3\rrep\rrep#21_33_result\d#120\v#20\23\ping_collision_summary.csv</t>
  </si>
  <si>
    <t>D:\CBP_2026.07.21\i#3\rrep\rrep#21_33_result\d#120\v#20\24\ping_collision_summary.csv</t>
  </si>
  <si>
    <t>D:\CBP_2026.07.21\i#3\rrep\rrep#21_33_result\d#120\v#20\25\ping_collision_summary.csv</t>
  </si>
  <si>
    <t>D:\CBP_2026.07.21\i#3\rrep\rrep#21_33_result\d#120\v#20\26\ping_collision_summary.csv</t>
  </si>
  <si>
    <t>D:\CBP_2026.07.21\i#3\rrep\rrep#21_33_result\d#120\v#20\27\ping_collision_summary.csv</t>
  </si>
  <si>
    <t>D:\CBP_2026.07.21\i#3\rrep\rrep#21_33_result\d#120\v#20\28\ping_collision_summary.csv</t>
  </si>
  <si>
    <t>D:\CBP_2026.07.21\i#3\rrep\rrep#21_33_result\d#120\v#20\29\ping_collision_summary.csv</t>
  </si>
  <si>
    <t>D:\CBP_2026.07.21\i#3\rrep\rrep#21_33_result\d#120\v#20\2\ping_collision_summary.csv</t>
  </si>
  <si>
    <t>D:\CBP_2026.07.21\i#3\rrep\rrep#21_33_result\d#120\v#20\30\ping_collision_summary.csv</t>
  </si>
  <si>
    <t>D:\CBP_2026.07.21\i#3\rrep\rrep#21_33_result\d#120\v#20\3\ping_collision_summary.csv</t>
  </si>
  <si>
    <t>D:\CBP_2026.07.21\i#3\rrep\rrep#21_33_result\d#120\v#20\4\ping_collision_summary.csv</t>
  </si>
  <si>
    <t>D:\CBP_2026.07.21\i#3\rrep\rrep#21_33_result\d#120\v#20\5\ping_collision_summary.csv</t>
  </si>
  <si>
    <t>D:\CBP_2026.07.21\i#3\rrep\rrep#21_33_result\d#120\v#20\6\ping_collision_summary.csv</t>
  </si>
  <si>
    <t>D:\CBP_2026.07.21\i#3\rrep\rrep#21_33_result\d#120\v#20\7\ping_collision_summary.csv</t>
  </si>
  <si>
    <t>D:\CBP_2026.07.21\i#3\rrep\rrep#21_33_result\d#120\v#20\8\ping_collision_summary.csv</t>
  </si>
  <si>
    <t>D:\CBP_2026.07.21\i#3\rrep\rrep#21_33_result\d#120\v#20\9\ping_collision_summary.csv</t>
  </si>
  <si>
    <t>D:\CBP_2026.07.21\i#3\rrep\rrep#21_33_result\d#120\v#30\0\ping_collision_summary.csv</t>
  </si>
  <si>
    <t>D:\CBP_2026.07.21\i#3\rrep\rrep#21_33_result\d#120\v#30\10\ping_collision_summary.csv</t>
  </si>
  <si>
    <t>D:\CBP_2026.07.21\i#3\rrep\rrep#21_33_result\d#120\v#30\11\ping_collision_summary.csv</t>
  </si>
  <si>
    <t>D:\CBP_2026.07.21\i#3\rrep\rrep#21_33_result\d#120\v#30\12\ping_collision_summary.csv</t>
  </si>
  <si>
    <t>D:\CBP_2026.07.21\i#3\rrep\rrep#21_33_result\d#120\v#30\13\ping_collision_summary.csv</t>
  </si>
  <si>
    <t>D:\CBP_2026.07.21\i#3\rrep\rrep#21_33_result\d#120\v#30\14\ping_collision_summary.csv</t>
  </si>
  <si>
    <t>D:\CBP_2026.07.21\i#3\rrep\rrep#21_33_result\d#120\v#30\15\ping_collision_summary.csv</t>
  </si>
  <si>
    <t>D:\CBP_2026.07.21\i#3\rrep\rrep#21_33_result\d#120\v#30\16\ping_collision_summary.csv</t>
  </si>
  <si>
    <t>D:\CBP_2026.07.21\i#3\rrep\rrep#21_33_result\d#120\v#30\17\ping_collision_summary.csv</t>
  </si>
  <si>
    <t>D:\CBP_2026.07.21\i#3\rrep\rrep#21_33_result\d#120\v#30\18\ping_collision_summary.csv</t>
  </si>
  <si>
    <t>D:\CBP_2026.07.21\i#3\rrep\rrep#21_33_result\d#120\v#30\19\ping_collision_summary.csv</t>
  </si>
  <si>
    <t>D:\CBP_2026.07.21\i#3\rrep\rrep#21_33_result\d#120\v#30\1\ping_collision_summary.csv</t>
  </si>
  <si>
    <t>D:\CBP_2026.07.21\i#3\rrep\rrep#21_33_result\d#120\v#30\20\ping_collision_summary.csv</t>
  </si>
  <si>
    <t>D:\CBP_2026.07.21\i#3\rrep\rrep#21_33_result\d#120\v#30\21\ping_collision_summary.csv</t>
  </si>
  <si>
    <t>D:\CBP_2026.07.21\i#3\rrep\rrep#21_33_result\d#120\v#30\22\ping_collision_summary.csv</t>
  </si>
  <si>
    <t>D:\CBP_2026.07.21\i#3\rrep\rrep#21_33_result\d#120\v#30\23\ping_collision_summary.csv</t>
  </si>
  <si>
    <t>D:\CBP_2026.07.21\i#3\rrep\rrep#21_33_result\d#120\v#30\24\ping_collision_summary.csv</t>
  </si>
  <si>
    <t>D:\CBP_2026.07.21\i#3\rrep\rrep#21_33_result\d#120\v#30\25\ping_collision_summary.csv</t>
  </si>
  <si>
    <t>D:\CBP_2026.07.21\i#3\rrep\rrep#21_33_result\d#120\v#30\26\ping_collision_summary.csv</t>
  </si>
  <si>
    <t>D:\CBP_2026.07.21\i#3\rrep\rrep#21_33_result\d#120\v#30\27\ping_collision_summary.csv</t>
  </si>
  <si>
    <t>D:\CBP_2026.07.21\i#3\rrep\rrep#21_33_result\d#120\v#30\28\ping_collision_summary.csv</t>
  </si>
  <si>
    <t>D:\CBP_2026.07.21\i#3\rrep\rrep#21_33_result\d#120\v#30\29\ping_collision_summary.csv</t>
  </si>
  <si>
    <t>D:\CBP_2026.07.21\i#3\rrep\rrep#21_33_result\d#120\v#30\2\ping_collision_summary.csv</t>
  </si>
  <si>
    <t>D:\CBP_2026.07.21\i#3\rrep\rrep#21_33_result\d#120\v#30\30\ping_collision_summary.csv</t>
  </si>
  <si>
    <t>D:\CBP_2026.07.21\i#3\rrep\rrep#21_33_result\d#120\v#30\3\ping_collision_summary.csv</t>
  </si>
  <si>
    <t>D:\CBP_2026.07.21\i#3\rrep\rrep#21_33_result\d#120\v#30\4\ping_collision_summary.csv</t>
  </si>
  <si>
    <t>D:\CBP_2026.07.21\i#3\rrep\rrep#21_33_result\d#120\v#30\5\ping_collision_summary.csv</t>
  </si>
  <si>
    <t>D:\CBP_2026.07.21\i#3\rrep\rrep#21_33_result\d#120\v#30\6\ping_collision_summary.csv</t>
  </si>
  <si>
    <t>D:\CBP_2026.07.21\i#3\rrep\rrep#21_33_result\d#120\v#30\7\ping_collision_summary.csv</t>
  </si>
  <si>
    <t>D:\CBP_2026.07.21\i#3\rrep\rrep#21_33_result\d#120\v#30\8\ping_collision_summary.csv</t>
  </si>
  <si>
    <t>D:\CBP_2026.07.21\i#3\rrep\rrep#21_33_result\d#120\v#30\9\ping_collision_summary.csv</t>
  </si>
  <si>
    <t>D:\CBP_2026.07.21\i#3\rrep\rrep#21_33_result\d#70\v#10\0\ping_collision_summary.csv</t>
  </si>
  <si>
    <t>D:\CBP_2026.07.21\i#3\rrep\rrep#21_33_result\d#70\v#10\10\ping_collision_summary.csv</t>
  </si>
  <si>
    <t>D:\CBP_2026.07.21\i#3\rrep\rrep#21_33_result\d#70\v#10\11\ping_collision_summary.csv</t>
  </si>
  <si>
    <t>D:\CBP_2026.07.21\i#3\rrep\rrep#21_33_result\d#70\v#10\12\ping_collision_summary.csv</t>
  </si>
  <si>
    <t>D:\CBP_2026.07.21\i#3\rrep\rrep#21_33_result\d#70\v#10\13\ping_collision_summary.csv</t>
  </si>
  <si>
    <t>D:\CBP_2026.07.21\i#3\rrep\rrep#21_33_result\d#70\v#10\14\ping_collision_summary.csv</t>
  </si>
  <si>
    <t>D:\CBP_2026.07.21\i#3\rrep\rrep#21_33_result\d#70\v#10\15\ping_collision_summary.csv</t>
  </si>
  <si>
    <t>D:\CBP_2026.07.21\i#3\rrep\rrep#21_33_result\d#70\v#10\16\ping_collision_summary.csv</t>
  </si>
  <si>
    <t>D:\CBP_2026.07.21\i#3\rrep\rrep#21_33_result\d#70\v#10\17\ping_collision_summary.csv</t>
  </si>
  <si>
    <t>D:\CBP_2026.07.21\i#3\rrep\rrep#21_33_result\d#70\v#10\18\ping_collision_summary.csv</t>
  </si>
  <si>
    <t>D:\CBP_2026.07.21\i#3\rrep\rrep#21_33_result\d#70\v#10\19\ping_collision_summary.csv</t>
  </si>
  <si>
    <t>D:\CBP_2026.07.21\i#3\rrep\rrep#21_33_result\d#70\v#10\1\ping_collision_summary.csv</t>
  </si>
  <si>
    <t>D:\CBP_2026.07.21\i#3\rrep\rrep#21_33_result\d#70\v#10\20\ping_collision_summary.csv</t>
  </si>
  <si>
    <t>D:\CBP_2026.07.21\i#3\rrep\rrep#21_33_result\d#70\v#10\21\ping_collision_summary.csv</t>
  </si>
  <si>
    <t>D:\CBP_2026.07.21\i#3\rrep\rrep#21_33_result\d#70\v#10\22\ping_collision_summary.csv</t>
  </si>
  <si>
    <t>D:\CBP_2026.07.21\i#3\rrep\rrep#21_33_result\d#70\v#10\23\ping_collision_summary.csv</t>
  </si>
  <si>
    <t>D:\CBP_2026.07.21\i#3\rrep\rrep#21_33_result\d#70\v#10\24\ping_collision_summary.csv</t>
  </si>
  <si>
    <t>D:\CBP_2026.07.21\i#3\rrep\rrep#21_33_result\d#70\v#10\25\ping_collision_summary.csv</t>
  </si>
  <si>
    <t>D:\CBP_2026.07.21\i#3\rrep\rrep#21_33_result\d#70\v#10\26\ping_collision_summary.csv</t>
  </si>
  <si>
    <t>D:\CBP_2026.07.21\i#3\rrep\rrep#21_33_result\d#70\v#10\27\ping_collision_summary.csv</t>
  </si>
  <si>
    <t>D:\CBP_2026.07.21\i#3\rrep\rrep#21_33_result\d#70\v#10\28\ping_collision_summary.csv</t>
  </si>
  <si>
    <t>D:\CBP_2026.07.21\i#3\rrep\rrep#21_33_result\d#70\v#10\29\ping_collision_summary.csv</t>
  </si>
  <si>
    <t>D:\CBP_2026.07.21\i#3\rrep\rrep#21_33_result\d#70\v#10\2\ping_collision_summary.csv</t>
  </si>
  <si>
    <t>D:\CBP_2026.07.21\i#3\rrep\rrep#21_33_result\d#70\v#10\30\ping_collision_summary.csv</t>
  </si>
  <si>
    <t>D:\CBP_2026.07.21\i#3\rrep\rrep#21_33_result\d#70\v#10\3\ping_collision_summary.csv</t>
  </si>
  <si>
    <t>D:\CBP_2026.07.21\i#3\rrep\rrep#21_33_result\d#70\v#10\4\ping_collision_summary.csv</t>
  </si>
  <si>
    <t>D:\CBP_2026.07.21\i#3\rrep\rrep#21_33_result\d#70\v#10\5\ping_collision_summary.csv</t>
  </si>
  <si>
    <t>D:\CBP_2026.07.21\i#3\rrep\rrep#21_33_result\d#70\v#10\6\ping_collision_summary.csv</t>
  </si>
  <si>
    <t>D:\CBP_2026.07.21\i#3\rrep\rrep#21_33_result\d#70\v#10\7\ping_collision_summary.csv</t>
  </si>
  <si>
    <t>D:\CBP_2026.07.21\i#3\rrep\rrep#21_33_result\d#70\v#10\8\ping_collision_summary.csv</t>
  </si>
  <si>
    <t>D:\CBP_2026.07.21\i#3\rrep\rrep#21_33_result\d#70\v#10\9\ping_collision_summary.csv</t>
  </si>
  <si>
    <t>D:\CBP_2026.07.21\i#3\rrep\rrep#21_33_result\d#70\v#20\0\ping_collision_summary.csv</t>
  </si>
  <si>
    <t>D:\CBP_2026.07.21\i#3\rrep\rrep#21_33_result\d#70\v#20\10\ping_collision_summary.csv</t>
  </si>
  <si>
    <t>D:\CBP_2026.07.21\i#3\rrep\rrep#21_33_result\d#70\v#20\11\ping_collision_summary.csv</t>
  </si>
  <si>
    <t>D:\CBP_2026.07.21\i#3\rrep\rrep#21_33_result\d#70\v#20\12\ping_collision_summary.csv</t>
  </si>
  <si>
    <t>D:\CBP_2026.07.21\i#3\rrep\rrep#21_33_result\d#70\v#20\13\ping_collision_summary.csv</t>
  </si>
  <si>
    <t>D:\CBP_2026.07.21\i#3\rrep\rrep#21_33_result\d#70\v#20\14\ping_collision_summary.csv</t>
  </si>
  <si>
    <t>D:\CBP_2026.07.21\i#3\rrep\rrep#21_33_result\d#70\v#20\15\ping_collision_summary.csv</t>
  </si>
  <si>
    <t>D:\CBP_2026.07.21\i#3\rrep\rrep#21_33_result\d#70\v#20\16\ping_collision_summary.csv</t>
  </si>
  <si>
    <t>D:\CBP_2026.07.21\i#3\rrep\rrep#21_33_result\d#70\v#20\17\ping_collision_summary.csv</t>
  </si>
  <si>
    <t>D:\CBP_2026.07.21\i#3\rrep\rrep#21_33_result\d#70\v#20\18\ping_collision_summary.csv</t>
  </si>
  <si>
    <t>D:\CBP_2026.07.21\i#3\rrep\rrep#21_33_result\d#70\v#20\19\ping_collision_summary.csv</t>
  </si>
  <si>
    <t>D:\CBP_2026.07.21\i#3\rrep\rrep#21_33_result\d#70\v#20\1\ping_collision_summary.csv</t>
  </si>
  <si>
    <t>D:\CBP_2026.07.21\i#3\rrep\rrep#21_33_result\d#70\v#20\20\ping_collision_summary.csv</t>
  </si>
  <si>
    <t>D:\CBP_2026.07.21\i#3\rrep\rrep#21_33_result\d#70\v#20\21\ping_collision_summary.csv</t>
  </si>
  <si>
    <t>D:\CBP_2026.07.21\i#3\rrep\rrep#21_33_result\d#70\v#20\22\ping_collision_summary.csv</t>
  </si>
  <si>
    <t>D:\CBP_2026.07.21\i#3\rrep\rrep#21_33_result\d#70\v#20\23\ping_collision_summary.csv</t>
  </si>
  <si>
    <t>D:\CBP_2026.07.21\i#3\rrep\rrep#21_33_result\d#70\v#20\24\ping_collision_summary.csv</t>
  </si>
  <si>
    <t>D:\CBP_2026.07.21\i#3\rrep\rrep#21_33_result\d#70\v#20\25\ping_collision_summary.csv</t>
  </si>
  <si>
    <t>D:\CBP_2026.07.21\i#3\rrep\rrep#21_33_result\d#70\v#20\26\ping_collision_summary.csv</t>
  </si>
  <si>
    <t>D:\CBP_2026.07.21\i#3\rrep\rrep#21_33_result\d#70\v#20\27\ping_collision_summary.csv</t>
  </si>
  <si>
    <t>D:\CBP_2026.07.21\i#3\rrep\rrep#21_33_result\d#70\v#20\28\ping_collision_summary.csv</t>
  </si>
  <si>
    <t>D:\CBP_2026.07.21\i#3\rrep\rrep#21_33_result\d#70\v#20\29\ping_collision_summary.csv</t>
  </si>
  <si>
    <t>D:\CBP_2026.07.21\i#3\rrep\rrep#21_33_result\d#70\v#20\2\ping_collision_summary.csv</t>
  </si>
  <si>
    <t>D:\CBP_2026.07.21\i#3\rrep\rrep#21_33_result\d#70\v#20\30\ping_collision_summary.csv</t>
  </si>
  <si>
    <t>D:\CBP_2026.07.21\i#3\rrep\rrep#21_33_result\d#70\v#20\3\ping_collision_summary.csv</t>
  </si>
  <si>
    <t>D:\CBP_2026.07.21\i#3\rrep\rrep#21_33_result\d#70\v#20\4\ping_collision_summary.csv</t>
  </si>
  <si>
    <t>D:\CBP_2026.07.21\i#3\rrep\rrep#21_33_result\d#70\v#20\5\ping_collision_summary.csv</t>
  </si>
  <si>
    <t>D:\CBP_2026.07.21\i#3\rrep\rrep#21_33_result\d#70\v#20\6\ping_collision_summary.csv</t>
  </si>
  <si>
    <t>D:\CBP_2026.07.21\i#3\rrep\rrep#21_33_result\d#70\v#20\7\ping_collision_summary.csv</t>
  </si>
  <si>
    <t>D:\CBP_2026.07.21\i#3\rrep\rrep#21_33_result\d#70\v#20\8\ping_collision_summary.csv</t>
  </si>
  <si>
    <t>D:\CBP_2026.07.21\i#3\rrep\rrep#21_33_result\d#70\v#20\9\ping_collision_summary.csv</t>
  </si>
  <si>
    <t>D:\CBP_2026.07.21\i#3\rrep\rrep#21_33_result\d#70\v#30\0\ping_collision_summary.csv</t>
  </si>
  <si>
    <t>D:\CBP_2026.07.21\i#3\rrep\rrep#21_33_result\d#70\v#30\10\ping_collision_summary.csv</t>
  </si>
  <si>
    <t>D:\CBP_2026.07.21\i#3\rrep\rrep#21_33_result\d#70\v#30\11\ping_collision_summary.csv</t>
  </si>
  <si>
    <t>D:\CBP_2026.07.21\i#3\rrep\rrep#21_33_result\d#70\v#30\12\ping_collision_summary.csv</t>
  </si>
  <si>
    <t>D:\CBP_2026.07.21\i#3\rrep\rrep#21_33_result\d#70\v#30\13\ping_collision_summary.csv</t>
  </si>
  <si>
    <t>D:\CBP_2026.07.21\i#3\rrep\rrep#21_33_result\d#70\v#30\14\ping_collision_summary.csv</t>
  </si>
  <si>
    <t>D:\CBP_2026.07.21\i#3\rrep\rrep#21_33_result\d#70\v#30\15\ping_collision_summary.csv</t>
  </si>
  <si>
    <t>D:\CBP_2026.07.21\i#3\rrep\rrep#21_33_result\d#70\v#30\16\ping_collision_summary.csv</t>
  </si>
  <si>
    <t>D:\CBP_2026.07.21\i#3\rrep\rrep#21_33_result\d#70\v#30\17\ping_collision_summary.csv</t>
  </si>
  <si>
    <t>D:\CBP_2026.07.21\i#3\rrep\rrep#21_33_result\d#70\v#30\18\ping_collision_summary.csv</t>
  </si>
  <si>
    <t>D:\CBP_2026.07.21\i#3\rrep\rrep#21_33_result\d#70\v#30\19\ping_collision_summary.csv</t>
  </si>
  <si>
    <t>D:\CBP_2026.07.21\i#3\rrep\rrep#21_33_result\d#70\v#30\1\ping_collision_summary.csv</t>
  </si>
  <si>
    <t>D:\CBP_2026.07.21\i#3\rrep\rrep#21_33_result\d#70\v#30\20\ping_collision_summary.csv</t>
  </si>
  <si>
    <t>D:\CBP_2026.07.21\i#3\rrep\rrep#21_33_result\d#70\v#30\21\ping_collision_summary.csv</t>
  </si>
  <si>
    <t>D:\CBP_2026.07.21\i#3\rrep\rrep#21_33_result\d#70\v#30\22\ping_collision_summary.csv</t>
  </si>
  <si>
    <t>D:\CBP_2026.07.21\i#3\rrep\rrep#21_33_result\d#70\v#30\23\ping_collision_summary.csv</t>
  </si>
  <si>
    <t>D:\CBP_2026.07.21\i#3\rrep\rrep#21_33_result\d#70\v#30\24\ping_collision_summary.csv</t>
  </si>
  <si>
    <t>D:\CBP_2026.07.21\i#3\rrep\rrep#21_33_result\d#70\v#30\25\ping_collision_summary.csv</t>
  </si>
  <si>
    <t>D:\CBP_2026.07.21\i#3\rrep\rrep#21_33_result\d#70\v#30\26\ping_collision_summary.csv</t>
  </si>
  <si>
    <t>D:\CBP_2026.07.21\i#3\rrep\rrep#21_33_result\d#70\v#30\27\ping_collision_summary.csv</t>
  </si>
  <si>
    <t>D:\CBP_2026.07.21\i#3\rrep\rrep#21_33_result\d#70\v#30\28\ping_collision_summary.csv</t>
  </si>
  <si>
    <t>D:\CBP_2026.07.21\i#3\rrep\rrep#21_33_result\d#70\v#30\29\ping_collision_summary.csv</t>
  </si>
  <si>
    <t>D:\CBP_2026.07.21\i#3\rrep\rrep#21_33_result\d#70\v#30\2\ping_collision_summary.csv</t>
  </si>
  <si>
    <t>D:\CBP_2026.07.21\i#3\rrep\rrep#21_33_result\d#70\v#30\30\ping_collision_summary.csv</t>
  </si>
  <si>
    <t>D:\CBP_2026.07.21\i#3\rrep\rrep#21_33_result\d#70\v#30\3\ping_collision_summary.csv</t>
  </si>
  <si>
    <t>D:\CBP_2026.07.21\i#3\rrep\rrep#21_33_result\d#70\v#30\4\ping_collision_summary.csv</t>
  </si>
  <si>
    <t>D:\CBP_2026.07.21\i#3\rrep\rrep#21_33_result\d#70\v#30\5\ping_collision_summary.csv</t>
  </si>
  <si>
    <t>D:\CBP_2026.07.21\i#3\rrep\rrep#21_33_result\d#70\v#30\6\ping_collision_summary.csv</t>
  </si>
  <si>
    <t>D:\CBP_2026.07.21\i#3\rrep\rrep#21_33_result\d#70\v#30\7\ping_collision_summary.csv</t>
  </si>
  <si>
    <t>D:\CBP_2026.07.21\i#3\rrep\rrep#21_33_result\d#70\v#30\8\ping_collision_summary.csv</t>
  </si>
  <si>
    <t>D:\CBP_2026.07.21\i#3\rrep\rrep#21_33_result\d#70\v#30\9\ping_collision_summary.csv</t>
  </si>
  <si>
    <t>D:\CBP_2026.07.21\i#3\rrep\rrep#33_44_result\d#100\v#10\0\ping_collision_summary.csv</t>
  </si>
  <si>
    <t>D:\CBP_2026.07.21\i#3\rrep\rrep#33_44_result\d#100\v#10\10\ping_collision_summary.csv</t>
  </si>
  <si>
    <t>D:\CBP_2026.07.21\i#3\rrep\rrep#33_44_result\d#100\v#10\11\ping_collision_summary.csv</t>
  </si>
  <si>
    <t>D:\CBP_2026.07.21\i#3\rrep\rrep#33_44_result\d#100\v#10\12\ping_collision_summary.csv</t>
  </si>
  <si>
    <t>D:\CBP_2026.07.21\i#3\rrep\rrep#33_44_result\d#100\v#10\13\ping_collision_summary.csv</t>
  </si>
  <si>
    <t>D:\CBP_2026.07.21\i#3\rrep\rrep#33_44_result\d#100\v#10\14\ping_collision_summary.csv</t>
  </si>
  <si>
    <t>D:\CBP_2026.07.21\i#3\rrep\rrep#33_44_result\d#100\v#10\15\ping_collision_summary.csv</t>
  </si>
  <si>
    <t>D:\CBP_2026.07.21\i#3\rrep\rrep#33_44_result\d#100\v#10\16\ping_collision_summary.csv</t>
  </si>
  <si>
    <t>D:\CBP_2026.07.21\i#3\rrep\rrep#33_44_result\d#100\v#10\17\ping_collision_summary.csv</t>
  </si>
  <si>
    <t>D:\CBP_2026.07.21\i#3\rrep\rrep#33_44_result\d#100\v#10\18\ping_collision_summary.csv</t>
  </si>
  <si>
    <t>D:\CBP_2026.07.21\i#3\rrep\rrep#33_44_result\d#100\v#10\19\ping_collision_summary.csv</t>
  </si>
  <si>
    <t>D:\CBP_2026.07.21\i#3\rrep\rrep#33_44_result\d#100\v#10\1\ping_collision_summary.csv</t>
  </si>
  <si>
    <t>D:\CBP_2026.07.21\i#3\rrep\rrep#33_44_result\d#100\v#10\20\ping_collision_summary.csv</t>
  </si>
  <si>
    <t>D:\CBP_2026.07.21\i#3\rrep\rrep#33_44_result\d#100\v#10\21\ping_collision_summary.csv</t>
  </si>
  <si>
    <t>D:\CBP_2026.07.21\i#3\rrep\rrep#33_44_result\d#100\v#10\22\ping_collision_summary.csv</t>
  </si>
  <si>
    <t>D:\CBP_2026.07.21\i#3\rrep\rrep#33_44_result\d#100\v#10\23\ping_collision_summary.csv</t>
  </si>
  <si>
    <t>D:\CBP_2026.07.21\i#3\rrep\rrep#33_44_result\d#100\v#10\24\ping_collision_summary.csv</t>
  </si>
  <si>
    <t>D:\CBP_2026.07.21\i#3\rrep\rrep#33_44_result\d#100\v#10\25\ping_collision_summary.csv</t>
  </si>
  <si>
    <t>D:\CBP_2026.07.21\i#3\rrep\rrep#33_44_result\d#100\v#10\26\ping_collision_summary.csv</t>
  </si>
  <si>
    <t>D:\CBP_2026.07.21\i#3\rrep\rrep#33_44_result\d#100\v#10\27\ping_collision_summary.csv</t>
  </si>
  <si>
    <t>D:\CBP_2026.07.21\i#3\rrep\rrep#33_44_result\d#100\v#10\28\ping_collision_summary.csv</t>
  </si>
  <si>
    <t>D:\CBP_2026.07.21\i#3\rrep\rrep#33_44_result\d#100\v#10\29\ping_collision_summary.csv</t>
  </si>
  <si>
    <t>D:\CBP_2026.07.21\i#3\rrep\rrep#33_44_result\d#100\v#10\2\ping_collision_summary.csv</t>
  </si>
  <si>
    <t>D:\CBP_2026.07.21\i#3\rrep\rrep#33_44_result\d#100\v#10\30\ping_collision_summary.csv</t>
  </si>
  <si>
    <t>D:\CBP_2026.07.21\i#3\rrep\rrep#33_44_result\d#100\v#10\3\ping_collision_summary.csv</t>
  </si>
  <si>
    <t>D:\CBP_2026.07.21\i#3\rrep\rrep#33_44_result\d#100\v#10\4\ping_collision_summary.csv</t>
  </si>
  <si>
    <t>D:\CBP_2026.07.21\i#3\rrep\rrep#33_44_result\d#100\v#10\5\ping_collision_summary.csv</t>
  </si>
  <si>
    <t>D:\CBP_2026.07.21\i#3\rrep\rrep#33_44_result\d#100\v#10\6\ping_collision_summary.csv</t>
  </si>
  <si>
    <t>D:\CBP_2026.07.21\i#3\rrep\rrep#33_44_result\d#100\v#10\7\ping_collision_summary.csv</t>
  </si>
  <si>
    <t>D:\CBP_2026.07.21\i#3\rrep\rrep#33_44_result\d#100\v#10\8\ping_collision_summary.csv</t>
  </si>
  <si>
    <t>D:\CBP_2026.07.21\i#3\rrep\rrep#33_44_result\d#100\v#10\9\ping_collision_summary.csv</t>
  </si>
  <si>
    <t>D:\CBP_2026.07.21\i#3\rrep\rrep#33_44_result\d#100\v#20\0\ping_collision_summary.csv</t>
  </si>
  <si>
    <t>D:\CBP_2026.07.21\i#3\rrep\rrep#33_44_result\d#100\v#20\10\ping_collision_summary.csv</t>
  </si>
  <si>
    <t>D:\CBP_2026.07.21\i#3\rrep\rrep#33_44_result\d#100\v#20\11\ping_collision_summary.csv</t>
  </si>
  <si>
    <t>D:\CBP_2026.07.21\i#3\rrep\rrep#33_44_result\d#100\v#20\12\ping_collision_summary.csv</t>
  </si>
  <si>
    <t>D:\CBP_2026.07.21\i#3\rrep\rrep#33_44_result\d#100\v#20\13\ping_collision_summary.csv</t>
  </si>
  <si>
    <t>D:\CBP_2026.07.21\i#3\rrep\rrep#33_44_result\d#100\v#20\14\ping_collision_summary.csv</t>
  </si>
  <si>
    <t>D:\CBP_2026.07.21\i#3\rrep\rrep#33_44_result\d#100\v#20\15\ping_collision_summary.csv</t>
  </si>
  <si>
    <t>D:\CBP_2026.07.21\i#3\rrep\rrep#33_44_result\d#100\v#20\16\ping_collision_summary.csv</t>
  </si>
  <si>
    <t>D:\CBP_2026.07.21\i#3\rrep\rrep#33_44_result\d#100\v#20\17\ping_collision_summary.csv</t>
  </si>
  <si>
    <t>D:\CBP_2026.07.21\i#3\rrep\rrep#33_44_result\d#100\v#20\18\ping_collision_summary.csv</t>
  </si>
  <si>
    <t>D:\CBP_2026.07.21\i#3\rrep\rrep#33_44_result\d#100\v#20\19\ping_collision_summary.csv</t>
  </si>
  <si>
    <t>D:\CBP_2026.07.21\i#3\rrep\rrep#33_44_result\d#100\v#20\1\ping_collision_summary.csv</t>
  </si>
  <si>
    <t>D:\CBP_2026.07.21\i#3\rrep\rrep#33_44_result\d#100\v#20\20\ping_collision_summary.csv</t>
  </si>
  <si>
    <t>D:\CBP_2026.07.21\i#3\rrep\rrep#33_44_result\d#100\v#20\21\ping_collision_summary.csv</t>
  </si>
  <si>
    <t>D:\CBP_2026.07.21\i#3\rrep\rrep#33_44_result\d#100\v#20\22\ping_collision_summary.csv</t>
  </si>
  <si>
    <t>D:\CBP_2026.07.21\i#3\rrep\rrep#33_44_result\d#100\v#20\23\ping_collision_summary.csv</t>
  </si>
  <si>
    <t>D:\CBP_2026.07.21\i#3\rrep\rrep#33_44_result\d#100\v#20\24\ping_collision_summary.csv</t>
  </si>
  <si>
    <t>D:\CBP_2026.07.21\i#3\rrep\rrep#33_44_result\d#100\v#20\25\ping_collision_summary.csv</t>
  </si>
  <si>
    <t>D:\CBP_2026.07.21\i#3\rrep\rrep#33_44_result\d#100\v#20\26\ping_collision_summary.csv</t>
  </si>
  <si>
    <t>D:\CBP_2026.07.21\i#3\rrep\rrep#33_44_result\d#100\v#20\27\ping_collision_summary.csv</t>
  </si>
  <si>
    <t>D:\CBP_2026.07.21\i#3\rrep\rrep#33_44_result\d#100\v#20\28\ping_collision_summary.csv</t>
  </si>
  <si>
    <t>D:\CBP_2026.07.21\i#3\rrep\rrep#33_44_result\d#100\v#20\29\ping_collision_summary.csv</t>
  </si>
  <si>
    <t>D:\CBP_2026.07.21\i#3\rrep\rrep#33_44_result\d#100\v#20\2\ping_collision_summary.csv</t>
  </si>
  <si>
    <t>D:\CBP_2026.07.21\i#3\rrep\rrep#33_44_result\d#100\v#20\30\ping_collision_summary.csv</t>
  </si>
  <si>
    <t>D:\CBP_2026.07.21\i#3\rrep\rrep#33_44_result\d#100\v#20\3\ping_collision_summary.csv</t>
  </si>
  <si>
    <t>D:\CBP_2026.07.21\i#3\rrep\rrep#33_44_result\d#100\v#20\4\ping_collision_summary.csv</t>
  </si>
  <si>
    <t>D:\CBP_2026.07.21\i#3\rrep\rrep#33_44_result\d#100\v#20\5\ping_collision_summary.csv</t>
  </si>
  <si>
    <t>D:\CBP_2026.07.21\i#3\rrep\rrep#33_44_result\d#100\v#20\6\ping_collision_summary.csv</t>
  </si>
  <si>
    <t>D:\CBP_2026.07.21\i#3\rrep\rrep#33_44_result\d#100\v#20\7\ping_collision_summary.csv</t>
  </si>
  <si>
    <t>D:\CBP_2026.07.21\i#3\rrep\rrep#33_44_result\d#100\v#20\8\ping_collision_summary.csv</t>
  </si>
  <si>
    <t>D:\CBP_2026.07.21\i#3\rrep\rrep#33_44_result\d#100\v#20\9\ping_collision_summary.csv</t>
  </si>
  <si>
    <t>D:\CBP_2026.07.21\i#3\rrep\rrep#33_44_result\d#100\v#30\0\ping_collision_summary.csv</t>
  </si>
  <si>
    <t>D:\CBP_2026.07.21\i#3\rrep\rrep#33_44_result\d#100\v#30\10\ping_collision_summary.csv</t>
  </si>
  <si>
    <t>D:\CBP_2026.07.21\i#3\rrep\rrep#33_44_result\d#100\v#30\11\ping_collision_summary.csv</t>
  </si>
  <si>
    <t>D:\CBP_2026.07.21\i#3\rrep\rrep#33_44_result\d#100\v#30\12\ping_collision_summary.csv</t>
  </si>
  <si>
    <t>D:\CBP_2026.07.21\i#3\rrep\rrep#33_44_result\d#100\v#30\13\ping_collision_summary.csv</t>
  </si>
  <si>
    <t>D:\CBP_2026.07.21\i#3\rrep\rrep#33_44_result\d#100\v#30\14\ping_collision_summary.csv</t>
  </si>
  <si>
    <t>D:\CBP_2026.07.21\i#3\rrep\rrep#33_44_result\d#100\v#30\15\ping_collision_summary.csv</t>
  </si>
  <si>
    <t>D:\CBP_2026.07.21\i#3\rrep\rrep#33_44_result\d#100\v#30\16\ping_collision_summary.csv</t>
  </si>
  <si>
    <t>D:\CBP_2026.07.21\i#3\rrep\rrep#33_44_result\d#100\v#30\17\ping_collision_summary.csv</t>
  </si>
  <si>
    <t>D:\CBP_2026.07.21\i#3\rrep\rrep#33_44_result\d#100\v#30\18\ping_collision_summary.csv</t>
  </si>
  <si>
    <t>D:\CBP_2026.07.21\i#3\rrep\rrep#33_44_result\d#100\v#30\19\ping_collision_summary.csv</t>
  </si>
  <si>
    <t>D:\CBP_2026.07.21\i#3\rrep\rrep#33_44_result\d#100\v#30\1\ping_collision_summary.csv</t>
  </si>
  <si>
    <t>D:\CBP_2026.07.21\i#3\rrep\rrep#33_44_result\d#100\v#30\20\ping_collision_summary.csv</t>
  </si>
  <si>
    <t>D:\CBP_2026.07.21\i#3\rrep\rrep#33_44_result\d#100\v#30\21\ping_collision_summary.csv</t>
  </si>
  <si>
    <t>D:\CBP_2026.07.21\i#3\rrep\rrep#33_44_result\d#100\v#30\22\ping_collision_summary.csv</t>
  </si>
  <si>
    <t>D:\CBP_2026.07.21\i#3\rrep\rrep#33_44_result\d#100\v#30\23\ping_collision_summary.csv</t>
  </si>
  <si>
    <t>D:\CBP_2026.07.21\i#3\rrep\rrep#33_44_result\d#100\v#30\24\ping_collision_summary.csv</t>
  </si>
  <si>
    <t>D:\CBP_2026.07.21\i#3\rrep\rrep#33_44_result\d#100\v#30\25\ping_collision_summary.csv</t>
  </si>
  <si>
    <t>D:\CBP_2026.07.21\i#3\rrep\rrep#33_44_result\d#100\v#30\26\ping_collision_summary.csv</t>
  </si>
  <si>
    <t>D:\CBP_2026.07.21\i#3\rrep\rrep#33_44_result\d#100\v#30\27\ping_collision_summary.csv</t>
  </si>
  <si>
    <t>D:\CBP_2026.07.21\i#3\rrep\rrep#33_44_result\d#100\v#30\28\ping_collision_summary.csv</t>
  </si>
  <si>
    <t>D:\CBP_2026.07.21\i#3\rrep\rrep#33_44_result\d#100\v#30\29\ping_collision_summary.csv</t>
  </si>
  <si>
    <t>D:\CBP_2026.07.21\i#3\rrep\rrep#33_44_result\d#100\v#30\2\ping_collision_summary.csv</t>
  </si>
  <si>
    <t>D:\CBP_2026.07.21\i#3\rrep\rrep#33_44_result\d#100\v#30\30\ping_collision_summary.csv</t>
  </si>
  <si>
    <t>D:\CBP_2026.07.21\i#3\rrep\rrep#33_44_result\d#100\v#30\3\ping_collision_summary.csv</t>
  </si>
  <si>
    <t>D:\CBP_2026.07.21\i#3\rrep\rrep#33_44_result\d#100\v#30\4\ping_collision_summary.csv</t>
  </si>
  <si>
    <t>D:\CBP_2026.07.21\i#3\rrep\rrep#33_44_result\d#100\v#30\5\ping_collision_summary.csv</t>
  </si>
  <si>
    <t>D:\CBP_2026.07.21\i#3\rrep\rrep#33_44_result\d#100\v#30\6\ping_collision_summary.csv</t>
  </si>
  <si>
    <t>D:\CBP_2026.07.21\i#3\rrep\rrep#33_44_result\d#100\v#30\7\ping_collision_summary.csv</t>
  </si>
  <si>
    <t>D:\CBP_2026.07.21\i#3\rrep\rrep#33_44_result\d#100\v#30\8\ping_collision_summary.csv</t>
  </si>
  <si>
    <t>D:\CBP_2026.07.21\i#3\rrep\rrep#33_44_result\d#100\v#30\9\ping_collision_summary.csv</t>
  </si>
  <si>
    <t>D:\CBP_2026.07.21\i#3\rrep\rrep#33_44_result\d#120\v#10\0\ping_collision_summary.csv</t>
  </si>
  <si>
    <t>D:\CBP_2026.07.21\i#3\rrep\rrep#33_44_result\d#120\v#10\10\ping_collision_summary.csv</t>
  </si>
  <si>
    <t>D:\CBP_2026.07.21\i#3\rrep\rrep#33_44_result\d#120\v#10\11\ping_collision_summary.csv</t>
  </si>
  <si>
    <t>D:\CBP_2026.07.21\i#3\rrep\rrep#33_44_result\d#120\v#10\12\ping_collision_summary.csv</t>
  </si>
  <si>
    <t>D:\CBP_2026.07.21\i#3\rrep\rrep#33_44_result\d#120\v#10\13\ping_collision_summary.csv</t>
  </si>
  <si>
    <t>D:\CBP_2026.07.21\i#3\rrep\rrep#33_44_result\d#120\v#10\14\ping_collision_summary.csv</t>
  </si>
  <si>
    <t>D:\CBP_2026.07.21\i#3\rrep\rrep#33_44_result\d#120\v#10\15\ping_collision_summary.csv</t>
  </si>
  <si>
    <t>D:\CBP_2026.07.21\i#3\rrep\rrep#33_44_result\d#120\v#10\16\ping_collision_summary.csv</t>
  </si>
  <si>
    <t>D:\CBP_2026.07.21\i#3\rrep\rrep#33_44_result\d#120\v#10\17\ping_collision_summary.csv</t>
  </si>
  <si>
    <t>D:\CBP_2026.07.21\i#3\rrep\rrep#33_44_result\d#120\v#10\18\ping_collision_summary.csv</t>
  </si>
  <si>
    <t>D:\CBP_2026.07.21\i#3\rrep\rrep#33_44_result\d#120\v#10\19\ping_collision_summary.csv</t>
  </si>
  <si>
    <t>D:\CBP_2026.07.21\i#3\rrep\rrep#33_44_result\d#120\v#10\1\ping_collision_summary.csv</t>
  </si>
  <si>
    <t>D:\CBP_2026.07.21\i#3\rrep\rrep#33_44_result\d#120\v#10\20\ping_collision_summary.csv</t>
  </si>
  <si>
    <t>D:\CBP_2026.07.21\i#3\rrep\rrep#33_44_result\d#120\v#10\21\ping_collision_summary.csv</t>
  </si>
  <si>
    <t>D:\CBP_2026.07.21\i#3\rrep\rrep#33_44_result\d#120\v#10\22\ping_collision_summary.csv</t>
  </si>
  <si>
    <t>D:\CBP_2026.07.21\i#3\rrep\rrep#33_44_result\d#120\v#10\23\ping_collision_summary.csv</t>
  </si>
  <si>
    <t>D:\CBP_2026.07.21\i#3\rrep\rrep#33_44_result\d#120\v#10\24\ping_collision_summary.csv</t>
  </si>
  <si>
    <t>D:\CBP_2026.07.21\i#3\rrep\rrep#33_44_result\d#120\v#10\25\ping_collision_summary.csv</t>
  </si>
  <si>
    <t>D:\CBP_2026.07.21\i#3\rrep\rrep#33_44_result\d#120\v#10\26\ping_collision_summary.csv</t>
  </si>
  <si>
    <t>D:\CBP_2026.07.21\i#3\rrep\rrep#33_44_result\d#120\v#10\27\ping_collision_summary.csv</t>
  </si>
  <si>
    <t>D:\CBP_2026.07.21\i#3\rrep\rrep#33_44_result\d#120\v#10\28\ping_collision_summary.csv</t>
  </si>
  <si>
    <t>D:\CBP_2026.07.21\i#3\rrep\rrep#33_44_result\d#120\v#10\29\ping_collision_summary.csv</t>
  </si>
  <si>
    <t>D:\CBP_2026.07.21\i#3\rrep\rrep#33_44_result\d#120\v#10\2\ping_collision_summary.csv</t>
  </si>
  <si>
    <t>D:\CBP_2026.07.21\i#3\rrep\rrep#33_44_result\d#120\v#10\30\ping_collision_summary.csv</t>
  </si>
  <si>
    <t>D:\CBP_2026.07.21\i#3\rrep\rrep#33_44_result\d#120\v#10\3\ping_collision_summary.csv</t>
  </si>
  <si>
    <t>D:\CBP_2026.07.21\i#3\rrep\rrep#33_44_result\d#120\v#10\4\ping_collision_summary.csv</t>
  </si>
  <si>
    <t>D:\CBP_2026.07.21\i#3\rrep\rrep#33_44_result\d#120\v#10\5\ping_collision_summary.csv</t>
  </si>
  <si>
    <t>D:\CBP_2026.07.21\i#3\rrep\rrep#33_44_result\d#120\v#10\6\ping_collision_summary.csv</t>
  </si>
  <si>
    <t>D:\CBP_2026.07.21\i#3\rrep\rrep#33_44_result\d#120\v#10\7\ping_collision_summary.csv</t>
  </si>
  <si>
    <t>D:\CBP_2026.07.21\i#3\rrep\rrep#33_44_result\d#120\v#10\8\ping_collision_summary.csv</t>
  </si>
  <si>
    <t>D:\CBP_2026.07.21\i#3\rrep\rrep#33_44_result\d#120\v#10\9\ping_collision_summary.csv</t>
  </si>
  <si>
    <t>D:\CBP_2026.07.21\i#3\rrep\rrep#33_44_result\d#120\v#20\0\ping_collision_summary.csv</t>
  </si>
  <si>
    <t>D:\CBP_2026.07.21\i#3\rrep\rrep#33_44_result\d#120\v#20\10\ping_collision_summary.csv</t>
  </si>
  <si>
    <t>D:\CBP_2026.07.21\i#3\rrep\rrep#33_44_result\d#120\v#20\11\ping_collision_summary.csv</t>
  </si>
  <si>
    <t>D:\CBP_2026.07.21\i#3\rrep\rrep#33_44_result\d#120\v#20\12\ping_collision_summary.csv</t>
  </si>
  <si>
    <t>D:\CBP_2026.07.21\i#3\rrep\rrep#33_44_result\d#120\v#20\13\ping_collision_summary.csv</t>
  </si>
  <si>
    <t>D:\CBP_2026.07.21\i#3\rrep\rrep#33_44_result\d#120\v#20\14\ping_collision_summary.csv</t>
  </si>
  <si>
    <t>D:\CBP_2026.07.21\i#3\rrep\rrep#33_44_result\d#120\v#20\15\ping_collision_summary.csv</t>
  </si>
  <si>
    <t>D:\CBP_2026.07.21\i#3\rrep\rrep#33_44_result\d#120\v#20\16\ping_collision_summary.csv</t>
  </si>
  <si>
    <t>D:\CBP_2026.07.21\i#3\rrep\rrep#33_44_result\d#120\v#20\17\ping_collision_summary.csv</t>
  </si>
  <si>
    <t>D:\CBP_2026.07.21\i#3\rrep\rrep#33_44_result\d#120\v#20\18\ping_collision_summary.csv</t>
  </si>
  <si>
    <t>D:\CBP_2026.07.21\i#3\rrep\rrep#33_44_result\d#120\v#20\19\ping_collision_summary.csv</t>
  </si>
  <si>
    <t>D:\CBP_2026.07.21\i#3\rrep\rrep#33_44_result\d#120\v#20\1\ping_collision_summary.csv</t>
  </si>
  <si>
    <t>D:\CBP_2026.07.21\i#3\rrep\rrep#33_44_result\d#120\v#20\20\ping_collision_summary.csv</t>
  </si>
  <si>
    <t>D:\CBP_2026.07.21\i#3\rrep\rrep#33_44_result\d#120\v#20\21\ping_collision_summary.csv</t>
  </si>
  <si>
    <t>D:\CBP_2026.07.21\i#3\rrep\rrep#33_44_result\d#120\v#20\22\ping_collision_summary.csv</t>
  </si>
  <si>
    <t>D:\CBP_2026.07.21\i#3\rrep\rrep#33_44_result\d#120\v#20\23\ping_collision_summary.csv</t>
  </si>
  <si>
    <t>D:\CBP_2026.07.21\i#3\rrep\rrep#33_44_result\d#120\v#20\24\ping_collision_summary.csv</t>
  </si>
  <si>
    <t>D:\CBP_2026.07.21\i#3\rrep\rrep#33_44_result\d#120\v#20\25\ping_collision_summary.csv</t>
  </si>
  <si>
    <t>D:\CBP_2026.07.21\i#3\rrep\rrep#33_44_result\d#120\v#20\26\ping_collision_summary.csv</t>
  </si>
  <si>
    <t>D:\CBP_2026.07.21\i#3\rrep\rrep#33_44_result\d#120\v#20\27\ping_collision_summary.csv</t>
  </si>
  <si>
    <t>D:\CBP_2026.07.21\i#3\rrep\rrep#33_44_result\d#120\v#20\28\ping_collision_summary.csv</t>
  </si>
  <si>
    <t>D:\CBP_2026.07.21\i#3\rrep\rrep#33_44_result\d#120\v#20\29\ping_collision_summary.csv</t>
  </si>
  <si>
    <t>D:\CBP_2026.07.21\i#3\rrep\rrep#33_44_result\d#120\v#20\2\ping_collision_summary.csv</t>
  </si>
  <si>
    <t>D:\CBP_2026.07.21\i#3\rrep\rrep#33_44_result\d#120\v#20\30\ping_collision_summary.csv</t>
  </si>
  <si>
    <t>D:\CBP_2026.07.21\i#3\rrep\rrep#33_44_result\d#120\v#20\3\ping_collision_summary.csv</t>
  </si>
  <si>
    <t>D:\CBP_2026.07.21\i#3\rrep\rrep#33_44_result\d#120\v#20\4\ping_collision_summary.csv</t>
  </si>
  <si>
    <t>D:\CBP_2026.07.21\i#3\rrep\rrep#33_44_result\d#120\v#20\5\ping_collision_summary.csv</t>
  </si>
  <si>
    <t>D:\CBP_2026.07.21\i#3\rrep\rrep#33_44_result\d#120\v#20\6\ping_collision_summary.csv</t>
  </si>
  <si>
    <t>D:\CBP_2026.07.21\i#3\rrep\rrep#33_44_result\d#120\v#20\7\ping_collision_summary.csv</t>
  </si>
  <si>
    <t>D:\CBP_2026.07.21\i#3\rrep\rrep#33_44_result\d#120\v#20\8\ping_collision_summary.csv</t>
  </si>
  <si>
    <t>D:\CBP_2026.07.21\i#3\rrep\rrep#33_44_result\d#120\v#20\9\ping_collision_summary.csv</t>
  </si>
  <si>
    <t>D:\CBP_2026.07.21\i#3\rrep\rrep#33_44_result\d#120\v#30\0\ping_collision_summary.csv</t>
  </si>
  <si>
    <t>D:\CBP_2026.07.21\i#3\rrep\rrep#33_44_result\d#120\v#30\10\ping_collision_summary.csv</t>
  </si>
  <si>
    <t>D:\CBP_2026.07.21\i#3\rrep\rrep#33_44_result\d#120\v#30\11\ping_collision_summary.csv</t>
  </si>
  <si>
    <t>D:\CBP_2026.07.21\i#3\rrep\rrep#33_44_result\d#120\v#30\12\ping_collision_summary.csv</t>
  </si>
  <si>
    <t>D:\CBP_2026.07.21\i#3\rrep\rrep#33_44_result\d#120\v#30\13\ping_collision_summary.csv</t>
  </si>
  <si>
    <t>D:\CBP_2026.07.21\i#3\rrep\rrep#33_44_result\d#120\v#30\14\ping_collision_summary.csv</t>
  </si>
  <si>
    <t>D:\CBP_2026.07.21\i#3\rrep\rrep#33_44_result\d#120\v#30\15\ping_collision_summary.csv</t>
  </si>
  <si>
    <t>D:\CBP_2026.07.21\i#3\rrep\rrep#33_44_result\d#120\v#30\16\ping_collision_summary.csv</t>
  </si>
  <si>
    <t>D:\CBP_2026.07.21\i#3\rrep\rrep#33_44_result\d#120\v#30\17\ping_collision_summary.csv</t>
  </si>
  <si>
    <t>D:\CBP_2026.07.21\i#3\rrep\rrep#33_44_result\d#120\v#30\18\ping_collision_summary.csv</t>
  </si>
  <si>
    <t>D:\CBP_2026.07.21\i#3\rrep\rrep#33_44_result\d#120\v#30\19\ping_collision_summary.csv</t>
  </si>
  <si>
    <t>D:\CBP_2026.07.21\i#3\rrep\rrep#33_44_result\d#120\v#30\1\ping_collision_summary.csv</t>
  </si>
  <si>
    <t>D:\CBP_2026.07.21\i#3\rrep\rrep#33_44_result\d#120\v#30\20\ping_collision_summary.csv</t>
  </si>
  <si>
    <t>D:\CBP_2026.07.21\i#3\rrep\rrep#33_44_result\d#120\v#30\21\ping_collision_summary.csv</t>
  </si>
  <si>
    <t>D:\CBP_2026.07.21\i#3\rrep\rrep#33_44_result\d#120\v#30\22\ping_collision_summary.csv</t>
  </si>
  <si>
    <t>D:\CBP_2026.07.21\i#3\rrep\rrep#33_44_result\d#120\v#30\23\ping_collision_summary.csv</t>
  </si>
  <si>
    <t>D:\CBP_2026.07.21\i#3\rrep\rrep#33_44_result\d#120\v#30\24\ping_collision_summary.csv</t>
  </si>
  <si>
    <t>D:\CBP_2026.07.21\i#3\rrep\rrep#33_44_result\d#120\v#30\25\ping_collision_summary.csv</t>
  </si>
  <si>
    <t>D:\CBP_2026.07.21\i#3\rrep\rrep#33_44_result\d#120\v#30\26\ping_collision_summary.csv</t>
  </si>
  <si>
    <t>D:\CBP_2026.07.21\i#3\rrep\rrep#33_44_result\d#120\v#30\27\ping_collision_summary.csv</t>
  </si>
  <si>
    <t>D:\CBP_2026.07.21\i#3\rrep\rrep#33_44_result\d#120\v#30\28\ping_collision_summary.csv</t>
  </si>
  <si>
    <t>D:\CBP_2026.07.21\i#3\rrep\rrep#33_44_result\d#120\v#30\29\ping_collision_summary.csv</t>
  </si>
  <si>
    <t>D:\CBP_2026.07.21\i#3\rrep\rrep#33_44_result\d#120\v#30\2\ping_collision_summary.csv</t>
  </si>
  <si>
    <t>D:\CBP_2026.07.21\i#3\rrep\rrep#33_44_result\d#120\v#30\30\ping_collision_summary.csv</t>
  </si>
  <si>
    <t>D:\CBP_2026.07.21\i#3\rrep\rrep#33_44_result\d#120\v#30\3\ping_collision_summary.csv</t>
  </si>
  <si>
    <t>D:\CBP_2026.07.21\i#3\rrep\rrep#33_44_result\d#120\v#30\4\ping_collision_summary.csv</t>
  </si>
  <si>
    <t>D:\CBP_2026.07.21\i#3\rrep\rrep#33_44_result\d#120\v#30\5\ping_collision_summary.csv</t>
  </si>
  <si>
    <t>D:\CBP_2026.07.21\i#3\rrep\rrep#33_44_result\d#120\v#30\6\ping_collision_summary.csv</t>
  </si>
  <si>
    <t>D:\CBP_2026.07.21\i#3\rrep\rrep#33_44_result\d#120\v#30\7\ping_collision_summary.csv</t>
  </si>
  <si>
    <t>D:\CBP_2026.07.21\i#3\rrep\rrep#33_44_result\d#120\v#30\8\ping_collision_summary.csv</t>
  </si>
  <si>
    <t>D:\CBP_2026.07.21\i#3\rrep\rrep#33_44_result\d#120\v#30\9\ping_collision_summary.csv</t>
  </si>
  <si>
    <t>D:\CBP_2026.07.21\i#3\rrep\rrep#33_44_result\d#70\v#10\0\ping_collision_summary.csv</t>
  </si>
  <si>
    <t>D:\CBP_2026.07.21\i#3\rrep\rrep#33_44_result\d#70\v#10\10\ping_collision_summary.csv</t>
  </si>
  <si>
    <t>D:\CBP_2026.07.21\i#3\rrep\rrep#33_44_result\d#70\v#10\11\ping_collision_summary.csv</t>
  </si>
  <si>
    <t>D:\CBP_2026.07.21\i#3\rrep\rrep#33_44_result\d#70\v#10\12\ping_collision_summary.csv</t>
  </si>
  <si>
    <t>D:\CBP_2026.07.21\i#3\rrep\rrep#33_44_result\d#70\v#10\13\ping_collision_summary.csv</t>
  </si>
  <si>
    <t>D:\CBP_2026.07.21\i#3\rrep\rrep#33_44_result\d#70\v#10\14\ping_collision_summary.csv</t>
  </si>
  <si>
    <t>D:\CBP_2026.07.21\i#3\rrep\rrep#33_44_result\d#70\v#10\15\ping_collision_summary.csv</t>
  </si>
  <si>
    <t>D:\CBP_2026.07.21\i#3\rrep\rrep#33_44_result\d#70\v#10\16\ping_collision_summary.csv</t>
  </si>
  <si>
    <t>D:\CBP_2026.07.21\i#3\rrep\rrep#33_44_result\d#70\v#10\17\ping_collision_summary.csv</t>
  </si>
  <si>
    <t>D:\CBP_2026.07.21\i#3\rrep\rrep#33_44_result\d#70\v#10\18\ping_collision_summary.csv</t>
  </si>
  <si>
    <t>D:\CBP_2026.07.21\i#3\rrep\rrep#33_44_result\d#70\v#10\19\ping_collision_summary.csv</t>
  </si>
  <si>
    <t>D:\CBP_2026.07.21\i#3\rrep\rrep#33_44_result\d#70\v#10\1\ping_collision_summary.csv</t>
  </si>
  <si>
    <t>D:\CBP_2026.07.21\i#3\rrep\rrep#33_44_result\d#70\v#10\20\ping_collision_summary.csv</t>
  </si>
  <si>
    <t>D:\CBP_2026.07.21\i#3\rrep\rrep#33_44_result\d#70\v#10\21\ping_collision_summary.csv</t>
  </si>
  <si>
    <t>D:\CBP_2026.07.21\i#3\rrep\rrep#33_44_result\d#70\v#10\22\ping_collision_summary.csv</t>
  </si>
  <si>
    <t>D:\CBP_2026.07.21\i#3\rrep\rrep#33_44_result\d#70\v#10\23\ping_collision_summary.csv</t>
  </si>
  <si>
    <t>D:\CBP_2026.07.21\i#3\rrep\rrep#33_44_result\d#70\v#10\24\ping_collision_summary.csv</t>
  </si>
  <si>
    <t>D:\CBP_2026.07.21\i#3\rrep\rrep#33_44_result\d#70\v#10\25\ping_collision_summary.csv</t>
  </si>
  <si>
    <t>D:\CBP_2026.07.21\i#3\rrep\rrep#33_44_result\d#70\v#10\26\ping_collision_summary.csv</t>
  </si>
  <si>
    <t>D:\CBP_2026.07.21\i#3\rrep\rrep#33_44_result\d#70\v#10\27\ping_collision_summary.csv</t>
  </si>
  <si>
    <t>D:\CBP_2026.07.21\i#3\rrep\rrep#33_44_result\d#70\v#10\28\ping_collision_summary.csv</t>
  </si>
  <si>
    <t>D:\CBP_2026.07.21\i#3\rrep\rrep#33_44_result\d#70\v#10\29\ping_collision_summary.csv</t>
  </si>
  <si>
    <t>D:\CBP_2026.07.21\i#3\rrep\rrep#33_44_result\d#70\v#10\2\ping_collision_summary.csv</t>
  </si>
  <si>
    <t>D:\CBP_2026.07.21\i#3\rrep\rrep#33_44_result\d#70\v#10\30\ping_collision_summary.csv</t>
  </si>
  <si>
    <t>D:\CBP_2026.07.21\i#3\rrep\rrep#33_44_result\d#70\v#10\3\ping_collision_summary.csv</t>
  </si>
  <si>
    <t>D:\CBP_2026.07.21\i#3\rrep\rrep#33_44_result\d#70\v#10\4\ping_collision_summary.csv</t>
  </si>
  <si>
    <t>D:\CBP_2026.07.21\i#3\rrep\rrep#33_44_result\d#70\v#10\5\ping_collision_summary.csv</t>
  </si>
  <si>
    <t>D:\CBP_2026.07.21\i#3\rrep\rrep#33_44_result\d#70\v#10\6\ping_collision_summary.csv</t>
  </si>
  <si>
    <t>D:\CBP_2026.07.21\i#3\rrep\rrep#33_44_result\d#70\v#10\7\ping_collision_summary.csv</t>
  </si>
  <si>
    <t>D:\CBP_2026.07.21\i#3\rrep\rrep#33_44_result\d#70\v#10\8\ping_collision_summary.csv</t>
  </si>
  <si>
    <t>D:\CBP_2026.07.21\i#3\rrep\rrep#33_44_result\d#70\v#10\9\ping_collision_summary.csv</t>
  </si>
  <si>
    <t>D:\CBP_2026.07.21\i#3\rrep\rrep#33_44_result\d#70\v#20\0\ping_collision_summary.csv</t>
  </si>
  <si>
    <t>D:\CBP_2026.07.21\i#3\rrep\rrep#33_44_result\d#70\v#20\10\ping_collision_summary.csv</t>
  </si>
  <si>
    <t>D:\CBP_2026.07.21\i#3\rrep\rrep#33_44_result\d#70\v#20\11\ping_collision_summary.csv</t>
  </si>
  <si>
    <t>D:\CBP_2026.07.21\i#3\rrep\rrep#33_44_result\d#70\v#20\12\ping_collision_summary.csv</t>
  </si>
  <si>
    <t>D:\CBP_2026.07.21\i#3\rrep\rrep#33_44_result\d#70\v#20\13\ping_collision_summary.csv</t>
  </si>
  <si>
    <t>D:\CBP_2026.07.21\i#3\rrep\rrep#33_44_result\d#70\v#20\14\ping_collision_summary.csv</t>
  </si>
  <si>
    <t>D:\CBP_2026.07.21\i#3\rrep\rrep#33_44_result\d#70\v#20\15\ping_collision_summary.csv</t>
  </si>
  <si>
    <t>D:\CBP_2026.07.21\i#3\rrep\rrep#33_44_result\d#70\v#20\16\ping_collision_summary.csv</t>
  </si>
  <si>
    <t>D:\CBP_2026.07.21\i#3\rrep\rrep#33_44_result\d#70\v#20\17\ping_collision_summary.csv</t>
  </si>
  <si>
    <t>D:\CBP_2026.07.21\i#3\rrep\rrep#33_44_result\d#70\v#20\18\ping_collision_summary.csv</t>
  </si>
  <si>
    <t>D:\CBP_2026.07.21\i#3\rrep\rrep#33_44_result\d#70\v#20\19\ping_collision_summary.csv</t>
  </si>
  <si>
    <t>D:\CBP_2026.07.21\i#3\rrep\rrep#33_44_result\d#70\v#20\1\ping_collision_summary.csv</t>
  </si>
  <si>
    <t>D:\CBP_2026.07.21\i#3\rrep\rrep#33_44_result\d#70\v#20\20\ping_collision_summary.csv</t>
  </si>
  <si>
    <t>D:\CBP_2026.07.21\i#3\rrep\rrep#33_44_result\d#70\v#20\21\ping_collision_summary.csv</t>
  </si>
  <si>
    <t>D:\CBP_2026.07.21\i#3\rrep\rrep#33_44_result\d#70\v#20\22\ping_collision_summary.csv</t>
  </si>
  <si>
    <t>D:\CBP_2026.07.21\i#3\rrep\rrep#33_44_result\d#70\v#20\23\ping_collision_summary.csv</t>
  </si>
  <si>
    <t>D:\CBP_2026.07.21\i#3\rrep\rrep#33_44_result\d#70\v#20\24\ping_collision_summary.csv</t>
  </si>
  <si>
    <t>D:\CBP_2026.07.21\i#3\rrep\rrep#33_44_result\d#70\v#20\25\ping_collision_summary.csv</t>
  </si>
  <si>
    <t>D:\CBP_2026.07.21\i#3\rrep\rrep#33_44_result\d#70\v#20\26\ping_collision_summary.csv</t>
  </si>
  <si>
    <t>D:\CBP_2026.07.21\i#3\rrep\rrep#33_44_result\d#70\v#20\27\ping_collision_summary.csv</t>
  </si>
  <si>
    <t>D:\CBP_2026.07.21\i#3\rrep\rrep#33_44_result\d#70\v#20\28\ping_collision_summary.csv</t>
  </si>
  <si>
    <t>D:\CBP_2026.07.21\i#3\rrep\rrep#33_44_result\d#70\v#20\29\ping_collision_summary.csv</t>
  </si>
  <si>
    <t>D:\CBP_2026.07.21\i#3\rrep\rrep#33_44_result\d#70\v#20\2\ping_collision_summary.csv</t>
  </si>
  <si>
    <t>D:\CBP_2026.07.21\i#3\rrep\rrep#33_44_result\d#70\v#20\30\ping_collision_summary.csv</t>
  </si>
  <si>
    <t>D:\CBP_2026.07.21\i#3\rrep\rrep#33_44_result\d#70\v#20\3\ping_collision_summary.csv</t>
  </si>
  <si>
    <t>D:\CBP_2026.07.21\i#3\rrep\rrep#33_44_result\d#70\v#20\4\ping_collision_summary.csv</t>
  </si>
  <si>
    <t>D:\CBP_2026.07.21\i#3\rrep\rrep#33_44_result\d#70\v#20\5\ping_collision_summary.csv</t>
  </si>
  <si>
    <t>D:\CBP_2026.07.21\i#3\rrep\rrep#33_44_result\d#70\v#20\6\ping_collision_summary.csv</t>
  </si>
  <si>
    <t>D:\CBP_2026.07.21\i#3\rrep\rrep#33_44_result\d#70\v#20\7\ping_collision_summary.csv</t>
  </si>
  <si>
    <t>D:\CBP_2026.07.21\i#3\rrep\rrep#33_44_result\d#70\v#20\8\ping_collision_summary.csv</t>
  </si>
  <si>
    <t>D:\CBP_2026.07.21\i#3\rrep\rrep#33_44_result\d#70\v#20\9\ping_collision_summary.csv</t>
  </si>
  <si>
    <t>D:\CBP_2026.07.21\i#3\rrep\rrep#33_44_result\d#70\v#30\0\ping_collision_summary.csv</t>
  </si>
  <si>
    <t>D:\CBP_2026.07.21\i#3\rrep\rrep#33_44_result\d#70\v#30\10\ping_collision_summary.csv</t>
  </si>
  <si>
    <t>D:\CBP_2026.07.21\i#3\rrep\rrep#33_44_result\d#70\v#30\11\ping_collision_summary.csv</t>
  </si>
  <si>
    <t>D:\CBP_2026.07.21\i#3\rrep\rrep#33_44_result\d#70\v#30\12\ping_collision_summary.csv</t>
  </si>
  <si>
    <t>D:\CBP_2026.07.21\i#3\rrep\rrep#33_44_result\d#70\v#30\13\ping_collision_summary.csv</t>
  </si>
  <si>
    <t>D:\CBP_2026.07.21\i#3\rrep\rrep#33_44_result\d#70\v#30\14\ping_collision_summary.csv</t>
  </si>
  <si>
    <t>D:\CBP_2026.07.21\i#3\rrep\rrep#33_44_result\d#70\v#30\15\ping_collision_summary.csv</t>
  </si>
  <si>
    <t>D:\CBP_2026.07.21\i#3\rrep\rrep#33_44_result\d#70\v#30\16\ping_collision_summary.csv</t>
  </si>
  <si>
    <t>D:\CBP_2026.07.21\i#3\rrep\rrep#33_44_result\d#70\v#30\17\ping_collision_summary.csv</t>
  </si>
  <si>
    <t>D:\CBP_2026.07.21\i#3\rrep\rrep#33_44_result\d#70\v#30\18\ping_collision_summary.csv</t>
  </si>
  <si>
    <t>D:\CBP_2026.07.21\i#3\rrep\rrep#33_44_result\d#70\v#30\19\ping_collision_summary.csv</t>
  </si>
  <si>
    <t>D:\CBP_2026.07.21\i#3\rrep\rrep#33_44_result\d#70\v#30\1\ping_collision_summary.csv</t>
  </si>
  <si>
    <t>D:\CBP_2026.07.21\i#3\rrep\rrep#33_44_result\d#70\v#30\20\ping_collision_summary.csv</t>
  </si>
  <si>
    <t>D:\CBP_2026.07.21\i#3\rrep\rrep#33_44_result\d#70\v#30\21\ping_collision_summary.csv</t>
  </si>
  <si>
    <t>D:\CBP_2026.07.21\i#3\rrep\rrep#33_44_result\d#70\v#30\22\ping_collision_summary.csv</t>
  </si>
  <si>
    <t>D:\CBP_2026.07.21\i#3\rrep\rrep#33_44_result\d#70\v#30\23\ping_collision_summary.csv</t>
  </si>
  <si>
    <t>D:\CBP_2026.07.21\i#3\rrep\rrep#33_44_result\d#70\v#30\24\ping_collision_summary.csv</t>
  </si>
  <si>
    <t>D:\CBP_2026.07.21\i#3\rrep\rrep#33_44_result\d#70\v#30\25\ping_collision_summary.csv</t>
  </si>
  <si>
    <t>D:\CBP_2026.07.21\i#3\rrep\rrep#33_44_result\d#70\v#30\26\ping_collision_summary.csv</t>
  </si>
  <si>
    <t>D:\CBP_2026.07.21\i#3\rrep\rrep#33_44_result\d#70\v#30\27\ping_collision_summary.csv</t>
  </si>
  <si>
    <t>D:\CBP_2026.07.21\i#3\rrep\rrep#33_44_result\d#70\v#30\28\ping_collision_summary.csv</t>
  </si>
  <si>
    <t>D:\CBP_2026.07.21\i#3\rrep\rrep#33_44_result\d#70\v#30\29\ping_collision_summary.csv</t>
  </si>
  <si>
    <t>D:\CBP_2026.07.21\i#3\rrep\rrep#33_44_result\d#70\v#30\2\ping_collision_summary.csv</t>
  </si>
  <si>
    <t>D:\CBP_2026.07.21\i#3\rrep\rrep#33_44_result\d#70\v#30\30\ping_collision_summary.csv</t>
  </si>
  <si>
    <t>D:\CBP_2026.07.21\i#3\rrep\rrep#33_44_result\d#70\v#30\3\ping_collision_summary.csv</t>
  </si>
  <si>
    <t>D:\CBP_2026.07.21\i#3\rrep\rrep#33_44_result\d#70\v#30\4\ping_collision_summary.csv</t>
  </si>
  <si>
    <t>D:\CBP_2026.07.21\i#3\rrep\rrep#33_44_result\d#70\v#30\5\ping_collision_summary.csv</t>
  </si>
  <si>
    <t>D:\CBP_2026.07.21\i#3\rrep\rrep#33_44_result\d#70\v#30\6\ping_collision_summary.csv</t>
  </si>
  <si>
    <t>D:\CBP_2026.07.21\i#3\rrep\rrep#33_44_result\d#70\v#30\7\ping_collision_summary.csv</t>
  </si>
  <si>
    <t>D:\CBP_2026.07.21\i#3\rrep\rrep#33_44_result\d#70\v#30\8\ping_collision_summary.csv</t>
  </si>
  <si>
    <t>D:\CBP_2026.07.21\i#3\rrep\rrep#33_44_result\d#70\v#30\9\ping_collision_summary.csv</t>
  </si>
  <si>
    <t>D:\CBP_2026.07.21\i#3\rrep\rrep#44_101_result\d#100\v#10\0\ping_collision_summary.csv</t>
  </si>
  <si>
    <t>D:\CBP_2026.07.21\i#3\rrep\rrep#44_101_result\d#100\v#10\10\ping_collision_summary.csv</t>
  </si>
  <si>
    <t>D:\CBP_2026.07.21\i#3\rrep\rrep#44_101_result\d#100\v#10\11\ping_collision_summary.csv</t>
  </si>
  <si>
    <t>D:\CBP_2026.07.21\i#3\rrep\rrep#44_101_result\d#100\v#10\12\ping_collision_summary.csv</t>
  </si>
  <si>
    <t>D:\CBP_2026.07.21\i#3\rrep\rrep#44_101_result\d#100\v#10\13\ping_collision_summary.csv</t>
  </si>
  <si>
    <t>D:\CBP_2026.07.21\i#3\rrep\rrep#44_101_result\d#100\v#10\14\ping_collision_summary.csv</t>
  </si>
  <si>
    <t>D:\CBP_2026.07.21\i#3\rrep\rrep#44_101_result\d#100\v#10\15\ping_collision_summary.csv</t>
  </si>
  <si>
    <t>D:\CBP_2026.07.21\i#3\rrep\rrep#44_101_result\d#100\v#10\16\ping_collision_summary.csv</t>
  </si>
  <si>
    <t>D:\CBP_2026.07.21\i#3\rrep\rrep#44_101_result\d#100\v#10\17\ping_collision_summary.csv</t>
  </si>
  <si>
    <t>D:\CBP_2026.07.21\i#3\rrep\rrep#44_101_result\d#100\v#10\18\ping_collision_summary.csv</t>
  </si>
  <si>
    <t>D:\CBP_2026.07.21\i#3\rrep\rrep#44_101_result\d#100\v#10\19\ping_collision_summary.csv</t>
  </si>
  <si>
    <t>D:\CBP_2026.07.21\i#3\rrep\rrep#44_101_result\d#100\v#10\1\ping_collision_summary.csv</t>
  </si>
  <si>
    <t>D:\CBP_2026.07.21\i#3\rrep\rrep#44_101_result\d#100\v#10\20\ping_collision_summary.csv</t>
  </si>
  <si>
    <t>D:\CBP_2026.07.21\i#3\rrep\rrep#44_101_result\d#100\v#10\21\ping_collision_summary.csv</t>
  </si>
  <si>
    <t>D:\CBP_2026.07.21\i#3\rrep\rrep#44_101_result\d#100\v#10\22\ping_collision_summary.csv</t>
  </si>
  <si>
    <t>D:\CBP_2026.07.21\i#3\rrep\rrep#44_101_result\d#100\v#10\23\ping_collision_summary.csv</t>
  </si>
  <si>
    <t>D:\CBP_2026.07.21\i#3\rrep\rrep#44_101_result\d#100\v#10\24\ping_collision_summary.csv</t>
  </si>
  <si>
    <t>D:\CBP_2026.07.21\i#3\rrep\rrep#44_101_result\d#100\v#10\25\ping_collision_summary.csv</t>
  </si>
  <si>
    <t>D:\CBP_2026.07.21\i#3\rrep\rrep#44_101_result\d#100\v#10\26\ping_collision_summary.csv</t>
  </si>
  <si>
    <t>D:\CBP_2026.07.21\i#3\rrep\rrep#44_101_result\d#100\v#10\27\ping_collision_summary.csv</t>
  </si>
  <si>
    <t>D:\CBP_2026.07.21\i#3\rrep\rrep#44_101_result\d#100\v#10\28\ping_collision_summary.csv</t>
  </si>
  <si>
    <t>D:\CBP_2026.07.21\i#3\rrep\rrep#44_101_result\d#100\v#10\29\ping_collision_summary.csv</t>
  </si>
  <si>
    <t>D:\CBP_2026.07.21\i#3\rrep\rrep#44_101_result\d#100\v#10\2\ping_collision_summary.csv</t>
  </si>
  <si>
    <t>D:\CBP_2026.07.21\i#3\rrep\rrep#44_101_result\d#100\v#10\30\ping_collision_summary.csv</t>
  </si>
  <si>
    <t>D:\CBP_2026.07.21\i#3\rrep\rrep#44_101_result\d#100\v#10\3\ping_collision_summary.csv</t>
  </si>
  <si>
    <t>D:\CBP_2026.07.21\i#3\rrep\rrep#44_101_result\d#100\v#10\4\ping_collision_summary.csv</t>
  </si>
  <si>
    <t>D:\CBP_2026.07.21\i#3\rrep\rrep#44_101_result\d#100\v#10\5\ping_collision_summary.csv</t>
  </si>
  <si>
    <t>D:\CBP_2026.07.21\i#3\rrep\rrep#44_101_result\d#100\v#10\6\ping_collision_summary.csv</t>
  </si>
  <si>
    <t>D:\CBP_2026.07.21\i#3\rrep\rrep#44_101_result\d#100\v#10\7\ping_collision_summary.csv</t>
  </si>
  <si>
    <t>D:\CBP_2026.07.21\i#3\rrep\rrep#44_101_result\d#100\v#10\8\ping_collision_summary.csv</t>
  </si>
  <si>
    <t>D:\CBP_2026.07.21\i#3\rrep\rrep#44_101_result\d#100\v#10\9\ping_collision_summary.csv</t>
  </si>
  <si>
    <t>D:\CBP_2026.07.21\i#3\rrep\rrep#44_101_result\d#100\v#20\0\ping_collision_summary.csv</t>
  </si>
  <si>
    <t>D:\CBP_2026.07.21\i#3\rrep\rrep#44_101_result\d#100\v#20\10\ping_collision_summary.csv</t>
  </si>
  <si>
    <t>D:\CBP_2026.07.21\i#3\rrep\rrep#44_101_result\d#100\v#20\11\ping_collision_summary.csv</t>
  </si>
  <si>
    <t>D:\CBP_2026.07.21\i#3\rrep\rrep#44_101_result\d#100\v#20\12\ping_collision_summary.csv</t>
  </si>
  <si>
    <t>D:\CBP_2026.07.21\i#3\rrep\rrep#44_101_result\d#100\v#20\13\ping_collision_summary.csv</t>
  </si>
  <si>
    <t>D:\CBP_2026.07.21\i#3\rrep\rrep#44_101_result\d#100\v#20\14\ping_collision_summary.csv</t>
  </si>
  <si>
    <t>D:\CBP_2026.07.21\i#3\rrep\rrep#44_101_result\d#100\v#20\15\ping_collision_summary.csv</t>
  </si>
  <si>
    <t>D:\CBP_2026.07.21\i#3\rrep\rrep#44_101_result\d#100\v#20\16\ping_collision_summary.csv</t>
  </si>
  <si>
    <t>D:\CBP_2026.07.21\i#3\rrep\rrep#44_101_result\d#100\v#20\17\ping_collision_summary.csv</t>
  </si>
  <si>
    <t>D:\CBP_2026.07.21\i#3\rrep\rrep#44_101_result\d#100\v#20\18\ping_collision_summary.csv</t>
  </si>
  <si>
    <t>D:\CBP_2026.07.21\i#3\rrep\rrep#44_101_result\d#100\v#20\19\ping_collision_summary.csv</t>
  </si>
  <si>
    <t>D:\CBP_2026.07.21\i#3\rrep\rrep#44_101_result\d#100\v#20\1\ping_collision_summary.csv</t>
  </si>
  <si>
    <t>D:\CBP_2026.07.21\i#3\rrep\rrep#44_101_result\d#100\v#20\20\ping_collision_summary.csv</t>
  </si>
  <si>
    <t>D:\CBP_2026.07.21\i#3\rrep\rrep#44_101_result\d#100\v#20\21\ping_collision_summary.csv</t>
  </si>
  <si>
    <t>D:\CBP_2026.07.21\i#3\rrep\rrep#44_101_result\d#100\v#20\22\ping_collision_summary.csv</t>
  </si>
  <si>
    <t>D:\CBP_2026.07.21\i#3\rrep\rrep#44_101_result\d#100\v#20\23\ping_collision_summary.csv</t>
  </si>
  <si>
    <t>D:\CBP_2026.07.21\i#3\rrep\rrep#44_101_result\d#100\v#20\24\ping_collision_summary.csv</t>
  </si>
  <si>
    <t>D:\CBP_2026.07.21\i#3\rrep\rrep#44_101_result\d#100\v#20\25\ping_collision_summary.csv</t>
  </si>
  <si>
    <t>D:\CBP_2026.07.21\i#3\rrep\rrep#44_101_result\d#100\v#20\26\ping_collision_summary.csv</t>
  </si>
  <si>
    <t>D:\CBP_2026.07.21\i#3\rrep\rrep#44_101_result\d#100\v#20\27\ping_collision_summary.csv</t>
  </si>
  <si>
    <t>D:\CBP_2026.07.21\i#3\rrep\rrep#44_101_result\d#100\v#20\28\ping_collision_summary.csv</t>
  </si>
  <si>
    <t>D:\CBP_2026.07.21\i#3\rrep\rrep#44_101_result\d#100\v#20\29\ping_collision_summary.csv</t>
  </si>
  <si>
    <t>D:\CBP_2026.07.21\i#3\rrep\rrep#44_101_result\d#100\v#20\2\ping_collision_summary.csv</t>
  </si>
  <si>
    <t>D:\CBP_2026.07.21\i#3\rrep\rrep#44_101_result\d#100\v#20\30\ping_collision_summary.csv</t>
  </si>
  <si>
    <t>D:\CBP_2026.07.21\i#3\rrep\rrep#44_101_result\d#100\v#20\3\ping_collision_summary.csv</t>
  </si>
  <si>
    <t>D:\CBP_2026.07.21\i#3\rrep\rrep#44_101_result\d#100\v#20\4\ping_collision_summary.csv</t>
  </si>
  <si>
    <t>D:\CBP_2026.07.21\i#3\rrep\rrep#44_101_result\d#100\v#20\5\ping_collision_summary.csv</t>
  </si>
  <si>
    <t>D:\CBP_2026.07.21\i#3\rrep\rrep#44_101_result\d#100\v#20\6\ping_collision_summary.csv</t>
  </si>
  <si>
    <t>D:\CBP_2026.07.21\i#3\rrep\rrep#44_101_result\d#100\v#20\7\ping_collision_summary.csv</t>
  </si>
  <si>
    <t>D:\CBP_2026.07.21\i#3\rrep\rrep#44_101_result\d#100\v#20\8\ping_collision_summary.csv</t>
  </si>
  <si>
    <t>D:\CBP_2026.07.21\i#3\rrep\rrep#44_101_result\d#100\v#20\9\ping_collision_summary.csv</t>
  </si>
  <si>
    <t>D:\CBP_2026.07.21\i#3\rrep\rrep#44_101_result\d#100\v#30\0\ping_collision_summary.csv</t>
  </si>
  <si>
    <t>D:\CBP_2026.07.21\i#3\rrep\rrep#44_101_result\d#100\v#30\10\ping_collision_summary.csv</t>
  </si>
  <si>
    <t>D:\CBP_2026.07.21\i#3\rrep\rrep#44_101_result\d#100\v#30\11\ping_collision_summary.csv</t>
  </si>
  <si>
    <t>D:\CBP_2026.07.21\i#3\rrep\rrep#44_101_result\d#100\v#30\12\ping_collision_summary.csv</t>
  </si>
  <si>
    <t>D:\CBP_2026.07.21\i#3\rrep\rrep#44_101_result\d#100\v#30\13\ping_collision_summary.csv</t>
  </si>
  <si>
    <t>D:\CBP_2026.07.21\i#3\rrep\rrep#44_101_result\d#100\v#30\14\ping_collision_summary.csv</t>
  </si>
  <si>
    <t>D:\CBP_2026.07.21\i#3\rrep\rrep#44_101_result\d#100\v#30\15\ping_collision_summary.csv</t>
  </si>
  <si>
    <t>D:\CBP_2026.07.21\i#3\rrep\rrep#44_101_result\d#100\v#30\16\ping_collision_summary.csv</t>
  </si>
  <si>
    <t>D:\CBP_2026.07.21\i#3\rrep\rrep#44_101_result\d#100\v#30\17\ping_collision_summary.csv</t>
  </si>
  <si>
    <t>D:\CBP_2026.07.21\i#3\rrep\rrep#44_101_result\d#100\v#30\18\ping_collision_summary.csv</t>
  </si>
  <si>
    <t>D:\CBP_2026.07.21\i#3\rrep\rrep#44_101_result\d#100\v#30\19\ping_collision_summary.csv</t>
  </si>
  <si>
    <t>D:\CBP_2026.07.21\i#3\rrep\rrep#44_101_result\d#100\v#30\1\ping_collision_summary.csv</t>
  </si>
  <si>
    <t>D:\CBP_2026.07.21\i#3\rrep\rrep#44_101_result\d#100\v#30\20\ping_collision_summary.csv</t>
  </si>
  <si>
    <t>D:\CBP_2026.07.21\i#3\rrep\rrep#44_101_result\d#100\v#30\21\ping_collision_summary.csv</t>
  </si>
  <si>
    <t>D:\CBP_2026.07.21\i#3\rrep\rrep#44_101_result\d#100\v#30\22\ping_collision_summary.csv</t>
  </si>
  <si>
    <t>D:\CBP_2026.07.21\i#3\rrep\rrep#44_101_result\d#100\v#30\23\ping_collision_summary.csv</t>
  </si>
  <si>
    <t>D:\CBP_2026.07.21\i#3\rrep\rrep#44_101_result\d#100\v#30\24\ping_collision_summary.csv</t>
  </si>
  <si>
    <t>D:\CBP_2026.07.21\i#3\rrep\rrep#44_101_result\d#100\v#30\25\ping_collision_summary.csv</t>
  </si>
  <si>
    <t>D:\CBP_2026.07.21\i#3\rrep\rrep#44_101_result\d#100\v#30\26\ping_collision_summary.csv</t>
  </si>
  <si>
    <t>D:\CBP_2026.07.21\i#3\rrep\rrep#44_101_result\d#100\v#30\27\ping_collision_summary.csv</t>
  </si>
  <si>
    <t>D:\CBP_2026.07.21\i#3\rrep\rrep#44_101_result\d#100\v#30\28\ping_collision_summary.csv</t>
  </si>
  <si>
    <t>D:\CBP_2026.07.21\i#3\rrep\rrep#44_101_result\d#100\v#30\29\ping_collision_summary.csv</t>
  </si>
  <si>
    <t>D:\CBP_2026.07.21\i#3\rrep\rrep#44_101_result\d#100\v#30\2\ping_collision_summary.csv</t>
  </si>
  <si>
    <t>D:\CBP_2026.07.21\i#3\rrep\rrep#44_101_result\d#100\v#30\30\ping_collision_summary.csv</t>
  </si>
  <si>
    <t>D:\CBP_2026.07.21\i#3\rrep\rrep#44_101_result\d#100\v#30\3\ping_collision_summary.csv</t>
  </si>
  <si>
    <t>D:\CBP_2026.07.21\i#3\rrep\rrep#44_101_result\d#100\v#30\4\ping_collision_summary.csv</t>
  </si>
  <si>
    <t>D:\CBP_2026.07.21\i#3\rrep\rrep#44_101_result\d#100\v#30\5\ping_collision_summary.csv</t>
  </si>
  <si>
    <t>D:\CBP_2026.07.21\i#3\rrep\rrep#44_101_result\d#100\v#30\6\ping_collision_summary.csv</t>
  </si>
  <si>
    <t>D:\CBP_2026.07.21\i#3\rrep\rrep#44_101_result\d#100\v#30\7\ping_collision_summary.csv</t>
  </si>
  <si>
    <t>D:\CBP_2026.07.21\i#3\rrep\rrep#44_101_result\d#100\v#30\8\ping_collision_summary.csv</t>
  </si>
  <si>
    <t>D:\CBP_2026.07.21\i#3\rrep\rrep#44_101_result\d#100\v#30\9\ping_collision_summary.csv</t>
  </si>
  <si>
    <t>D:\CBP_2026.07.21\i#3\rrep\rrep#44_101_result\d#120\v#10\0\ping_collision_summary.csv</t>
  </si>
  <si>
    <t>D:\CBP_2026.07.21\i#3\rrep\rrep#44_101_result\d#120\v#10\10\ping_collision_summary.csv</t>
  </si>
  <si>
    <t>D:\CBP_2026.07.21\i#3\rrep\rrep#44_101_result\d#120\v#10\11\ping_collision_summary.csv</t>
  </si>
  <si>
    <t>D:\CBP_2026.07.21\i#3\rrep\rrep#44_101_result\d#120\v#10\12\ping_collision_summary.csv</t>
  </si>
  <si>
    <t>D:\CBP_2026.07.21\i#3\rrep\rrep#44_101_result\d#120\v#10\13\ping_collision_summary.csv</t>
  </si>
  <si>
    <t>D:\CBP_2026.07.21\i#3\rrep\rrep#44_101_result\d#120\v#10\14\ping_collision_summary.csv</t>
  </si>
  <si>
    <t>D:\CBP_2026.07.21\i#3\rrep\rrep#44_101_result\d#120\v#10\15\ping_collision_summary.csv</t>
  </si>
  <si>
    <t>D:\CBP_2026.07.21\i#3\rrep\rrep#44_101_result\d#120\v#10\16\ping_collision_summary.csv</t>
  </si>
  <si>
    <t>D:\CBP_2026.07.21\i#3\rrep\rrep#44_101_result\d#120\v#10\17\ping_collision_summary.csv</t>
  </si>
  <si>
    <t>D:\CBP_2026.07.21\i#3\rrep\rrep#44_101_result\d#120\v#10\18\ping_collision_summary.csv</t>
  </si>
  <si>
    <t>D:\CBP_2026.07.21\i#3\rrep\rrep#44_101_result\d#120\v#10\19\ping_collision_summary.csv</t>
  </si>
  <si>
    <t>D:\CBP_2026.07.21\i#3\rrep\rrep#44_101_result\d#120\v#10\1\ping_collision_summary.csv</t>
  </si>
  <si>
    <t>D:\CBP_2026.07.21\i#3\rrep\rrep#44_101_result\d#120\v#10\20\ping_collision_summary.csv</t>
  </si>
  <si>
    <t>D:\CBP_2026.07.21\i#3\rrep\rrep#44_101_result\d#120\v#10\21\ping_collision_summary.csv</t>
  </si>
  <si>
    <t>D:\CBP_2026.07.21\i#3\rrep\rrep#44_101_result\d#120\v#10\22\ping_collision_summary.csv</t>
  </si>
  <si>
    <t>D:\CBP_2026.07.21\i#3\rrep\rrep#44_101_result\d#120\v#10\23\ping_collision_summary.csv</t>
  </si>
  <si>
    <t>D:\CBP_2026.07.21\i#3\rrep\rrep#44_101_result\d#120\v#10\24\ping_collision_summary.csv</t>
  </si>
  <si>
    <t>D:\CBP_2026.07.21\i#3\rrep\rrep#44_101_result\d#120\v#10\25\ping_collision_summary.csv</t>
  </si>
  <si>
    <t>D:\CBP_2026.07.21\i#3\rrep\rrep#44_101_result\d#120\v#10\26\ping_collision_summary.csv</t>
  </si>
  <si>
    <t>D:\CBP_2026.07.21\i#3\rrep\rrep#44_101_result\d#120\v#10\27\ping_collision_summary.csv</t>
  </si>
  <si>
    <t>D:\CBP_2026.07.21\i#3\rrep\rrep#44_101_result\d#120\v#10\28\ping_collision_summary.csv</t>
  </si>
  <si>
    <t>D:\CBP_2026.07.21\i#3\rrep\rrep#44_101_result\d#120\v#10\29\ping_collision_summary.csv</t>
  </si>
  <si>
    <t>D:\CBP_2026.07.21\i#3\rrep\rrep#44_101_result\d#120\v#10\2\ping_collision_summary.csv</t>
  </si>
  <si>
    <t>D:\CBP_2026.07.21\i#3\rrep\rrep#44_101_result\d#120\v#10\30\ping_collision_summary.csv</t>
  </si>
  <si>
    <t>D:\CBP_2026.07.21\i#3\rrep\rrep#44_101_result\d#120\v#10\3\ping_collision_summary.csv</t>
  </si>
  <si>
    <t>D:\CBP_2026.07.21\i#3\rrep\rrep#44_101_result\d#120\v#10\4\ping_collision_summary.csv</t>
  </si>
  <si>
    <t>D:\CBP_2026.07.21\i#3\rrep\rrep#44_101_result\d#120\v#10\5\ping_collision_summary.csv</t>
  </si>
  <si>
    <t>D:\CBP_2026.07.21\i#3\rrep\rrep#44_101_result\d#120\v#10\6\ping_collision_summary.csv</t>
  </si>
  <si>
    <t>D:\CBP_2026.07.21\i#3\rrep\rrep#44_101_result\d#120\v#10\7\ping_collision_summary.csv</t>
  </si>
  <si>
    <t>D:\CBP_2026.07.21\i#3\rrep\rrep#44_101_result\d#120\v#10\8\ping_collision_summary.csv</t>
  </si>
  <si>
    <t>D:\CBP_2026.07.21\i#3\rrep\rrep#44_101_result\d#120\v#10\9\ping_collision_summary.csv</t>
  </si>
  <si>
    <t>D:\CBP_2026.07.21\i#3\rrep\rrep#44_101_result\d#120\v#20\0\ping_collision_summary.csv</t>
  </si>
  <si>
    <t>D:\CBP_2026.07.21\i#3\rrep\rrep#44_101_result\d#120\v#20\10\ping_collision_summary.csv</t>
  </si>
  <si>
    <t>D:\CBP_2026.07.21\i#3\rrep\rrep#44_101_result\d#120\v#20\11\ping_collision_summary.csv</t>
  </si>
  <si>
    <t>D:\CBP_2026.07.21\i#3\rrep\rrep#44_101_result\d#120\v#20\12\ping_collision_summary.csv</t>
  </si>
  <si>
    <t>D:\CBP_2026.07.21\i#3\rrep\rrep#44_101_result\d#120\v#20\13\ping_collision_summary.csv</t>
  </si>
  <si>
    <t>D:\CBP_2026.07.21\i#3\rrep\rrep#44_101_result\d#120\v#20\14\ping_collision_summary.csv</t>
  </si>
  <si>
    <t>D:\CBP_2026.07.21\i#3\rrep\rrep#44_101_result\d#120\v#20\15\ping_collision_summary.csv</t>
  </si>
  <si>
    <t>D:\CBP_2026.07.21\i#3\rrep\rrep#44_101_result\d#120\v#20\16\ping_collision_summary.csv</t>
  </si>
  <si>
    <t>D:\CBP_2026.07.21\i#3\rrep\rrep#44_101_result\d#120\v#20\17\ping_collision_summary.csv</t>
  </si>
  <si>
    <t>D:\CBP_2026.07.21\i#3\rrep\rrep#44_101_result\d#120\v#20\18\ping_collision_summary.csv</t>
  </si>
  <si>
    <t>D:\CBP_2026.07.21\i#3\rrep\rrep#44_101_result\d#120\v#20\19\ping_collision_summary.csv</t>
  </si>
  <si>
    <t>D:\CBP_2026.07.21\i#3\rrep\rrep#44_101_result\d#120\v#20\1\ping_collision_summary.csv</t>
  </si>
  <si>
    <t>D:\CBP_2026.07.21\i#3\rrep\rrep#44_101_result\d#120\v#20\20\ping_collision_summary.csv</t>
  </si>
  <si>
    <t>D:\CBP_2026.07.21\i#3\rrep\rrep#44_101_result\d#120\v#20\21\ping_collision_summary.csv</t>
  </si>
  <si>
    <t>D:\CBP_2026.07.21\i#3\rrep\rrep#44_101_result\d#120\v#20\22\ping_collision_summary.csv</t>
  </si>
  <si>
    <t>D:\CBP_2026.07.21\i#3\rrep\rrep#44_101_result\d#120\v#20\23\ping_collision_summary.csv</t>
  </si>
  <si>
    <t>D:\CBP_2026.07.21\i#3\rrep\rrep#44_101_result\d#120\v#20\24\ping_collision_summary.csv</t>
  </si>
  <si>
    <t>D:\CBP_2026.07.21\i#3\rrep\rrep#44_101_result\d#120\v#20\25\ping_collision_summary.csv</t>
  </si>
  <si>
    <t>D:\CBP_2026.07.21\i#3\rrep\rrep#44_101_result\d#120\v#20\26\ping_collision_summary.csv</t>
  </si>
  <si>
    <t>D:\CBP_2026.07.21\i#3\rrep\rrep#44_101_result\d#120\v#20\27\ping_collision_summary.csv</t>
  </si>
  <si>
    <t>D:\CBP_2026.07.21\i#3\rrep\rrep#44_101_result\d#120\v#20\28\ping_collision_summary.csv</t>
  </si>
  <si>
    <t>D:\CBP_2026.07.21\i#3\rrep\rrep#44_101_result\d#120\v#20\29\ping_collision_summary.csv</t>
  </si>
  <si>
    <t>D:\CBP_2026.07.21\i#3\rrep\rrep#44_101_result\d#120\v#20\2\ping_collision_summary.csv</t>
  </si>
  <si>
    <t>D:\CBP_2026.07.21\i#3\rrep\rrep#44_101_result\d#120\v#20\30\ping_collision_summary.csv</t>
  </si>
  <si>
    <t>D:\CBP_2026.07.21\i#3\rrep\rrep#44_101_result\d#120\v#20\3\ping_collision_summary.csv</t>
  </si>
  <si>
    <t>D:\CBP_2026.07.21\i#3\rrep\rrep#44_101_result\d#120\v#20\4\ping_collision_summary.csv</t>
  </si>
  <si>
    <t>D:\CBP_2026.07.21\i#3\rrep\rrep#44_101_result\d#120\v#20\5\ping_collision_summary.csv</t>
  </si>
  <si>
    <t>D:\CBP_2026.07.21\i#3\rrep\rrep#44_101_result\d#120\v#20\6\ping_collision_summary.csv</t>
  </si>
  <si>
    <t>D:\CBP_2026.07.21\i#3\rrep\rrep#44_101_result\d#120\v#20\7\ping_collision_summary.csv</t>
  </si>
  <si>
    <t>D:\CBP_2026.07.21\i#3\rrep\rrep#44_101_result\d#120\v#20\8\ping_collision_summary.csv</t>
  </si>
  <si>
    <t>D:\CBP_2026.07.21\i#3\rrep\rrep#44_101_result\d#120\v#20\9\ping_collision_summary.csv</t>
  </si>
  <si>
    <t>D:\CBP_2026.07.21\i#3\rrep\rrep#44_101_result\d#120\v#30\0\ping_collision_summary.csv</t>
  </si>
  <si>
    <t>D:\CBP_2026.07.21\i#3\rrep\rrep#44_101_result\d#120\v#30\10\ping_collision_summary.csv</t>
  </si>
  <si>
    <t>D:\CBP_2026.07.21\i#3\rrep\rrep#44_101_result\d#120\v#30\11\ping_collision_summary.csv</t>
  </si>
  <si>
    <t>D:\CBP_2026.07.21\i#3\rrep\rrep#44_101_result\d#120\v#30\12\ping_collision_summary.csv</t>
  </si>
  <si>
    <t>D:\CBP_2026.07.21\i#3\rrep\rrep#44_101_result\d#120\v#30\13\ping_collision_summary.csv</t>
  </si>
  <si>
    <t>D:\CBP_2026.07.21\i#3\rrep\rrep#44_101_result\d#120\v#30\14\ping_collision_summary.csv</t>
  </si>
  <si>
    <t>D:\CBP_2026.07.21\i#3\rrep\rrep#44_101_result\d#120\v#30\15\ping_collision_summary.csv</t>
  </si>
  <si>
    <t>D:\CBP_2026.07.21\i#3\rrep\rrep#44_101_result\d#120\v#30\16\ping_collision_summary.csv</t>
  </si>
  <si>
    <t>D:\CBP_2026.07.21\i#3\rrep\rrep#44_101_result\d#120\v#30\17\ping_collision_summary.csv</t>
  </si>
  <si>
    <t>D:\CBP_2026.07.21\i#3\rrep\rrep#44_101_result\d#120\v#30\18\ping_collision_summary.csv</t>
  </si>
  <si>
    <t>D:\CBP_2026.07.21\i#3\rrep\rrep#44_101_result\d#120\v#30\19\ping_collision_summary.csv</t>
  </si>
  <si>
    <t>D:\CBP_2026.07.21\i#3\rrep\rrep#44_101_result\d#120\v#30\1\ping_collision_summary.csv</t>
  </si>
  <si>
    <t>D:\CBP_2026.07.21\i#3\rrep\rrep#44_101_result\d#120\v#30\20\ping_collision_summary.csv</t>
  </si>
  <si>
    <t>D:\CBP_2026.07.21\i#3\rrep\rrep#44_101_result\d#120\v#30\21\ping_collision_summary.csv</t>
  </si>
  <si>
    <t>D:\CBP_2026.07.21\i#3\rrep\rrep#44_101_result\d#120\v#30\22\ping_collision_summary.csv</t>
  </si>
  <si>
    <t>D:\CBP_2026.07.21\i#3\rrep\rrep#44_101_result\d#120\v#30\23\ping_collision_summary.csv</t>
  </si>
  <si>
    <t>D:\CBP_2026.07.21\i#3\rrep\rrep#44_101_result\d#120\v#30\24\ping_collision_summary.csv</t>
  </si>
  <si>
    <t>D:\CBP_2026.07.21\i#3\rrep\rrep#44_101_result\d#120\v#30\25\ping_collision_summary.csv</t>
  </si>
  <si>
    <t>D:\CBP_2026.07.21\i#3\rrep\rrep#44_101_result\d#120\v#30\26\ping_collision_summary.csv</t>
  </si>
  <si>
    <t>D:\CBP_2026.07.21\i#3\rrep\rrep#44_101_result\d#120\v#30\27\ping_collision_summary.csv</t>
  </si>
  <si>
    <t>D:\CBP_2026.07.21\i#3\rrep\rrep#44_101_result\d#120\v#30\28\ping_collision_summary.csv</t>
  </si>
  <si>
    <t>D:\CBP_2026.07.21\i#3\rrep\rrep#44_101_result\d#120\v#30\29\ping_collision_summary.csv</t>
  </si>
  <si>
    <t>D:\CBP_2026.07.21\i#3\rrep\rrep#44_101_result\d#120\v#30\2\ping_collision_summary.csv</t>
  </si>
  <si>
    <t>D:\CBP_2026.07.21\i#3\rrep\rrep#44_101_result\d#120\v#30\30\ping_collision_summary.csv</t>
  </si>
  <si>
    <t>D:\CBP_2026.07.21\i#3\rrep\rrep#44_101_result\d#120\v#30\3\ping_collision_summary.csv</t>
  </si>
  <si>
    <t>D:\CBP_2026.07.21\i#3\rrep\rrep#44_101_result\d#120\v#30\4\ping_collision_summary.csv</t>
  </si>
  <si>
    <t>D:\CBP_2026.07.21\i#3\rrep\rrep#44_101_result\d#120\v#30\5\ping_collision_summary.csv</t>
  </si>
  <si>
    <t>D:\CBP_2026.07.21\i#3\rrep\rrep#44_101_result\d#120\v#30\6\ping_collision_summary.csv</t>
  </si>
  <si>
    <t>D:\CBP_2026.07.21\i#3\rrep\rrep#44_101_result\d#120\v#30\7\ping_collision_summary.csv</t>
  </si>
  <si>
    <t>D:\CBP_2026.07.21\i#3\rrep\rrep#44_101_result\d#120\v#30\8\ping_collision_summary.csv</t>
  </si>
  <si>
    <t>D:\CBP_2026.07.21\i#3\rrep\rrep#44_101_result\d#120\v#30\9\ping_collision_summary.csv</t>
  </si>
  <si>
    <t>D:\CBP_2026.07.21\i#3\rrep\rrep#44_101_result\d#70\v#10\0\ping_collision_summary.csv</t>
  </si>
  <si>
    <t>D:\CBP_2026.07.21\i#3\rrep\rrep#44_101_result\d#70\v#10\10\ping_collision_summary.csv</t>
  </si>
  <si>
    <t>D:\CBP_2026.07.21\i#3\rrep\rrep#44_101_result\d#70\v#10\11\ping_collision_summary.csv</t>
  </si>
  <si>
    <t>D:\CBP_2026.07.21\i#3\rrep\rrep#44_101_result\d#70\v#10\12\ping_collision_summary.csv</t>
  </si>
  <si>
    <t>D:\CBP_2026.07.21\i#3\rrep\rrep#44_101_result\d#70\v#10\13\ping_collision_summary.csv</t>
  </si>
  <si>
    <t>D:\CBP_2026.07.21\i#3\rrep\rrep#44_101_result\d#70\v#10\14\ping_collision_summary.csv</t>
  </si>
  <si>
    <t>D:\CBP_2026.07.21\i#3\rrep\rrep#44_101_result\d#70\v#10\15\ping_collision_summary.csv</t>
  </si>
  <si>
    <t>D:\CBP_2026.07.21\i#3\rrep\rrep#44_101_result\d#70\v#10\16\ping_collision_summary.csv</t>
  </si>
  <si>
    <t>D:\CBP_2026.07.21\i#3\rrep\rrep#44_101_result\d#70\v#10\17\ping_collision_summary.csv</t>
  </si>
  <si>
    <t>D:\CBP_2026.07.21\i#3\rrep\rrep#44_101_result\d#70\v#10\18\ping_collision_summary.csv</t>
  </si>
  <si>
    <t>D:\CBP_2026.07.21\i#3\rrep\rrep#44_101_result\d#70\v#10\19\ping_collision_summary.csv</t>
  </si>
  <si>
    <t>D:\CBP_2026.07.21\i#3\rrep\rrep#44_101_result\d#70\v#10\1\ping_collision_summary.csv</t>
  </si>
  <si>
    <t>D:\CBP_2026.07.21\i#3\rrep\rrep#44_101_result\d#70\v#10\20\ping_collision_summary.csv</t>
  </si>
  <si>
    <t>D:\CBP_2026.07.21\i#3\rrep\rrep#44_101_result\d#70\v#10\21\ping_collision_summary.csv</t>
  </si>
  <si>
    <t>D:\CBP_2026.07.21\i#3\rrep\rrep#44_101_result\d#70\v#10\22\ping_collision_summary.csv</t>
  </si>
  <si>
    <t>D:\CBP_2026.07.21\i#3\rrep\rrep#44_101_result\d#70\v#10\23\ping_collision_summary.csv</t>
  </si>
  <si>
    <t>D:\CBP_2026.07.21\i#3\rrep\rrep#44_101_result\d#70\v#10\24\ping_collision_summary.csv</t>
  </si>
  <si>
    <t>D:\CBP_2026.07.21\i#3\rrep\rrep#44_101_result\d#70\v#10\25\ping_collision_summary.csv</t>
  </si>
  <si>
    <t>D:\CBP_2026.07.21\i#3\rrep\rrep#44_101_result\d#70\v#10\26\ping_collision_summary.csv</t>
  </si>
  <si>
    <t>D:\CBP_2026.07.21\i#3\rrep\rrep#44_101_result\d#70\v#10\27\ping_collision_summary.csv</t>
  </si>
  <si>
    <t>D:\CBP_2026.07.21\i#3\rrep\rrep#44_101_result\d#70\v#10\28\ping_collision_summary.csv</t>
  </si>
  <si>
    <t>D:\CBP_2026.07.21\i#3\rrep\rrep#44_101_result\d#70\v#10\29\ping_collision_summary.csv</t>
  </si>
  <si>
    <t>D:\CBP_2026.07.21\i#3\rrep\rrep#44_101_result\d#70\v#10\2\ping_collision_summary.csv</t>
  </si>
  <si>
    <t>D:\CBP_2026.07.21\i#3\rrep\rrep#44_101_result\d#70\v#10\30\ping_collision_summary.csv</t>
  </si>
  <si>
    <t>D:\CBP_2026.07.21\i#3\rrep\rrep#44_101_result\d#70\v#10\3\ping_collision_summary.csv</t>
  </si>
  <si>
    <t>D:\CBP_2026.07.21\i#3\rrep\rrep#44_101_result\d#70\v#10\4\ping_collision_summary.csv</t>
  </si>
  <si>
    <t>D:\CBP_2026.07.21\i#3\rrep\rrep#44_101_result\d#70\v#10\5\ping_collision_summary.csv</t>
  </si>
  <si>
    <t>D:\CBP_2026.07.21\i#3\rrep\rrep#44_101_result\d#70\v#10\6\ping_collision_summary.csv</t>
  </si>
  <si>
    <t>D:\CBP_2026.07.21\i#3\rrep\rrep#44_101_result\d#70\v#10\7\ping_collision_summary.csv</t>
  </si>
  <si>
    <t>D:\CBP_2026.07.21\i#3\rrep\rrep#44_101_result\d#70\v#10\8\ping_collision_summary.csv</t>
  </si>
  <si>
    <t>D:\CBP_2026.07.21\i#3\rrep\rrep#44_101_result\d#70\v#10\9\ping_collision_summary.csv</t>
  </si>
  <si>
    <t>D:\CBP_2026.07.21\i#3\rrep\rrep#44_101_result\d#70\v#20\0\ping_collision_summary.csv</t>
  </si>
  <si>
    <t>D:\CBP_2026.07.21\i#3\rrep\rrep#44_101_result\d#70\v#20\10\ping_collision_summary.csv</t>
  </si>
  <si>
    <t>D:\CBP_2026.07.21\i#3\rrep\rrep#44_101_result\d#70\v#20\11\ping_collision_summary.csv</t>
  </si>
  <si>
    <t>D:\CBP_2026.07.21\i#3\rrep\rrep#44_101_result\d#70\v#20\12\ping_collision_summary.csv</t>
  </si>
  <si>
    <t>D:\CBP_2026.07.21\i#3\rrep\rrep#44_101_result\d#70\v#20\13\ping_collision_summary.csv</t>
  </si>
  <si>
    <t>D:\CBP_2026.07.21\i#3\rrep\rrep#44_101_result\d#70\v#20\14\ping_collision_summary.csv</t>
  </si>
  <si>
    <t>D:\CBP_2026.07.21\i#3\rrep\rrep#44_101_result\d#70\v#20\15\ping_collision_summary.csv</t>
  </si>
  <si>
    <t>D:\CBP_2026.07.21\i#3\rrep\rrep#44_101_result\d#70\v#20\16\ping_collision_summary.csv</t>
  </si>
  <si>
    <t>D:\CBP_2026.07.21\i#3\rrep\rrep#44_101_result\d#70\v#20\17\ping_collision_summary.csv</t>
  </si>
  <si>
    <t>D:\CBP_2026.07.21\i#3\rrep\rrep#44_101_result\d#70\v#20\18\ping_collision_summary.csv</t>
  </si>
  <si>
    <t>D:\CBP_2026.07.21\i#3\rrep\rrep#44_101_result\d#70\v#20\19\ping_collision_summary.csv</t>
  </si>
  <si>
    <t>D:\CBP_2026.07.21\i#3\rrep\rrep#44_101_result\d#70\v#20\1\ping_collision_summary.csv</t>
  </si>
  <si>
    <t>D:\CBP_2026.07.21\i#3\rrep\rrep#44_101_result\d#70\v#20\20\ping_collision_summary.csv</t>
  </si>
  <si>
    <t>D:\CBP_2026.07.21\i#3\rrep\rrep#44_101_result\d#70\v#20\21\ping_collision_summary.csv</t>
  </si>
  <si>
    <t>D:\CBP_2026.07.21\i#3\rrep\rrep#44_101_result\d#70\v#20\22\ping_collision_summary.csv</t>
  </si>
  <si>
    <t>D:\CBP_2026.07.21\i#3\rrep\rrep#44_101_result\d#70\v#20\23\ping_collision_summary.csv</t>
  </si>
  <si>
    <t>D:\CBP_2026.07.21\i#3\rrep\rrep#44_101_result\d#70\v#20\24\ping_collision_summary.csv</t>
  </si>
  <si>
    <t>D:\CBP_2026.07.21\i#3\rrep\rrep#44_101_result\d#70\v#20\25\ping_collision_summary.csv</t>
  </si>
  <si>
    <t>D:\CBP_2026.07.21\i#3\rrep\rrep#44_101_result\d#70\v#20\26\ping_collision_summary.csv</t>
  </si>
  <si>
    <t>D:\CBP_2026.07.21\i#3\rrep\rrep#44_101_result\d#70\v#20\27\ping_collision_summary.csv</t>
  </si>
  <si>
    <t>D:\CBP_2026.07.21\i#3\rrep\rrep#44_101_result\d#70\v#20\28\ping_collision_summary.csv</t>
  </si>
  <si>
    <t>D:\CBP_2026.07.21\i#3\rrep\rrep#44_101_result\d#70\v#20\29\ping_collision_summary.csv</t>
  </si>
  <si>
    <t>D:\CBP_2026.07.21\i#3\rrep\rrep#44_101_result\d#70\v#20\2\ping_collision_summary.csv</t>
  </si>
  <si>
    <t>D:\CBP_2026.07.21\i#3\rrep\rrep#44_101_result\d#70\v#20\30\ping_collision_summary.csv</t>
  </si>
  <si>
    <t>D:\CBP_2026.07.21\i#3\rrep\rrep#44_101_result\d#70\v#20\3\ping_collision_summary.csv</t>
  </si>
  <si>
    <t>D:\CBP_2026.07.21\i#3\rrep\rrep#44_101_result\d#70\v#20\4\ping_collision_summary.csv</t>
  </si>
  <si>
    <t>D:\CBP_2026.07.21\i#3\rrep\rrep#44_101_result\d#70\v#20\5\ping_collision_summary.csv</t>
  </si>
  <si>
    <t>D:\CBP_2026.07.21\i#3\rrep\rrep#44_101_result\d#70\v#20\6\ping_collision_summary.csv</t>
  </si>
  <si>
    <t>D:\CBP_2026.07.21\i#3\rrep\rrep#44_101_result\d#70\v#20\7\ping_collision_summary.csv</t>
  </si>
  <si>
    <t>D:\CBP_2026.07.21\i#3\rrep\rrep#44_101_result\d#70\v#20\8\ping_collision_summary.csv</t>
  </si>
  <si>
    <t>D:\CBP_2026.07.21\i#3\rrep\rrep#44_101_result\d#70\v#20\9\ping_collision_summary.csv</t>
  </si>
  <si>
    <t>D:\CBP_2026.07.21\i#3\rrep\rrep#44_101_result\d#70\v#30\0\ping_collision_summary.csv</t>
  </si>
  <si>
    <t>D:\CBP_2026.07.21\i#3\rrep\rrep#44_101_result\d#70\v#30\10\ping_collision_summary.csv</t>
  </si>
  <si>
    <t>D:\CBP_2026.07.21\i#3\rrep\rrep#44_101_result\d#70\v#30\11\ping_collision_summary.csv</t>
  </si>
  <si>
    <t>D:\CBP_2026.07.21\i#3\rrep\rrep#44_101_result\d#70\v#30\12\ping_collision_summary.csv</t>
  </si>
  <si>
    <t>D:\CBP_2026.07.21\i#3\rrep\rrep#44_101_result\d#70\v#30\13\ping_collision_summary.csv</t>
  </si>
  <si>
    <t>D:\CBP_2026.07.21\i#3\rrep\rrep#44_101_result\d#70\v#30\14\ping_collision_summary.csv</t>
  </si>
  <si>
    <t>D:\CBP_2026.07.21\i#3\rrep\rrep#44_101_result\d#70\v#30\15\ping_collision_summary.csv</t>
  </si>
  <si>
    <t>D:\CBP_2026.07.21\i#3\rrep\rrep#44_101_result\d#70\v#30\16\ping_collision_summary.csv</t>
  </si>
  <si>
    <t>D:\CBP_2026.07.21\i#3\rrep\rrep#44_101_result\d#70\v#30\17\ping_collision_summary.csv</t>
  </si>
  <si>
    <t>D:\CBP_2026.07.21\i#3\rrep\rrep#44_101_result\d#70\v#30\18\ping_collision_summary.csv</t>
  </si>
  <si>
    <t>D:\CBP_2026.07.21\i#3\rrep\rrep#44_101_result\d#70\v#30\19\ping_collision_summary.csv</t>
  </si>
  <si>
    <t>D:\CBP_2026.07.21\i#3\rrep\rrep#44_101_result\d#70\v#30\1\ping_collision_summary.csv</t>
  </si>
  <si>
    <t>D:\CBP_2026.07.21\i#3\rrep\rrep#44_101_result\d#70\v#30\20\ping_collision_summary.csv</t>
  </si>
  <si>
    <t>D:\CBP_2026.07.21\i#3\rrep\rrep#44_101_result\d#70\v#30\21\ping_collision_summary.csv</t>
  </si>
  <si>
    <t>D:\CBP_2026.07.21\i#3\rrep\rrep#44_101_result\d#70\v#30\22\ping_collision_summary.csv</t>
  </si>
  <si>
    <t>D:\CBP_2026.07.21\i#3\rrep\rrep#44_101_result\d#70\v#30\23\ping_collision_summary.csv</t>
  </si>
  <si>
    <t>D:\CBP_2026.07.21\i#3\rrep\rrep#44_101_result\d#70\v#30\24\ping_collision_summary.csv</t>
  </si>
  <si>
    <t>D:\CBP_2026.07.21\i#3\rrep\rrep#44_101_result\d#70\v#30\25\ping_collision_summary.csv</t>
  </si>
  <si>
    <t>D:\CBP_2026.07.21\i#3\rrep\rrep#44_101_result\d#70\v#30\26\ping_collision_summary.csv</t>
  </si>
  <si>
    <t>D:\CBP_2026.07.21\i#3\rrep\rrep#44_101_result\d#70\v#30\27\ping_collision_summary.csv</t>
  </si>
  <si>
    <t>D:\CBP_2026.07.21\i#3\rrep\rrep#44_101_result\d#70\v#30\28\ping_collision_summary.csv</t>
  </si>
  <si>
    <t>D:\CBP_2026.07.21\i#3\rrep\rrep#44_101_result\d#70\v#30\29\ping_collision_summary.csv</t>
  </si>
  <si>
    <t>D:\CBP_2026.07.21\i#3\rrep\rrep#44_101_result\d#70\v#30\2\ping_collision_summary.csv</t>
  </si>
  <si>
    <t>D:\CBP_2026.07.21\i#3\rrep\rrep#44_101_result\d#70\v#30\30\ping_collision_summary.csv</t>
  </si>
  <si>
    <t>D:\CBP_2026.07.21\i#3\rrep\rrep#44_101_result\d#70\v#30\3\ping_collision_summary.csv</t>
  </si>
  <si>
    <t>D:\CBP_2026.07.21\i#3\rrep\rrep#44_101_result\d#70\v#30\4\ping_collision_summary.csv</t>
  </si>
  <si>
    <t>D:\CBP_2026.07.21\i#3\rrep\rrep#44_101_result\d#70\v#30\5\ping_collision_summary.csv</t>
  </si>
  <si>
    <t>D:\CBP_2026.07.21\i#3\rrep\rrep#44_101_result\d#70\v#30\6\ping_collision_summary.csv</t>
  </si>
  <si>
    <t>D:\CBP_2026.07.21\i#3\rrep\rrep#44_101_result\d#70\v#30\7\ping_collision_summary.csv</t>
  </si>
  <si>
    <t>D:\CBP_2026.07.21\i#3\rrep\rrep#44_101_result\d#70\v#30\8\ping_collision_summary.csv</t>
  </si>
  <si>
    <t>D:\CBP_2026.07.21\i#3\rrep\rrep#44_101_result\d#70\v#30\9\ping_collision_summary.csv</t>
  </si>
  <si>
    <t>D:\CBP_2026.07.21\i#3\rreq\rreq#0_19_result\d#100\v#10\0\ping_collision_summary.csv</t>
  </si>
  <si>
    <t>D:\CBP_2026.07.21\i#3\rreq\rreq#0_19_result\d#100\v#10\10\ping_collision_summary.csv</t>
  </si>
  <si>
    <t>D:\CBP_2026.07.21\i#3\rreq\rreq#0_19_result\d#100\v#10\11\ping_collision_summary.csv</t>
  </si>
  <si>
    <t>D:\CBP_2026.07.21\i#3\rreq\rreq#0_19_result\d#100\v#10\12\ping_collision_summary.csv</t>
  </si>
  <si>
    <t>D:\CBP_2026.07.21\i#3\rreq\rreq#0_19_result\d#100\v#10\13\ping_collision_summary.csv</t>
  </si>
  <si>
    <t>D:\CBP_2026.07.21\i#3\rreq\rreq#0_19_result\d#100\v#10\14\ping_collision_summary.csv</t>
  </si>
  <si>
    <t>D:\CBP_2026.07.21\i#3\rreq\rreq#0_19_result\d#100\v#10\15\ping_collision_summary.csv</t>
  </si>
  <si>
    <t>D:\CBP_2026.07.21\i#3\rreq\rreq#0_19_result\d#100\v#10\16\ping_collision_summary.csv</t>
  </si>
  <si>
    <t>D:\CBP_2026.07.21\i#3\rreq\rreq#0_19_result\d#100\v#10\17\ping_collision_summary.csv</t>
  </si>
  <si>
    <t>D:\CBP_2026.07.21\i#3\rreq\rreq#0_19_result\d#100\v#10\18\ping_collision_summary.csv</t>
  </si>
  <si>
    <t>D:\CBP_2026.07.21\i#3\rreq\rreq#0_19_result\d#100\v#10\19\ping_collision_summary.csv</t>
  </si>
  <si>
    <t>D:\CBP_2026.07.21\i#3\rreq\rreq#0_19_result\d#100\v#10\1\ping_collision_summary.csv</t>
  </si>
  <si>
    <t>D:\CBP_2026.07.21\i#3\rreq\rreq#0_19_result\d#100\v#10\20\ping_collision_summary.csv</t>
  </si>
  <si>
    <t>D:\CBP_2026.07.21\i#3\rreq\rreq#0_19_result\d#100\v#10\21\ping_collision_summary.csv</t>
  </si>
  <si>
    <t>D:\CBP_2026.07.21\i#3\rreq\rreq#0_19_result\d#100\v#10\22\ping_collision_summary.csv</t>
  </si>
  <si>
    <t>D:\CBP_2026.07.21\i#3\rreq\rreq#0_19_result\d#100\v#10\23\ping_collision_summary.csv</t>
  </si>
  <si>
    <t>D:\CBP_2026.07.21\i#3\rreq\rreq#0_19_result\d#100\v#10\24\ping_collision_summary.csv</t>
  </si>
  <si>
    <t>D:\CBP_2026.07.21\i#3\rreq\rreq#0_19_result\d#100\v#10\25\ping_collision_summary.csv</t>
  </si>
  <si>
    <t>D:\CBP_2026.07.21\i#3\rreq\rreq#0_19_result\d#100\v#10\26\ping_collision_summary.csv</t>
  </si>
  <si>
    <t>D:\CBP_2026.07.21\i#3\rreq\rreq#0_19_result\d#100\v#10\27\ping_collision_summary.csv</t>
  </si>
  <si>
    <t>D:\CBP_2026.07.21\i#3\rreq\rreq#0_19_result\d#100\v#10\28\ping_collision_summary.csv</t>
  </si>
  <si>
    <t>D:\CBP_2026.07.21\i#3\rreq\rreq#0_19_result\d#100\v#10\29\ping_collision_summary.csv</t>
  </si>
  <si>
    <t>D:\CBP_2026.07.21\i#3\rreq\rreq#0_19_result\d#100\v#10\2\ping_collision_summary.csv</t>
  </si>
  <si>
    <t>D:\CBP_2026.07.21\i#3\rreq\rreq#0_19_result\d#100\v#10\30\ping_collision_summary.csv</t>
  </si>
  <si>
    <t>D:\CBP_2026.07.21\i#3\rreq\rreq#0_19_result\d#100\v#10\3\ping_collision_summary.csv</t>
  </si>
  <si>
    <t>D:\CBP_2026.07.21\i#3\rreq\rreq#0_19_result\d#100\v#10\4\ping_collision_summary.csv</t>
  </si>
  <si>
    <t>D:\CBP_2026.07.21\i#3\rreq\rreq#0_19_result\d#100\v#10\5\ping_collision_summary.csv</t>
  </si>
  <si>
    <t>D:\CBP_2026.07.21\i#3\rreq\rreq#0_19_result\d#100\v#10\6\ping_collision_summary.csv</t>
  </si>
  <si>
    <t>D:\CBP_2026.07.21\i#3\rreq\rreq#0_19_result\d#100\v#10\7\ping_collision_summary.csv</t>
  </si>
  <si>
    <t>D:\CBP_2026.07.21\i#3\rreq\rreq#0_19_result\d#100\v#10\8\ping_collision_summary.csv</t>
  </si>
  <si>
    <t>D:\CBP_2026.07.21\i#3\rreq\rreq#0_19_result\d#100\v#10\9\ping_collision_summary.csv</t>
  </si>
  <si>
    <t>D:\CBP_2026.07.21\i#3\rreq\rreq#0_19_result\d#100\v#20\0\ping_collision_summary.csv</t>
  </si>
  <si>
    <t>D:\CBP_2026.07.21\i#3\rreq\rreq#0_19_result\d#100\v#20\10\ping_collision_summary.csv</t>
  </si>
  <si>
    <t>D:\CBP_2026.07.21\i#3\rreq\rreq#0_19_result\d#100\v#20\11\ping_collision_summary.csv</t>
  </si>
  <si>
    <t>D:\CBP_2026.07.21\i#3\rreq\rreq#0_19_result\d#100\v#20\12\ping_collision_summary.csv</t>
  </si>
  <si>
    <t>D:\CBP_2026.07.21\i#3\rreq\rreq#0_19_result\d#100\v#20\13\ping_collision_summary.csv</t>
  </si>
  <si>
    <t>D:\CBP_2026.07.21\i#3\rreq\rreq#0_19_result\d#100\v#20\14\ping_collision_summary.csv</t>
  </si>
  <si>
    <t>D:\CBP_2026.07.21\i#3\rreq\rreq#0_19_result\d#100\v#20\15\ping_collision_summary.csv</t>
  </si>
  <si>
    <t>D:\CBP_2026.07.21\i#3\rreq\rreq#0_19_result\d#100\v#20\16\ping_collision_summary.csv</t>
  </si>
  <si>
    <t>D:\CBP_2026.07.21\i#3\rreq\rreq#0_19_result\d#100\v#20\17\ping_collision_summary.csv</t>
  </si>
  <si>
    <t>D:\CBP_2026.07.21\i#3\rreq\rreq#0_19_result\d#100\v#20\18\ping_collision_summary.csv</t>
  </si>
  <si>
    <t>D:\CBP_2026.07.21\i#3\rreq\rreq#0_19_result\d#100\v#20\19\ping_collision_summary.csv</t>
  </si>
  <si>
    <t>D:\CBP_2026.07.21\i#3\rreq\rreq#0_19_result\d#100\v#20\1\ping_collision_summary.csv</t>
  </si>
  <si>
    <t>D:\CBP_2026.07.21\i#3\rreq\rreq#0_19_result\d#100\v#20\20\ping_collision_summary.csv</t>
  </si>
  <si>
    <t>D:\CBP_2026.07.21\i#3\rreq\rreq#0_19_result\d#100\v#20\21\ping_collision_summary.csv</t>
  </si>
  <si>
    <t>D:\CBP_2026.07.21\i#3\rreq\rreq#0_19_result\d#100\v#20\22\ping_collision_summary.csv</t>
  </si>
  <si>
    <t>D:\CBP_2026.07.21\i#3\rreq\rreq#0_19_result\d#100\v#20\23\ping_collision_summary.csv</t>
  </si>
  <si>
    <t>D:\CBP_2026.07.21\i#3\rreq\rreq#0_19_result\d#100\v#20\24\ping_collision_summary.csv</t>
  </si>
  <si>
    <t>D:\CBP_2026.07.21\i#3\rreq\rreq#0_19_result\d#100\v#20\25\ping_collision_summary.csv</t>
  </si>
  <si>
    <t>D:\CBP_2026.07.21\i#3\rreq\rreq#0_19_result\d#100\v#20\26\ping_collision_summary.csv</t>
  </si>
  <si>
    <t>D:\CBP_2026.07.21\i#3\rreq\rreq#0_19_result\d#100\v#20\27\ping_collision_summary.csv</t>
  </si>
  <si>
    <t>D:\CBP_2026.07.21\i#3\rreq\rreq#0_19_result\d#100\v#20\28\ping_collision_summary.csv</t>
  </si>
  <si>
    <t>D:\CBP_2026.07.21\i#3\rreq\rreq#0_19_result\d#100\v#20\29\ping_collision_summary.csv</t>
  </si>
  <si>
    <t>D:\CBP_2026.07.21\i#3\rreq\rreq#0_19_result\d#100\v#20\2\ping_collision_summary.csv</t>
  </si>
  <si>
    <t>D:\CBP_2026.07.21\i#3\rreq\rreq#0_19_result\d#100\v#20\30\ping_collision_summary.csv</t>
  </si>
  <si>
    <t>D:\CBP_2026.07.21\i#3\rreq\rreq#0_19_result\d#100\v#20\3\ping_collision_summary.csv</t>
  </si>
  <si>
    <t>D:\CBP_2026.07.21\i#3\rreq\rreq#0_19_result\d#100\v#20\4\ping_collision_summary.csv</t>
  </si>
  <si>
    <t>D:\CBP_2026.07.21\i#3\rreq\rreq#0_19_result\d#100\v#20\5\ping_collision_summary.csv</t>
  </si>
  <si>
    <t>D:\CBP_2026.07.21\i#3\rreq\rreq#0_19_result\d#100\v#20\6\ping_collision_summary.csv</t>
  </si>
  <si>
    <t>D:\CBP_2026.07.21\i#3\rreq\rreq#0_19_result\d#100\v#20\7\ping_collision_summary.csv</t>
  </si>
  <si>
    <t>D:\CBP_2026.07.21\i#3\rreq\rreq#0_19_result\d#100\v#20\8\ping_collision_summary.csv</t>
  </si>
  <si>
    <t>D:\CBP_2026.07.21\i#3\rreq\rreq#0_19_result\d#100\v#20\9\ping_collision_summary.csv</t>
  </si>
  <si>
    <t>D:\CBP_2026.07.21\i#3\rreq\rreq#0_19_result\d#100\v#30\0\ping_collision_summary.csv</t>
  </si>
  <si>
    <t>D:\CBP_2026.07.21\i#3\rreq\rreq#0_19_result\d#100\v#30\10\ping_collision_summary.csv</t>
  </si>
  <si>
    <t>D:\CBP_2026.07.21\i#3\rreq\rreq#0_19_result\d#100\v#30\11\ping_collision_summary.csv</t>
  </si>
  <si>
    <t>D:\CBP_2026.07.21\i#3\rreq\rreq#0_19_result\d#100\v#30\12\ping_collision_summary.csv</t>
  </si>
  <si>
    <t>D:\CBP_2026.07.21\i#3\rreq\rreq#0_19_result\d#100\v#30\13\ping_collision_summary.csv</t>
  </si>
  <si>
    <t>D:\CBP_2026.07.21\i#3\rreq\rreq#0_19_result\d#100\v#30\14\ping_collision_summary.csv</t>
  </si>
  <si>
    <t>D:\CBP_2026.07.21\i#3\rreq\rreq#0_19_result\d#100\v#30\15\ping_collision_summary.csv</t>
  </si>
  <si>
    <t>D:\CBP_2026.07.21\i#3\rreq\rreq#0_19_result\d#100\v#30\16\ping_collision_summary.csv</t>
  </si>
  <si>
    <t>D:\CBP_2026.07.21\i#3\rreq\rreq#0_19_result\d#100\v#30\17\ping_collision_summary.csv</t>
  </si>
  <si>
    <t>D:\CBP_2026.07.21\i#3\rreq\rreq#0_19_result\d#100\v#30\18\ping_collision_summary.csv</t>
  </si>
  <si>
    <t>D:\CBP_2026.07.21\i#3\rreq\rreq#0_19_result\d#100\v#30\19\ping_collision_summary.csv</t>
  </si>
  <si>
    <t>D:\CBP_2026.07.21\i#3\rreq\rreq#0_19_result\d#100\v#30\1\ping_collision_summary.csv</t>
  </si>
  <si>
    <t>D:\CBP_2026.07.21\i#3\rreq\rreq#0_19_result\d#100\v#30\20\ping_collision_summary.csv</t>
  </si>
  <si>
    <t>D:\CBP_2026.07.21\i#3\rreq\rreq#0_19_result\d#100\v#30\21\ping_collision_summary.csv</t>
  </si>
  <si>
    <t>D:\CBP_2026.07.21\i#3\rreq\rreq#0_19_result\d#100\v#30\22\ping_collision_summary.csv</t>
  </si>
  <si>
    <t>D:\CBP_2026.07.21\i#3\rreq\rreq#0_19_result\d#100\v#30\23\ping_collision_summary.csv</t>
  </si>
  <si>
    <t>D:\CBP_2026.07.21\i#3\rreq\rreq#0_19_result\d#100\v#30\24\ping_collision_summary.csv</t>
  </si>
  <si>
    <t>D:\CBP_2026.07.21\i#3\rreq\rreq#0_19_result\d#100\v#30\25\ping_collision_summary.csv</t>
  </si>
  <si>
    <t>D:\CBP_2026.07.21\i#3\rreq\rreq#0_19_result\d#100\v#30\26\ping_collision_summary.csv</t>
  </si>
  <si>
    <t>D:\CBP_2026.07.21\i#3\rreq\rreq#0_19_result\d#100\v#30\27\ping_collision_summary.csv</t>
  </si>
  <si>
    <t>D:\CBP_2026.07.21\i#3\rreq\rreq#0_19_result\d#100\v#30\28\ping_collision_summary.csv</t>
  </si>
  <si>
    <t>D:\CBP_2026.07.21\i#3\rreq\rreq#0_19_result\d#100\v#30\29\ping_collision_summary.csv</t>
  </si>
  <si>
    <t>D:\CBP_2026.07.21\i#3\rreq\rreq#0_19_result\d#100\v#30\2\ping_collision_summary.csv</t>
  </si>
  <si>
    <t>D:\CBP_2026.07.21\i#3\rreq\rreq#0_19_result\d#100\v#30\30\ping_collision_summary.csv</t>
  </si>
  <si>
    <t>D:\CBP_2026.07.21\i#3\rreq\rreq#0_19_result\d#100\v#30\3\ping_collision_summary.csv</t>
  </si>
  <si>
    <t>D:\CBP_2026.07.21\i#3\rreq\rreq#0_19_result\d#100\v#30\4\ping_collision_summary.csv</t>
  </si>
  <si>
    <t>D:\CBP_2026.07.21\i#3\rreq\rreq#0_19_result\d#100\v#30\5\ping_collision_summary.csv</t>
  </si>
  <si>
    <t>D:\CBP_2026.07.21\i#3\rreq\rreq#0_19_result\d#100\v#30\6\ping_collision_summary.csv</t>
  </si>
  <si>
    <t>D:\CBP_2026.07.21\i#3\rreq\rreq#0_19_result\d#100\v#30\7\ping_collision_summary.csv</t>
  </si>
  <si>
    <t>D:\CBP_2026.07.21\i#3\rreq\rreq#0_19_result\d#100\v#30\8\ping_collision_summary.csv</t>
  </si>
  <si>
    <t>D:\CBP_2026.07.21\i#3\rreq\rreq#0_19_result\d#100\v#30\9\ping_collision_summary.csv</t>
  </si>
  <si>
    <t>D:\CBP_2026.07.21\i#3\rreq\rreq#0_19_result\d#120\v#10\0\ping_collision_summary.csv</t>
  </si>
  <si>
    <t>D:\CBP_2026.07.21\i#3\rreq\rreq#0_19_result\d#120\v#10\10\ping_collision_summary.csv</t>
  </si>
  <si>
    <t>D:\CBP_2026.07.21\i#3\rreq\rreq#0_19_result\d#120\v#10\11\ping_collision_summary.csv</t>
  </si>
  <si>
    <t>D:\CBP_2026.07.21\i#3\rreq\rreq#0_19_result\d#120\v#10\12\ping_collision_summary.csv</t>
  </si>
  <si>
    <t>D:\CBP_2026.07.21\i#3\rreq\rreq#0_19_result\d#120\v#10\13\ping_collision_summary.csv</t>
  </si>
  <si>
    <t>D:\CBP_2026.07.21\i#3\rreq\rreq#0_19_result\d#120\v#10\14\ping_collision_summary.csv</t>
  </si>
  <si>
    <t>D:\CBP_2026.07.21\i#3\rreq\rreq#0_19_result\d#120\v#10\15\ping_collision_summary.csv</t>
  </si>
  <si>
    <t>D:\CBP_2026.07.21\i#3\rreq\rreq#0_19_result\d#120\v#10\16\ping_collision_summary.csv</t>
  </si>
  <si>
    <t>D:\CBP_2026.07.21\i#3\rreq\rreq#0_19_result\d#120\v#10\17\ping_collision_summary.csv</t>
  </si>
  <si>
    <t>D:\CBP_2026.07.21\i#3\rreq\rreq#0_19_result\d#120\v#10\18\ping_collision_summary.csv</t>
  </si>
  <si>
    <t>D:\CBP_2026.07.21\i#3\rreq\rreq#0_19_result\d#120\v#10\19\ping_collision_summary.csv</t>
  </si>
  <si>
    <t>D:\CBP_2026.07.21\i#3\rreq\rreq#0_19_result\d#120\v#10\1\ping_collision_summary.csv</t>
  </si>
  <si>
    <t>D:\CBP_2026.07.21\i#3\rreq\rreq#0_19_result\d#120\v#10\20\ping_collision_summary.csv</t>
  </si>
  <si>
    <t>D:\CBP_2026.07.21\i#3\rreq\rreq#0_19_result\d#120\v#10\21\ping_collision_summary.csv</t>
  </si>
  <si>
    <t>D:\CBP_2026.07.21\i#3\rreq\rreq#0_19_result\d#120\v#10\22\ping_collision_summary.csv</t>
  </si>
  <si>
    <t>D:\CBP_2026.07.21\i#3\rreq\rreq#0_19_result\d#120\v#10\23\ping_collision_summary.csv</t>
  </si>
  <si>
    <t>D:\CBP_2026.07.21\i#3\rreq\rreq#0_19_result\d#120\v#10\24\ping_collision_summary.csv</t>
  </si>
  <si>
    <t>D:\CBP_2026.07.21\i#3\rreq\rreq#0_19_result\d#120\v#10\25\ping_collision_summary.csv</t>
  </si>
  <si>
    <t>D:\CBP_2026.07.21\i#3\rreq\rreq#0_19_result\d#120\v#10\26\ping_collision_summary.csv</t>
  </si>
  <si>
    <t>D:\CBP_2026.07.21\i#3\rreq\rreq#0_19_result\d#120\v#10\27\ping_collision_summary.csv</t>
  </si>
  <si>
    <t>D:\CBP_2026.07.21\i#3\rreq\rreq#0_19_result\d#120\v#10\28\ping_collision_summary.csv</t>
  </si>
  <si>
    <t>D:\CBP_2026.07.21\i#3\rreq\rreq#0_19_result\d#120\v#10\29\ping_collision_summary.csv</t>
  </si>
  <si>
    <t>D:\CBP_2026.07.21\i#3\rreq\rreq#0_19_result\d#120\v#10\2\ping_collision_summary.csv</t>
  </si>
  <si>
    <t>D:\CBP_2026.07.21\i#3\rreq\rreq#0_19_result\d#120\v#10\30\ping_collision_summary.csv</t>
  </si>
  <si>
    <t>D:\CBP_2026.07.21\i#3\rreq\rreq#0_19_result\d#120\v#10\3\ping_collision_summary.csv</t>
  </si>
  <si>
    <t>D:\CBP_2026.07.21\i#3\rreq\rreq#0_19_result\d#120\v#10\4\ping_collision_summary.csv</t>
  </si>
  <si>
    <t>D:\CBP_2026.07.21\i#3\rreq\rreq#0_19_result\d#120\v#10\5\ping_collision_summary.csv</t>
  </si>
  <si>
    <t>D:\CBP_2026.07.21\i#3\rreq\rreq#0_19_result\d#120\v#10\6\ping_collision_summary.csv</t>
  </si>
  <si>
    <t>D:\CBP_2026.07.21\i#3\rreq\rreq#0_19_result\d#120\v#10\7\ping_collision_summary.csv</t>
  </si>
  <si>
    <t>D:\CBP_2026.07.21\i#3\rreq\rreq#0_19_result\d#120\v#10\8\ping_collision_summary.csv</t>
  </si>
  <si>
    <t>D:\CBP_2026.07.21\i#3\rreq\rreq#0_19_result\d#120\v#10\9\ping_collision_summary.csv</t>
  </si>
  <si>
    <t>D:\CBP_2026.07.21\i#3\rreq\rreq#0_19_result\d#120\v#20\0\ping_collision_summary.csv</t>
  </si>
  <si>
    <t>D:\CBP_2026.07.21\i#3\rreq\rreq#0_19_result\d#120\v#20\10\ping_collision_summary.csv</t>
  </si>
  <si>
    <t>D:\CBP_2026.07.21\i#3\rreq\rreq#0_19_result\d#120\v#20\11\ping_collision_summary.csv</t>
  </si>
  <si>
    <t>D:\CBP_2026.07.21\i#3\rreq\rreq#0_19_result\d#120\v#20\12\ping_collision_summary.csv</t>
  </si>
  <si>
    <t>D:\CBP_2026.07.21\i#3\rreq\rreq#0_19_result\d#120\v#20\13\ping_collision_summary.csv</t>
  </si>
  <si>
    <t>D:\CBP_2026.07.21\i#3\rreq\rreq#0_19_result\d#120\v#20\14\ping_collision_summary.csv</t>
  </si>
  <si>
    <t>D:\CBP_2026.07.21\i#3\rreq\rreq#0_19_result\d#120\v#20\15\ping_collision_summary.csv</t>
  </si>
  <si>
    <t>D:\CBP_2026.07.21\i#3\rreq\rreq#0_19_result\d#120\v#20\16\ping_collision_summary.csv</t>
  </si>
  <si>
    <t>D:\CBP_2026.07.21\i#3\rreq\rreq#0_19_result\d#120\v#20\17\ping_collision_summary.csv</t>
  </si>
  <si>
    <t>D:\CBP_2026.07.21\i#3\rreq\rreq#0_19_result\d#120\v#20\18\ping_collision_summary.csv</t>
  </si>
  <si>
    <t>D:\CBP_2026.07.21\i#3\rreq\rreq#0_19_result\d#120\v#20\19\ping_collision_summary.csv</t>
  </si>
  <si>
    <t>D:\CBP_2026.07.21\i#3\rreq\rreq#0_19_result\d#120\v#20\1\ping_collision_summary.csv</t>
  </si>
  <si>
    <t>D:\CBP_2026.07.21\i#3\rreq\rreq#0_19_result\d#120\v#20\20\ping_collision_summary.csv</t>
  </si>
  <si>
    <t>D:\CBP_2026.07.21\i#3\rreq\rreq#0_19_result\d#120\v#20\21\ping_collision_summary.csv</t>
  </si>
  <si>
    <t>D:\CBP_2026.07.21\i#3\rreq\rreq#0_19_result\d#120\v#20\22\ping_collision_summary.csv</t>
  </si>
  <si>
    <t>D:\CBP_2026.07.21\i#3\rreq\rreq#0_19_result\d#120\v#20\23\ping_collision_summary.csv</t>
  </si>
  <si>
    <t>D:\CBP_2026.07.21\i#3\rreq\rreq#0_19_result\d#120\v#20\24\ping_collision_summary.csv</t>
  </si>
  <si>
    <t>D:\CBP_2026.07.21\i#3\rreq\rreq#0_19_result\d#120\v#20\25\ping_collision_summary.csv</t>
  </si>
  <si>
    <t>D:\CBP_2026.07.21\i#3\rreq\rreq#0_19_result\d#120\v#20\26\ping_collision_summary.csv</t>
  </si>
  <si>
    <t>D:\CBP_2026.07.21\i#3\rreq\rreq#0_19_result\d#120\v#20\27\ping_collision_summary.csv</t>
  </si>
  <si>
    <t>D:\CBP_2026.07.21\i#3\rreq\rreq#0_19_result\d#120\v#20\28\ping_collision_summary.csv</t>
  </si>
  <si>
    <t>D:\CBP_2026.07.21\i#3\rreq\rreq#0_19_result\d#120\v#20\29\ping_collision_summary.csv</t>
  </si>
  <si>
    <t>D:\CBP_2026.07.21\i#3\rreq\rreq#0_19_result\d#120\v#20\2\ping_collision_summary.csv</t>
  </si>
  <si>
    <t>D:\CBP_2026.07.21\i#3\rreq\rreq#0_19_result\d#120\v#20\30\ping_collision_summary.csv</t>
  </si>
  <si>
    <t>D:\CBP_2026.07.21\i#3\rreq\rreq#0_19_result\d#120\v#20\3\ping_collision_summary.csv</t>
  </si>
  <si>
    <t>D:\CBP_2026.07.21\i#3\rreq\rreq#0_19_result\d#120\v#20\4\ping_collision_summary.csv</t>
  </si>
  <si>
    <t>D:\CBP_2026.07.21\i#3\rreq\rreq#0_19_result\d#120\v#20\5\ping_collision_summary.csv</t>
  </si>
  <si>
    <t>D:\CBP_2026.07.21\i#3\rreq\rreq#0_19_result\d#120\v#20\6\ping_collision_summary.csv</t>
  </si>
  <si>
    <t>D:\CBP_2026.07.21\i#3\rreq\rreq#0_19_result\d#120\v#20\7\ping_collision_summary.csv</t>
  </si>
  <si>
    <t>D:\CBP_2026.07.21\i#3\rreq\rreq#0_19_result\d#120\v#20\8\ping_collision_summary.csv</t>
  </si>
  <si>
    <t>D:\CBP_2026.07.21\i#3\rreq\rreq#0_19_result\d#120\v#20\9\ping_collision_summary.csv</t>
  </si>
  <si>
    <t>D:\CBP_2026.07.21\i#3\rreq\rreq#0_19_result\d#120\v#30\0\ping_collision_summary.csv</t>
  </si>
  <si>
    <t>D:\CBP_2026.07.21\i#3\rreq\rreq#0_19_result\d#120\v#30\10\ping_collision_summary.csv</t>
  </si>
  <si>
    <t>D:\CBP_2026.07.21\i#3\rreq\rreq#0_19_result\d#120\v#30\11\ping_collision_summary.csv</t>
  </si>
  <si>
    <t>D:\CBP_2026.07.21\i#3\rreq\rreq#0_19_result\d#120\v#30\12\ping_collision_summary.csv</t>
  </si>
  <si>
    <t>D:\CBP_2026.07.21\i#3\rreq\rreq#0_19_result\d#120\v#30\13\ping_collision_summary.csv</t>
  </si>
  <si>
    <t>D:\CBP_2026.07.21\i#3\rreq\rreq#0_19_result\d#120\v#30\14\ping_collision_summary.csv</t>
  </si>
  <si>
    <t>D:\CBP_2026.07.21\i#3\rreq\rreq#0_19_result\d#120\v#30\15\ping_collision_summary.csv</t>
  </si>
  <si>
    <t>D:\CBP_2026.07.21\i#3\rreq\rreq#0_19_result\d#120\v#30\16\ping_collision_summary.csv</t>
  </si>
  <si>
    <t>D:\CBP_2026.07.21\i#3\rreq\rreq#0_19_result\d#120\v#30\17\ping_collision_summary.csv</t>
  </si>
  <si>
    <t>D:\CBP_2026.07.21\i#3\rreq\rreq#0_19_result\d#120\v#30\18\ping_collision_summary.csv</t>
  </si>
  <si>
    <t>D:\CBP_2026.07.21\i#3\rreq\rreq#0_19_result\d#120\v#30\19\ping_collision_summary.csv</t>
  </si>
  <si>
    <t>D:\CBP_2026.07.21\i#3\rreq\rreq#0_19_result\d#120\v#30\1\ping_collision_summary.csv</t>
  </si>
  <si>
    <t>D:\CBP_2026.07.21\i#3\rreq\rreq#0_19_result\d#120\v#30\20\ping_collision_summary.csv</t>
  </si>
  <si>
    <t>D:\CBP_2026.07.21\i#3\rreq\rreq#0_19_result\d#120\v#30\21\ping_collision_summary.csv</t>
  </si>
  <si>
    <t>D:\CBP_2026.07.21\i#3\rreq\rreq#0_19_result\d#120\v#30\22\ping_collision_summary.csv</t>
  </si>
  <si>
    <t>D:\CBP_2026.07.21\i#3\rreq\rreq#0_19_result\d#120\v#30\23\ping_collision_summary.csv</t>
  </si>
  <si>
    <t>D:\CBP_2026.07.21\i#3\rreq\rreq#0_19_result\d#120\v#30\24\ping_collision_summary.csv</t>
  </si>
  <si>
    <t>D:\CBP_2026.07.21\i#3\rreq\rreq#0_19_result\d#120\v#30\25\ping_collision_summary.csv</t>
  </si>
  <si>
    <t>D:\CBP_2026.07.21\i#3\rreq\rreq#0_19_result\d#120\v#30\26\ping_collision_summary.csv</t>
  </si>
  <si>
    <t>D:\CBP_2026.07.21\i#3\rreq\rreq#0_19_result\d#120\v#30\27\ping_collision_summary.csv</t>
  </si>
  <si>
    <t>D:\CBP_2026.07.21\i#3\rreq\rreq#0_19_result\d#120\v#30\28\ping_collision_summary.csv</t>
  </si>
  <si>
    <t>D:\CBP_2026.07.21\i#3\rreq\rreq#0_19_result\d#120\v#30\29\ping_collision_summary.csv</t>
  </si>
  <si>
    <t>D:\CBP_2026.07.21\i#3\rreq\rreq#0_19_result\d#120\v#30\2\ping_collision_summary.csv</t>
  </si>
  <si>
    <t>D:\CBP_2026.07.21\i#3\rreq\rreq#0_19_result\d#120\v#30\30\ping_collision_summary.csv</t>
  </si>
  <si>
    <t>D:\CBP_2026.07.21\i#3\rreq\rreq#0_19_result\d#120\v#30\3\ping_collision_summary.csv</t>
  </si>
  <si>
    <t>D:\CBP_2026.07.21\i#3\rreq\rreq#0_19_result\d#120\v#30\4\ping_collision_summary.csv</t>
  </si>
  <si>
    <t>D:\CBP_2026.07.21\i#3\rreq\rreq#0_19_result\d#120\v#30\5\ping_collision_summary.csv</t>
  </si>
  <si>
    <t>D:\CBP_2026.07.21\i#3\rreq\rreq#0_19_result\d#120\v#30\6\ping_collision_summary.csv</t>
  </si>
  <si>
    <t>D:\CBP_2026.07.21\i#3\rreq\rreq#0_19_result\d#120\v#30\7\ping_collision_summary.csv</t>
  </si>
  <si>
    <t>D:\CBP_2026.07.21\i#3\rreq\rreq#0_19_result\d#120\v#30\8\ping_collision_summary.csv</t>
  </si>
  <si>
    <t>D:\CBP_2026.07.21\i#3\rreq\rreq#0_19_result\d#120\v#30\9\ping_collision_summary.csv</t>
  </si>
  <si>
    <t>D:\CBP_2026.07.21\i#3\rreq\rreq#0_19_result\d#70\v#10\0\ping_collision_summary.csv</t>
  </si>
  <si>
    <t>D:\CBP_2026.07.21\i#3\rreq\rreq#0_19_result\d#70\v#10\10\ping_collision_summary.csv</t>
  </si>
  <si>
    <t>D:\CBP_2026.07.21\i#3\rreq\rreq#0_19_result\d#70\v#10\11\ping_collision_summary.csv</t>
  </si>
  <si>
    <t>D:\CBP_2026.07.21\i#3\rreq\rreq#0_19_result\d#70\v#10\12\ping_collision_summary.csv</t>
  </si>
  <si>
    <t>D:\CBP_2026.07.21\i#3\rreq\rreq#0_19_result\d#70\v#10\13\ping_collision_summary.csv</t>
  </si>
  <si>
    <t>D:\CBP_2026.07.21\i#3\rreq\rreq#0_19_result\d#70\v#10\14\ping_collision_summary.csv</t>
  </si>
  <si>
    <t>D:\CBP_2026.07.21\i#3\rreq\rreq#0_19_result\d#70\v#10\15\ping_collision_summary.csv</t>
  </si>
  <si>
    <t>D:\CBP_2026.07.21\i#3\rreq\rreq#0_19_result\d#70\v#10\16\ping_collision_summary.csv</t>
  </si>
  <si>
    <t>D:\CBP_2026.07.21\i#3\rreq\rreq#0_19_result\d#70\v#10\17\ping_collision_summary.csv</t>
  </si>
  <si>
    <t>D:\CBP_2026.07.21\i#3\rreq\rreq#0_19_result\d#70\v#10\18\ping_collision_summary.csv</t>
  </si>
  <si>
    <t>D:\CBP_2026.07.21\i#3\rreq\rreq#0_19_result\d#70\v#10\19\ping_collision_summary.csv</t>
  </si>
  <si>
    <t>D:\CBP_2026.07.21\i#3\rreq\rreq#0_19_result\d#70\v#10\1\ping_collision_summary.csv</t>
  </si>
  <si>
    <t>D:\CBP_2026.07.21\i#3\rreq\rreq#0_19_result\d#70\v#10\20\ping_collision_summary.csv</t>
  </si>
  <si>
    <t>D:\CBP_2026.07.21\i#3\rreq\rreq#0_19_result\d#70\v#10\21\ping_collision_summary.csv</t>
  </si>
  <si>
    <t>D:\CBP_2026.07.21\i#3\rreq\rreq#0_19_result\d#70\v#10\22\ping_collision_summary.csv</t>
  </si>
  <si>
    <t>D:\CBP_2026.07.21\i#3\rreq\rreq#0_19_result\d#70\v#10\23\ping_collision_summary.csv</t>
  </si>
  <si>
    <t>D:\CBP_2026.07.21\i#3\rreq\rreq#0_19_result\d#70\v#10\24\ping_collision_summary.csv</t>
  </si>
  <si>
    <t>D:\CBP_2026.07.21\i#3\rreq\rreq#0_19_result\d#70\v#10\25\ping_collision_summary.csv</t>
  </si>
  <si>
    <t>D:\CBP_2026.07.21\i#3\rreq\rreq#0_19_result\d#70\v#10\26\ping_collision_summary.csv</t>
  </si>
  <si>
    <t>D:\CBP_2026.07.21\i#3\rreq\rreq#0_19_result\d#70\v#10\27\ping_collision_summary.csv</t>
  </si>
  <si>
    <t>D:\CBP_2026.07.21\i#3\rreq\rreq#0_19_result\d#70\v#10\28\ping_collision_summary.csv</t>
  </si>
  <si>
    <t>D:\CBP_2026.07.21\i#3\rreq\rreq#0_19_result\d#70\v#10\29\ping_collision_summary.csv</t>
  </si>
  <si>
    <t>D:\CBP_2026.07.21\i#3\rreq\rreq#0_19_result\d#70\v#10\2\ping_collision_summary.csv</t>
  </si>
  <si>
    <t>D:\CBP_2026.07.21\i#3\rreq\rreq#0_19_result\d#70\v#10\30\ping_collision_summary.csv</t>
  </si>
  <si>
    <t>D:\CBP_2026.07.21\i#3\rreq\rreq#0_19_result\d#70\v#10\3\ping_collision_summary.csv</t>
  </si>
  <si>
    <t>D:\CBP_2026.07.21\i#3\rreq\rreq#0_19_result\d#70\v#10\4\ping_collision_summary.csv</t>
  </si>
  <si>
    <t>D:\CBP_2026.07.21\i#3\rreq\rreq#0_19_result\d#70\v#10\5\ping_collision_summary.csv</t>
  </si>
  <si>
    <t>D:\CBP_2026.07.21\i#3\rreq\rreq#0_19_result\d#70\v#10\6\ping_collision_summary.csv</t>
  </si>
  <si>
    <t>D:\CBP_2026.07.21\i#3\rreq\rreq#0_19_result\d#70\v#10\7\ping_collision_summary.csv</t>
  </si>
  <si>
    <t>D:\CBP_2026.07.21\i#3\rreq\rreq#0_19_result\d#70\v#10\8\ping_collision_summary.csv</t>
  </si>
  <si>
    <t>D:\CBP_2026.07.21\i#3\rreq\rreq#0_19_result\d#70\v#10\9\ping_collision_summary.csv</t>
  </si>
  <si>
    <t>D:\CBP_2026.07.21\i#3\rreq\rreq#0_19_result\d#70\v#20\0\ping_collision_summary.csv</t>
  </si>
  <si>
    <t>D:\CBP_2026.07.21\i#3\rreq\rreq#0_19_result\d#70\v#20\10\ping_collision_summary.csv</t>
  </si>
  <si>
    <t>D:\CBP_2026.07.21\i#3\rreq\rreq#0_19_result\d#70\v#20\11\ping_collision_summary.csv</t>
  </si>
  <si>
    <t>D:\CBP_2026.07.21\i#3\rreq\rreq#0_19_result\d#70\v#20\12\ping_collision_summary.csv</t>
  </si>
  <si>
    <t>D:\CBP_2026.07.21\i#3\rreq\rreq#0_19_result\d#70\v#20\13\ping_collision_summary.csv</t>
  </si>
  <si>
    <t>D:\CBP_2026.07.21\i#3\rreq\rreq#0_19_result\d#70\v#20\14\ping_collision_summary.csv</t>
  </si>
  <si>
    <t>D:\CBP_2026.07.21\i#3\rreq\rreq#0_19_result\d#70\v#20\15\ping_collision_summary.csv</t>
  </si>
  <si>
    <t>D:\CBP_2026.07.21\i#3\rreq\rreq#0_19_result\d#70\v#20\16\ping_collision_summary.csv</t>
  </si>
  <si>
    <t>D:\CBP_2026.07.21\i#3\rreq\rreq#0_19_result\d#70\v#20\17\ping_collision_summary.csv</t>
  </si>
  <si>
    <t>D:\CBP_2026.07.21\i#3\rreq\rreq#0_19_result\d#70\v#20\18\ping_collision_summary.csv</t>
  </si>
  <si>
    <t>D:\CBP_2026.07.21\i#3\rreq\rreq#0_19_result\d#70\v#20\19\ping_collision_summary.csv</t>
  </si>
  <si>
    <t>D:\CBP_2026.07.21\i#3\rreq\rreq#0_19_result\d#70\v#20\1\ping_collision_summary.csv</t>
  </si>
  <si>
    <t>D:\CBP_2026.07.21\i#3\rreq\rreq#0_19_result\d#70\v#20\20\ping_collision_summary.csv</t>
  </si>
  <si>
    <t>D:\CBP_2026.07.21\i#3\rreq\rreq#0_19_result\d#70\v#20\21\ping_collision_summary.csv</t>
  </si>
  <si>
    <t>D:\CBP_2026.07.21\i#3\rreq\rreq#0_19_result\d#70\v#20\22\ping_collision_summary.csv</t>
  </si>
  <si>
    <t>D:\CBP_2026.07.21\i#3\rreq\rreq#0_19_result\d#70\v#20\23\ping_collision_summary.csv</t>
  </si>
  <si>
    <t>D:\CBP_2026.07.21\i#3\rreq\rreq#0_19_result\d#70\v#20\24\ping_collision_summary.csv</t>
  </si>
  <si>
    <t>D:\CBP_2026.07.21\i#3\rreq\rreq#0_19_result\d#70\v#20\25\ping_collision_summary.csv</t>
  </si>
  <si>
    <t>D:\CBP_2026.07.21\i#3\rreq\rreq#0_19_result\d#70\v#20\26\ping_collision_summary.csv</t>
  </si>
  <si>
    <t>D:\CBP_2026.07.21\i#3\rreq\rreq#0_19_result\d#70\v#20\27\ping_collision_summary.csv</t>
  </si>
  <si>
    <t>D:\CBP_2026.07.21\i#3\rreq\rreq#0_19_result\d#70\v#20\28\ping_collision_summary.csv</t>
  </si>
  <si>
    <t>D:\CBP_2026.07.21\i#3\rreq\rreq#0_19_result\d#70\v#20\29\ping_collision_summary.csv</t>
  </si>
  <si>
    <t>D:\CBP_2026.07.21\i#3\rreq\rreq#0_19_result\d#70\v#20\2\ping_collision_summary.csv</t>
  </si>
  <si>
    <t>D:\CBP_2026.07.21\i#3\rreq\rreq#0_19_result\d#70\v#20\30\ping_collision_summary.csv</t>
  </si>
  <si>
    <t>D:\CBP_2026.07.21\i#3\rreq\rreq#0_19_result\d#70\v#20\3\ping_collision_summary.csv</t>
  </si>
  <si>
    <t>D:\CBP_2026.07.21\i#3\rreq\rreq#0_19_result\d#70\v#20\4\ping_collision_summary.csv</t>
  </si>
  <si>
    <t>D:\CBP_2026.07.21\i#3\rreq\rreq#0_19_result\d#70\v#20\5\ping_collision_summary.csv</t>
  </si>
  <si>
    <t>D:\CBP_2026.07.21\i#3\rreq\rreq#0_19_result\d#70\v#20\6\ping_collision_summary.csv</t>
  </si>
  <si>
    <t>D:\CBP_2026.07.21\i#3\rreq\rreq#0_19_result\d#70\v#20\7\ping_collision_summary.csv</t>
  </si>
  <si>
    <t>D:\CBP_2026.07.21\i#3\rreq\rreq#0_19_result\d#70\v#20\8\ping_collision_summary.csv</t>
  </si>
  <si>
    <t>D:\CBP_2026.07.21\i#3\rreq\rreq#0_19_result\d#70\v#20\9\ping_collision_summary.csv</t>
  </si>
  <si>
    <t>D:\CBP_2026.07.21\i#3\rreq\rreq#0_19_result\d#70\v#30\0\ping_collision_summary.csv</t>
  </si>
  <si>
    <t>D:\CBP_2026.07.21\i#3\rreq\rreq#0_19_result\d#70\v#30\10\ping_collision_summary.csv</t>
  </si>
  <si>
    <t>D:\CBP_2026.07.21\i#3\rreq\rreq#0_19_result\d#70\v#30\11\ping_collision_summary.csv</t>
  </si>
  <si>
    <t>D:\CBP_2026.07.21\i#3\rreq\rreq#0_19_result\d#70\v#30\12\ping_collision_summary.csv</t>
  </si>
  <si>
    <t>D:\CBP_2026.07.21\i#3\rreq\rreq#0_19_result\d#70\v#30\13\ping_collision_summary.csv</t>
  </si>
  <si>
    <t>D:\CBP_2026.07.21\i#3\rreq\rreq#0_19_result\d#70\v#30\14\ping_collision_summary.csv</t>
  </si>
  <si>
    <t>D:\CBP_2026.07.21\i#3\rreq\rreq#0_19_result\d#70\v#30\15\ping_collision_summary.csv</t>
  </si>
  <si>
    <t>D:\CBP_2026.07.21\i#3\rreq\rreq#0_19_result\d#70\v#30\16\ping_collision_summary.csv</t>
  </si>
  <si>
    <t>D:\CBP_2026.07.21\i#3\rreq\rreq#0_19_result\d#70\v#30\17\ping_collision_summary.csv</t>
  </si>
  <si>
    <t>D:\CBP_2026.07.21\i#3\rreq\rreq#0_19_result\d#70\v#30\18\ping_collision_summary.csv</t>
  </si>
  <si>
    <t>D:\CBP_2026.07.21\i#3\rreq\rreq#0_19_result\d#70\v#30\19\ping_collision_summary.csv</t>
  </si>
  <si>
    <t>D:\CBP_2026.07.21\i#3\rreq\rreq#0_19_result\d#70\v#30\1\ping_collision_summary.csv</t>
  </si>
  <si>
    <t>D:\CBP_2026.07.21\i#3\rreq\rreq#0_19_result\d#70\v#30\20\ping_collision_summary.csv</t>
  </si>
  <si>
    <t>D:\CBP_2026.07.21\i#3\rreq\rreq#0_19_result\d#70\v#30\21\ping_collision_summary.csv</t>
  </si>
  <si>
    <t>D:\CBP_2026.07.21\i#3\rreq\rreq#0_19_result\d#70\v#30\22\ping_collision_summary.csv</t>
  </si>
  <si>
    <t>D:\CBP_2026.07.21\i#3\rreq\rreq#0_19_result\d#70\v#30\23\ping_collision_summary.csv</t>
  </si>
  <si>
    <t>D:\CBP_2026.07.21\i#3\rreq\rreq#0_19_result\d#70\v#30\24\ping_collision_summary.csv</t>
  </si>
  <si>
    <t>D:\CBP_2026.07.21\i#3\rreq\rreq#0_19_result\d#70\v#30\25\ping_collision_summary.csv</t>
  </si>
  <si>
    <t>D:\CBP_2026.07.21\i#3\rreq\rreq#0_19_result\d#70\v#30\26\ping_collision_summary.csv</t>
  </si>
  <si>
    <t>D:\CBP_2026.07.21\i#3\rreq\rreq#0_19_result\d#70\v#30\27\ping_collision_summary.csv</t>
  </si>
  <si>
    <t>D:\CBP_2026.07.21\i#3\rreq\rreq#0_19_result\d#70\v#30\28\ping_collision_summary.csv</t>
  </si>
  <si>
    <t>D:\CBP_2026.07.21\i#3\rreq\rreq#0_19_result\d#70\v#30\29\ping_collision_summary.csv</t>
  </si>
  <si>
    <t>D:\CBP_2026.07.21\i#3\rreq\rreq#0_19_result\d#70\v#30\2\ping_collision_summary.csv</t>
  </si>
  <si>
    <t>D:\CBP_2026.07.21\i#3\rreq\rreq#0_19_result\d#70\v#30\30\ping_collision_summary.csv</t>
  </si>
  <si>
    <t>D:\CBP_2026.07.21\i#3\rreq\rreq#0_19_result\d#70\v#30\3\ping_collision_summary.csv</t>
  </si>
  <si>
    <t>D:\CBP_2026.07.21\i#3\rreq\rreq#0_19_result\d#70\v#30\4\ping_collision_summary.csv</t>
  </si>
  <si>
    <t>D:\CBP_2026.07.21\i#3\rreq\rreq#0_19_result\d#70\v#30\5\ping_collision_summary.csv</t>
  </si>
  <si>
    <t>D:\CBP_2026.07.21\i#3\rreq\rreq#0_19_result\d#70\v#30\6\ping_collision_summary.csv</t>
  </si>
  <si>
    <t>D:\CBP_2026.07.21\i#3\rreq\rreq#0_19_result\d#70\v#30\7\ping_collision_summary.csv</t>
  </si>
  <si>
    <t>D:\CBP_2026.07.21\i#3\rreq\rreq#0_19_result\d#70\v#30\8\ping_collision_summary.csv</t>
  </si>
  <si>
    <t>D:\CBP_2026.07.21\i#3\rreq\rreq#0_19_result\d#70\v#30\9\ping_collision_summary.csv</t>
  </si>
  <si>
    <t>D:\CBP_2026.07.21\i#3\rreq\rreq#19_32_result\d#100\v#10\0\ping_collision_summary.csv</t>
  </si>
  <si>
    <t>D:\CBP_2026.07.21\i#3\rreq\rreq#19_32_result\d#100\v#10\10\ping_collision_summary.csv</t>
  </si>
  <si>
    <t>D:\CBP_2026.07.21\i#3\rreq\rreq#19_32_result\d#100\v#10\11\ping_collision_summary.csv</t>
  </si>
  <si>
    <t>D:\CBP_2026.07.21\i#3\rreq\rreq#19_32_result\d#100\v#10\12\ping_collision_summary.csv</t>
  </si>
  <si>
    <t>D:\CBP_2026.07.21\i#3\rreq\rreq#19_32_result\d#100\v#10\13\ping_collision_summary.csv</t>
  </si>
  <si>
    <t>D:\CBP_2026.07.21\i#3\rreq\rreq#19_32_result\d#100\v#10\14\ping_collision_summary.csv</t>
  </si>
  <si>
    <t>D:\CBP_2026.07.21\i#3\rreq\rreq#19_32_result\d#100\v#10\15\ping_collision_summary.csv</t>
  </si>
  <si>
    <t>D:\CBP_2026.07.21\i#3\rreq\rreq#19_32_result\d#100\v#10\16\ping_collision_summary.csv</t>
  </si>
  <si>
    <t>D:\CBP_2026.07.21\i#3\rreq\rreq#19_32_result\d#100\v#10\17\ping_collision_summary.csv</t>
  </si>
  <si>
    <t>D:\CBP_2026.07.21\i#3\rreq\rreq#19_32_result\d#100\v#10\18\ping_collision_summary.csv</t>
  </si>
  <si>
    <t>D:\CBP_2026.07.21\i#3\rreq\rreq#19_32_result\d#100\v#10\19\ping_collision_summary.csv</t>
  </si>
  <si>
    <t>D:\CBP_2026.07.21\i#3\rreq\rreq#19_32_result\d#100\v#10\1\ping_collision_summary.csv</t>
  </si>
  <si>
    <t>D:\CBP_2026.07.21\i#3\rreq\rreq#19_32_result\d#100\v#10\20\ping_collision_summary.csv</t>
  </si>
  <si>
    <t>D:\CBP_2026.07.21\i#3\rreq\rreq#19_32_result\d#100\v#10\21\ping_collision_summary.csv</t>
  </si>
  <si>
    <t>D:\CBP_2026.07.21\i#3\rreq\rreq#19_32_result\d#100\v#10\22\ping_collision_summary.csv</t>
  </si>
  <si>
    <t>D:\CBP_2026.07.21\i#3\rreq\rreq#19_32_result\d#100\v#10\23\ping_collision_summary.csv</t>
  </si>
  <si>
    <t>D:\CBP_2026.07.21\i#3\rreq\rreq#19_32_result\d#100\v#10\24\ping_collision_summary.csv</t>
  </si>
  <si>
    <t>D:\CBP_2026.07.21\i#3\rreq\rreq#19_32_result\d#100\v#10\25\ping_collision_summary.csv</t>
  </si>
  <si>
    <t>D:\CBP_2026.07.21\i#3\rreq\rreq#19_32_result\d#100\v#10\26\ping_collision_summary.csv</t>
  </si>
  <si>
    <t>D:\CBP_2026.07.21\i#3\rreq\rreq#19_32_result\d#100\v#10\27\ping_collision_summary.csv</t>
  </si>
  <si>
    <t>D:\CBP_2026.07.21\i#3\rreq\rreq#19_32_result\d#100\v#10\28\ping_collision_summary.csv</t>
  </si>
  <si>
    <t>D:\CBP_2026.07.21\i#3\rreq\rreq#19_32_result\d#100\v#10\29\ping_collision_summary.csv</t>
  </si>
  <si>
    <t>D:\CBP_2026.07.21\i#3\rreq\rreq#19_32_result\d#100\v#10\2\ping_collision_summary.csv</t>
  </si>
  <si>
    <t>D:\CBP_2026.07.21\i#3\rreq\rreq#19_32_result\d#100\v#10\30\ping_collision_summary.csv</t>
  </si>
  <si>
    <t>D:\CBP_2026.07.21\i#3\rreq\rreq#19_32_result\d#100\v#10\3\ping_collision_summary.csv</t>
  </si>
  <si>
    <t>D:\CBP_2026.07.21\i#3\rreq\rreq#19_32_result\d#100\v#10\4\ping_collision_summary.csv</t>
  </si>
  <si>
    <t>D:\CBP_2026.07.21\i#3\rreq\rreq#19_32_result\d#100\v#10\5\ping_collision_summary.csv</t>
  </si>
  <si>
    <t>D:\CBP_2026.07.21\i#3\rreq\rreq#19_32_result\d#100\v#10\6\ping_collision_summary.csv</t>
  </si>
  <si>
    <t>D:\CBP_2026.07.21\i#3\rreq\rreq#19_32_result\d#100\v#10\7\ping_collision_summary.csv</t>
  </si>
  <si>
    <t>D:\CBP_2026.07.21\i#3\rreq\rreq#19_32_result\d#100\v#10\8\ping_collision_summary.csv</t>
  </si>
  <si>
    <t>D:\CBP_2026.07.21\i#3\rreq\rreq#19_32_result\d#100\v#10\9\ping_collision_summary.csv</t>
  </si>
  <si>
    <t>D:\CBP_2026.07.21\i#3\rreq\rreq#19_32_result\d#100\v#20\0\ping_collision_summary.csv</t>
  </si>
  <si>
    <t>D:\CBP_2026.07.21\i#3\rreq\rreq#19_32_result\d#100\v#20\10\ping_collision_summary.csv</t>
  </si>
  <si>
    <t>D:\CBP_2026.07.21\i#3\rreq\rreq#19_32_result\d#100\v#20\11\ping_collision_summary.csv</t>
  </si>
  <si>
    <t>D:\CBP_2026.07.21\i#3\rreq\rreq#19_32_result\d#100\v#20\12\ping_collision_summary.csv</t>
  </si>
  <si>
    <t>D:\CBP_2026.07.21\i#3\rreq\rreq#19_32_result\d#100\v#20\13\ping_collision_summary.csv</t>
  </si>
  <si>
    <t>D:\CBP_2026.07.21\i#3\rreq\rreq#19_32_result\d#100\v#20\14\ping_collision_summary.csv</t>
  </si>
  <si>
    <t>D:\CBP_2026.07.21\i#3\rreq\rreq#19_32_result\d#100\v#20\15\ping_collision_summary.csv</t>
  </si>
  <si>
    <t>D:\CBP_2026.07.21\i#3\rreq\rreq#19_32_result\d#100\v#20\16\ping_collision_summary.csv</t>
  </si>
  <si>
    <t>D:\CBP_2026.07.21\i#3\rreq\rreq#19_32_result\d#100\v#20\17\ping_collision_summary.csv</t>
  </si>
  <si>
    <t>D:\CBP_2026.07.21\i#3\rreq\rreq#19_32_result\d#100\v#20\18\ping_collision_summary.csv</t>
  </si>
  <si>
    <t>D:\CBP_2026.07.21\i#3\rreq\rreq#19_32_result\d#100\v#20\19\ping_collision_summary.csv</t>
  </si>
  <si>
    <t>D:\CBP_2026.07.21\i#3\rreq\rreq#19_32_result\d#100\v#20\1\ping_collision_summary.csv</t>
  </si>
  <si>
    <t>D:\CBP_2026.07.21\i#3\rreq\rreq#19_32_result\d#100\v#20\20\ping_collision_summary.csv</t>
  </si>
  <si>
    <t>D:\CBP_2026.07.21\i#3\rreq\rreq#19_32_result\d#100\v#20\21\ping_collision_summary.csv</t>
  </si>
  <si>
    <t>D:\CBP_2026.07.21\i#3\rreq\rreq#19_32_result\d#100\v#20\22\ping_collision_summary.csv</t>
  </si>
  <si>
    <t>D:\CBP_2026.07.21\i#3\rreq\rreq#19_32_result\d#100\v#20\23\ping_collision_summary.csv</t>
  </si>
  <si>
    <t>D:\CBP_2026.07.21\i#3\rreq\rreq#19_32_result\d#100\v#20\24\ping_collision_summary.csv</t>
  </si>
  <si>
    <t>D:\CBP_2026.07.21\i#3\rreq\rreq#19_32_result\d#100\v#20\25\ping_collision_summary.csv</t>
  </si>
  <si>
    <t>D:\CBP_2026.07.21\i#3\rreq\rreq#19_32_result\d#100\v#20\26\ping_collision_summary.csv</t>
  </si>
  <si>
    <t>D:\CBP_2026.07.21\i#3\rreq\rreq#19_32_result\d#100\v#20\27\ping_collision_summary.csv</t>
  </si>
  <si>
    <t>D:\CBP_2026.07.21\i#3\rreq\rreq#19_32_result\d#100\v#20\28\ping_collision_summary.csv</t>
  </si>
  <si>
    <t>D:\CBP_2026.07.21\i#3\rreq\rreq#19_32_result\d#100\v#20\29\ping_collision_summary.csv</t>
  </si>
  <si>
    <t>D:\CBP_2026.07.21\i#3\rreq\rreq#19_32_result\d#100\v#20\2\ping_collision_summary.csv</t>
  </si>
  <si>
    <t>D:\CBP_2026.07.21\i#3\rreq\rreq#19_32_result\d#100\v#20\30\ping_collision_summary.csv</t>
  </si>
  <si>
    <t>D:\CBP_2026.07.21\i#3\rreq\rreq#19_32_result\d#100\v#20\3\ping_collision_summary.csv</t>
  </si>
  <si>
    <t>D:\CBP_2026.07.21\i#3\rreq\rreq#19_32_result\d#100\v#20\4\ping_collision_summary.csv</t>
  </si>
  <si>
    <t>D:\CBP_2026.07.21\i#3\rreq\rreq#19_32_result\d#100\v#20\5\ping_collision_summary.csv</t>
  </si>
  <si>
    <t>D:\CBP_2026.07.21\i#3\rreq\rreq#19_32_result\d#100\v#20\6\ping_collision_summary.csv</t>
  </si>
  <si>
    <t>D:\CBP_2026.07.21\i#3\rreq\rreq#19_32_result\d#100\v#20\7\ping_collision_summary.csv</t>
  </si>
  <si>
    <t>D:\CBP_2026.07.21\i#3\rreq\rreq#19_32_result\d#100\v#20\8\ping_collision_summary.csv</t>
  </si>
  <si>
    <t>D:\CBP_2026.07.21\i#3\rreq\rreq#19_32_result\d#100\v#20\9\ping_collision_summary.csv</t>
  </si>
  <si>
    <t>D:\CBP_2026.07.21\i#3\rreq\rreq#19_32_result\d#100\v#30\0\ping_collision_summary.csv</t>
  </si>
  <si>
    <t>D:\CBP_2026.07.21\i#3\rreq\rreq#19_32_result\d#100\v#30\10\ping_collision_summary.csv</t>
  </si>
  <si>
    <t>D:\CBP_2026.07.21\i#3\rreq\rreq#19_32_result\d#100\v#30\11\ping_collision_summary.csv</t>
  </si>
  <si>
    <t>D:\CBP_2026.07.21\i#3\rreq\rreq#19_32_result\d#100\v#30\12\ping_collision_summary.csv</t>
  </si>
  <si>
    <t>D:\CBP_2026.07.21\i#3\rreq\rreq#19_32_result\d#100\v#30\13\ping_collision_summary.csv</t>
  </si>
  <si>
    <t>D:\CBP_2026.07.21\i#3\rreq\rreq#19_32_result\d#100\v#30\14\ping_collision_summary.csv</t>
  </si>
  <si>
    <t>D:\CBP_2026.07.21\i#3\rreq\rreq#19_32_result\d#100\v#30\15\ping_collision_summary.csv</t>
  </si>
  <si>
    <t>D:\CBP_2026.07.21\i#3\rreq\rreq#19_32_result\d#100\v#30\16\ping_collision_summary.csv</t>
  </si>
  <si>
    <t>D:\CBP_2026.07.21\i#3\rreq\rreq#19_32_result\d#100\v#30\17\ping_collision_summary.csv</t>
  </si>
  <si>
    <t>D:\CBP_2026.07.21\i#3\rreq\rreq#19_32_result\d#100\v#30\18\ping_collision_summary.csv</t>
  </si>
  <si>
    <t>D:\CBP_2026.07.21\i#3\rreq\rreq#19_32_result\d#100\v#30\19\ping_collision_summary.csv</t>
  </si>
  <si>
    <t>D:\CBP_2026.07.21\i#3\rreq\rreq#19_32_result\d#100\v#30\1\ping_collision_summary.csv</t>
  </si>
  <si>
    <t>D:\CBP_2026.07.21\i#3\rreq\rreq#19_32_result\d#100\v#30\20\ping_collision_summary.csv</t>
  </si>
  <si>
    <t>D:\CBP_2026.07.21\i#3\rreq\rreq#19_32_result\d#100\v#30\21\ping_collision_summary.csv</t>
  </si>
  <si>
    <t>D:\CBP_2026.07.21\i#3\rreq\rreq#19_32_result\d#100\v#30\22\ping_collision_summary.csv</t>
  </si>
  <si>
    <t>D:\CBP_2026.07.21\i#3\rreq\rreq#19_32_result\d#100\v#30\23\ping_collision_summary.csv</t>
  </si>
  <si>
    <t>D:\CBP_2026.07.21\i#3\rreq\rreq#19_32_result\d#100\v#30\24\ping_collision_summary.csv</t>
  </si>
  <si>
    <t>D:\CBP_2026.07.21\i#3\rreq\rreq#19_32_result\d#100\v#30\25\ping_collision_summary.csv</t>
  </si>
  <si>
    <t>D:\CBP_2026.07.21\i#3\rreq\rreq#19_32_result\d#100\v#30\26\ping_collision_summary.csv</t>
  </si>
  <si>
    <t>D:\CBP_2026.07.21\i#3\rreq\rreq#19_32_result\d#100\v#30\27\ping_collision_summary.csv</t>
  </si>
  <si>
    <t>D:\CBP_2026.07.21\i#3\rreq\rreq#19_32_result\d#100\v#30\28\ping_collision_summary.csv</t>
  </si>
  <si>
    <t>D:\CBP_2026.07.21\i#3\rreq\rreq#19_32_result\d#100\v#30\29\ping_collision_summary.csv</t>
  </si>
  <si>
    <t>D:\CBP_2026.07.21\i#3\rreq\rreq#19_32_result\d#100\v#30\2\ping_collision_summary.csv</t>
  </si>
  <si>
    <t>D:\CBP_2026.07.21\i#3\rreq\rreq#19_32_result\d#100\v#30\30\ping_collision_summary.csv</t>
  </si>
  <si>
    <t>D:\CBP_2026.07.21\i#3\rreq\rreq#19_32_result\d#100\v#30\3\ping_collision_summary.csv</t>
  </si>
  <si>
    <t>D:\CBP_2026.07.21\i#3\rreq\rreq#19_32_result\d#100\v#30\4\ping_collision_summary.csv</t>
  </si>
  <si>
    <t>D:\CBP_2026.07.21\i#3\rreq\rreq#19_32_result\d#100\v#30\5\ping_collision_summary.csv</t>
  </si>
  <si>
    <t>D:\CBP_2026.07.21\i#3\rreq\rreq#19_32_result\d#100\v#30\6\ping_collision_summary.csv</t>
  </si>
  <si>
    <t>D:\CBP_2026.07.21\i#3\rreq\rreq#19_32_result\d#100\v#30\7\ping_collision_summary.csv</t>
  </si>
  <si>
    <t>D:\CBP_2026.07.21\i#3\rreq\rreq#19_32_result\d#100\v#30\8\ping_collision_summary.csv</t>
  </si>
  <si>
    <t>D:\CBP_2026.07.21\i#3\rreq\rreq#19_32_result\d#100\v#30\9\ping_collision_summary.csv</t>
  </si>
  <si>
    <t>D:\CBP_2026.07.21\i#3\rreq\rreq#19_32_result\d#120\v#10\0\ping_collision_summary.csv</t>
  </si>
  <si>
    <t>D:\CBP_2026.07.21\i#3\rreq\rreq#19_32_result\d#120\v#10\10\ping_collision_summary.csv</t>
  </si>
  <si>
    <t>D:\CBP_2026.07.21\i#3\rreq\rreq#19_32_result\d#120\v#10\11\ping_collision_summary.csv</t>
  </si>
  <si>
    <t>D:\CBP_2026.07.21\i#3\rreq\rreq#19_32_result\d#120\v#10\12\ping_collision_summary.csv</t>
  </si>
  <si>
    <t>D:\CBP_2026.07.21\i#3\rreq\rreq#19_32_result\d#120\v#10\13\ping_collision_summary.csv</t>
  </si>
  <si>
    <t>D:\CBP_2026.07.21\i#3\rreq\rreq#19_32_result\d#120\v#10\14\ping_collision_summary.csv</t>
  </si>
  <si>
    <t>D:\CBP_2026.07.21\i#3\rreq\rreq#19_32_result\d#120\v#10\15\ping_collision_summary.csv</t>
  </si>
  <si>
    <t>D:\CBP_2026.07.21\i#3\rreq\rreq#19_32_result\d#120\v#10\16\ping_collision_summary.csv</t>
  </si>
  <si>
    <t>D:\CBP_2026.07.21\i#3\rreq\rreq#19_32_result\d#120\v#10\17\ping_collision_summary.csv</t>
  </si>
  <si>
    <t>D:\CBP_2026.07.21\i#3\rreq\rreq#19_32_result\d#120\v#10\18\ping_collision_summary.csv</t>
  </si>
  <si>
    <t>D:\CBP_2026.07.21\i#3\rreq\rreq#19_32_result\d#120\v#10\19\ping_collision_summary.csv</t>
  </si>
  <si>
    <t>D:\CBP_2026.07.21\i#3\rreq\rreq#19_32_result\d#120\v#10\1\ping_collision_summary.csv</t>
  </si>
  <si>
    <t>D:\CBP_2026.07.21\i#3\rreq\rreq#19_32_result\d#120\v#10\20\ping_collision_summary.csv</t>
  </si>
  <si>
    <t>D:\CBP_2026.07.21\i#3\rreq\rreq#19_32_result\d#120\v#10\21\ping_collision_summary.csv</t>
  </si>
  <si>
    <t>D:\CBP_2026.07.21\i#3\rreq\rreq#19_32_result\d#120\v#10\22\ping_collision_summary.csv</t>
  </si>
  <si>
    <t>D:\CBP_2026.07.21\i#3\rreq\rreq#19_32_result\d#120\v#10\23\ping_collision_summary.csv</t>
  </si>
  <si>
    <t>D:\CBP_2026.07.21\i#3\rreq\rreq#19_32_result\d#120\v#10\24\ping_collision_summary.csv</t>
  </si>
  <si>
    <t>D:\CBP_2026.07.21\i#3\rreq\rreq#19_32_result\d#120\v#10\25\ping_collision_summary.csv</t>
  </si>
  <si>
    <t>D:\CBP_2026.07.21\i#3\rreq\rreq#19_32_result\d#120\v#10\26\ping_collision_summary.csv</t>
  </si>
  <si>
    <t>D:\CBP_2026.07.21\i#3\rreq\rreq#19_32_result\d#120\v#10\27\ping_collision_summary.csv</t>
  </si>
  <si>
    <t>D:\CBP_2026.07.21\i#3\rreq\rreq#19_32_result\d#120\v#10\28\ping_collision_summary.csv</t>
  </si>
  <si>
    <t>D:\CBP_2026.07.21\i#3\rreq\rreq#19_32_result\d#120\v#10\29\ping_collision_summary.csv</t>
  </si>
  <si>
    <t>D:\CBP_2026.07.21\i#3\rreq\rreq#19_32_result\d#120\v#10\2\ping_collision_summary.csv</t>
  </si>
  <si>
    <t>D:\CBP_2026.07.21\i#3\rreq\rreq#19_32_result\d#120\v#10\30\ping_collision_summary.csv</t>
  </si>
  <si>
    <t>D:\CBP_2026.07.21\i#3\rreq\rreq#19_32_result\d#120\v#10\3\ping_collision_summary.csv</t>
  </si>
  <si>
    <t>D:\CBP_2026.07.21\i#3\rreq\rreq#19_32_result\d#120\v#10\4\ping_collision_summary.csv</t>
  </si>
  <si>
    <t>D:\CBP_2026.07.21\i#3\rreq\rreq#19_32_result\d#120\v#10\5\ping_collision_summary.csv</t>
  </si>
  <si>
    <t>D:\CBP_2026.07.21\i#3\rreq\rreq#19_32_result\d#120\v#10\6\ping_collision_summary.csv</t>
  </si>
  <si>
    <t>D:\CBP_2026.07.21\i#3\rreq\rreq#19_32_result\d#120\v#10\7\ping_collision_summary.csv</t>
  </si>
  <si>
    <t>D:\CBP_2026.07.21\i#3\rreq\rreq#19_32_result\d#120\v#10\8\ping_collision_summary.csv</t>
  </si>
  <si>
    <t>D:\CBP_2026.07.21\i#3\rreq\rreq#19_32_result\d#120\v#10\9\ping_collision_summary.csv</t>
  </si>
  <si>
    <t>D:\CBP_2026.07.21\i#3\rreq\rreq#19_32_result\d#120\v#20\0\ping_collision_summary.csv</t>
  </si>
  <si>
    <t>D:\CBP_2026.07.21\i#3\rreq\rreq#19_32_result\d#120\v#20\10\ping_collision_summary.csv</t>
  </si>
  <si>
    <t>D:\CBP_2026.07.21\i#3\rreq\rreq#19_32_result\d#120\v#20\11\ping_collision_summary.csv</t>
  </si>
  <si>
    <t>D:\CBP_2026.07.21\i#3\rreq\rreq#19_32_result\d#120\v#20\12\ping_collision_summary.csv</t>
  </si>
  <si>
    <t>D:\CBP_2026.07.21\i#3\rreq\rreq#19_32_result\d#120\v#20\13\ping_collision_summary.csv</t>
  </si>
  <si>
    <t>D:\CBP_2026.07.21\i#3\rreq\rreq#19_32_result\d#120\v#20\14\ping_collision_summary.csv</t>
  </si>
  <si>
    <t>D:\CBP_2026.07.21\i#3\rreq\rreq#19_32_result\d#120\v#20\15\ping_collision_summary.csv</t>
  </si>
  <si>
    <t>D:\CBP_2026.07.21\i#3\rreq\rreq#19_32_result\d#120\v#20\16\ping_collision_summary.csv</t>
  </si>
  <si>
    <t>D:\CBP_2026.07.21\i#3\rreq\rreq#19_32_result\d#120\v#20\17\ping_collision_summary.csv</t>
  </si>
  <si>
    <t>D:\CBP_2026.07.21\i#3\rreq\rreq#19_32_result\d#120\v#20\18\ping_collision_summary.csv</t>
  </si>
  <si>
    <t>D:\CBP_2026.07.21\i#3\rreq\rreq#19_32_result\d#120\v#20\19\ping_collision_summary.csv</t>
  </si>
  <si>
    <t>D:\CBP_2026.07.21\i#3\rreq\rreq#19_32_result\d#120\v#20\1\ping_collision_summary.csv</t>
  </si>
  <si>
    <t>D:\CBP_2026.07.21\i#3\rreq\rreq#19_32_result\d#120\v#20\20\ping_collision_summary.csv</t>
  </si>
  <si>
    <t>D:\CBP_2026.07.21\i#3\rreq\rreq#19_32_result\d#120\v#20\21\ping_collision_summary.csv</t>
  </si>
  <si>
    <t>D:\CBP_2026.07.21\i#3\rreq\rreq#19_32_result\d#120\v#20\22\ping_collision_summary.csv</t>
  </si>
  <si>
    <t>D:\CBP_2026.07.21\i#3\rreq\rreq#19_32_result\d#120\v#20\23\ping_collision_summary.csv</t>
  </si>
  <si>
    <t>D:\CBP_2026.07.21\i#3\rreq\rreq#19_32_result\d#120\v#20\24\ping_collision_summary.csv</t>
  </si>
  <si>
    <t>D:\CBP_2026.07.21\i#3\rreq\rreq#19_32_result\d#120\v#20\25\ping_collision_summary.csv</t>
  </si>
  <si>
    <t>D:\CBP_2026.07.21\i#3\rreq\rreq#19_32_result\d#120\v#20\26\ping_collision_summary.csv</t>
  </si>
  <si>
    <t>D:\CBP_2026.07.21\i#3\rreq\rreq#19_32_result\d#120\v#20\27\ping_collision_summary.csv</t>
  </si>
  <si>
    <t>D:\CBP_2026.07.21\i#3\rreq\rreq#19_32_result\d#120\v#20\28\ping_collision_summary.csv</t>
  </si>
  <si>
    <t>D:\CBP_2026.07.21\i#3\rreq\rreq#19_32_result\d#120\v#20\29\ping_collision_summary.csv</t>
  </si>
  <si>
    <t>D:\CBP_2026.07.21\i#3\rreq\rreq#19_32_result\d#120\v#20\2\ping_collision_summary.csv</t>
  </si>
  <si>
    <t>D:\CBP_2026.07.21\i#3\rreq\rreq#19_32_result\d#120\v#20\30\ping_collision_summary.csv</t>
  </si>
  <si>
    <t>D:\CBP_2026.07.21\i#3\rreq\rreq#19_32_result\d#120\v#20\3\ping_collision_summary.csv</t>
  </si>
  <si>
    <t>D:\CBP_2026.07.21\i#3\rreq\rreq#19_32_result\d#120\v#20\4\ping_collision_summary.csv</t>
  </si>
  <si>
    <t>D:\CBP_2026.07.21\i#3\rreq\rreq#19_32_result\d#120\v#20\5\ping_collision_summary.csv</t>
  </si>
  <si>
    <t>D:\CBP_2026.07.21\i#3\rreq\rreq#19_32_result\d#120\v#20\6\ping_collision_summary.csv</t>
  </si>
  <si>
    <t>D:\CBP_2026.07.21\i#3\rreq\rreq#19_32_result\d#120\v#20\7\ping_collision_summary.csv</t>
  </si>
  <si>
    <t>D:\CBP_2026.07.21\i#3\rreq\rreq#19_32_result\d#120\v#20\8\ping_collision_summary.csv</t>
  </si>
  <si>
    <t>D:\CBP_2026.07.21\i#3\rreq\rreq#19_32_result\d#120\v#20\9\ping_collision_summary.csv</t>
  </si>
  <si>
    <t>D:\CBP_2026.07.21\i#3\rreq\rreq#19_32_result\d#120\v#30\0\ping_collision_summary.csv</t>
  </si>
  <si>
    <t>D:\CBP_2026.07.21\i#3\rreq\rreq#19_32_result\d#120\v#30\10\ping_collision_summary.csv</t>
  </si>
  <si>
    <t>D:\CBP_2026.07.21\i#3\rreq\rreq#19_32_result\d#120\v#30\11\ping_collision_summary.csv</t>
  </si>
  <si>
    <t>D:\CBP_2026.07.21\i#3\rreq\rreq#19_32_result\d#120\v#30\12\ping_collision_summary.csv</t>
  </si>
  <si>
    <t>D:\CBP_2026.07.21\i#3\rreq\rreq#19_32_result\d#120\v#30\13\ping_collision_summary.csv</t>
  </si>
  <si>
    <t>D:\CBP_2026.07.21\i#3\rreq\rreq#19_32_result\d#120\v#30\14\ping_collision_summary.csv</t>
  </si>
  <si>
    <t>D:\CBP_2026.07.21\i#3\rreq\rreq#19_32_result\d#120\v#30\15\ping_collision_summary.csv</t>
  </si>
  <si>
    <t>D:\CBP_2026.07.21\i#3\rreq\rreq#19_32_result\d#120\v#30\16\ping_collision_summary.csv</t>
  </si>
  <si>
    <t>D:\CBP_2026.07.21\i#3\rreq\rreq#19_32_result\d#120\v#30\17\ping_collision_summary.csv</t>
  </si>
  <si>
    <t>D:\CBP_2026.07.21\i#3\rreq\rreq#19_32_result\d#120\v#30\18\ping_collision_summary.csv</t>
  </si>
  <si>
    <t>D:\CBP_2026.07.21\i#3\rreq\rreq#19_32_result\d#120\v#30\19\ping_collision_summary.csv</t>
  </si>
  <si>
    <t>D:\CBP_2026.07.21\i#3\rreq\rreq#19_32_result\d#120\v#30\1\ping_collision_summary.csv</t>
  </si>
  <si>
    <t>D:\CBP_2026.07.21\i#3\rreq\rreq#19_32_result\d#120\v#30\20\ping_collision_summary.csv</t>
  </si>
  <si>
    <t>D:\CBP_2026.07.21\i#3\rreq\rreq#19_32_result\d#120\v#30\21\ping_collision_summary.csv</t>
  </si>
  <si>
    <t>D:\CBP_2026.07.21\i#3\rreq\rreq#19_32_result\d#120\v#30\22\ping_collision_summary.csv</t>
  </si>
  <si>
    <t>D:\CBP_2026.07.21\i#3\rreq\rreq#19_32_result\d#120\v#30\23\ping_collision_summary.csv</t>
  </si>
  <si>
    <t>D:\CBP_2026.07.21\i#3\rreq\rreq#19_32_result\d#120\v#30\24\ping_collision_summary.csv</t>
  </si>
  <si>
    <t>D:\CBP_2026.07.21\i#3\rreq\rreq#19_32_result\d#120\v#30\25\ping_collision_summary.csv</t>
  </si>
  <si>
    <t>D:\CBP_2026.07.21\i#3\rreq\rreq#19_32_result\d#120\v#30\26\ping_collision_summary.csv</t>
  </si>
  <si>
    <t>D:\CBP_2026.07.21\i#3\rreq\rreq#19_32_result\d#120\v#30\27\ping_collision_summary.csv</t>
  </si>
  <si>
    <t>D:\CBP_2026.07.21\i#3\rreq\rreq#19_32_result\d#120\v#30\28\ping_collision_summary.csv</t>
  </si>
  <si>
    <t>D:\CBP_2026.07.21\i#3\rreq\rreq#19_32_result\d#120\v#30\29\ping_collision_summary.csv</t>
  </si>
  <si>
    <t>D:\CBP_2026.07.21\i#3\rreq\rreq#19_32_result\d#120\v#30\2\ping_collision_summary.csv</t>
  </si>
  <si>
    <t>D:\CBP_2026.07.21\i#3\rreq\rreq#19_32_result\d#120\v#30\30\ping_collision_summary.csv</t>
  </si>
  <si>
    <t>D:\CBP_2026.07.21\i#3\rreq\rreq#19_32_result\d#120\v#30\3\ping_collision_summary.csv</t>
  </si>
  <si>
    <t>D:\CBP_2026.07.21\i#3\rreq\rreq#19_32_result\d#120\v#30\4\ping_collision_summary.csv</t>
  </si>
  <si>
    <t>D:\CBP_2026.07.21\i#3\rreq\rreq#19_32_result\d#120\v#30\5\ping_collision_summary.csv</t>
  </si>
  <si>
    <t>D:\CBP_2026.07.21\i#3\rreq\rreq#19_32_result\d#120\v#30\6\ping_collision_summary.csv</t>
  </si>
  <si>
    <t>D:\CBP_2026.07.21\i#3\rreq\rreq#19_32_result\d#120\v#30\7\ping_collision_summary.csv</t>
  </si>
  <si>
    <t>D:\CBP_2026.07.21\i#3\rreq\rreq#19_32_result\d#120\v#30\8\ping_collision_summary.csv</t>
  </si>
  <si>
    <t>D:\CBP_2026.07.21\i#3\rreq\rreq#19_32_result\d#120\v#30\9\ping_collision_summary.csv</t>
  </si>
  <si>
    <t>D:\CBP_2026.07.21\i#3\rreq\rreq#19_32_result\d#70\v#10\0\ping_collision_summary.csv</t>
  </si>
  <si>
    <t>D:\CBP_2026.07.21\i#3\rreq\rreq#19_32_result\d#70\v#10\10\ping_collision_summary.csv</t>
  </si>
  <si>
    <t>D:\CBP_2026.07.21\i#3\rreq\rreq#19_32_result\d#70\v#10\11\ping_collision_summary.csv</t>
  </si>
  <si>
    <t>D:\CBP_2026.07.21\i#3\rreq\rreq#19_32_result\d#70\v#10\12\ping_collision_summary.csv</t>
  </si>
  <si>
    <t>D:\CBP_2026.07.21\i#3\rreq\rreq#19_32_result\d#70\v#10\13\ping_collision_summary.csv</t>
  </si>
  <si>
    <t>D:\CBP_2026.07.21\i#3\rreq\rreq#19_32_result\d#70\v#10\14\ping_collision_summary.csv</t>
  </si>
  <si>
    <t>D:\CBP_2026.07.21\i#3\rreq\rreq#19_32_result\d#70\v#10\15\ping_collision_summary.csv</t>
  </si>
  <si>
    <t>D:\CBP_2026.07.21\i#3\rreq\rreq#19_32_result\d#70\v#10\16\ping_collision_summary.csv</t>
  </si>
  <si>
    <t>D:\CBP_2026.07.21\i#3\rreq\rreq#19_32_result\d#70\v#10\17\ping_collision_summary.csv</t>
  </si>
  <si>
    <t>D:\CBP_2026.07.21\i#3\rreq\rreq#19_32_result\d#70\v#10\18\ping_collision_summary.csv</t>
  </si>
  <si>
    <t>D:\CBP_2026.07.21\i#3\rreq\rreq#19_32_result\d#70\v#10\19\ping_collision_summary.csv</t>
  </si>
  <si>
    <t>D:\CBP_2026.07.21\i#3\rreq\rreq#19_32_result\d#70\v#10\1\ping_collision_summary.csv</t>
  </si>
  <si>
    <t>D:\CBP_2026.07.21\i#3\rreq\rreq#19_32_result\d#70\v#10\20\ping_collision_summary.csv</t>
  </si>
  <si>
    <t>D:\CBP_2026.07.21\i#3\rreq\rreq#19_32_result\d#70\v#10\21\ping_collision_summary.csv</t>
  </si>
  <si>
    <t>D:\CBP_2026.07.21\i#3\rreq\rreq#19_32_result\d#70\v#10\22\ping_collision_summary.csv</t>
  </si>
  <si>
    <t>D:\CBP_2026.07.21\i#3\rreq\rreq#19_32_result\d#70\v#10\23\ping_collision_summary.csv</t>
  </si>
  <si>
    <t>D:\CBP_2026.07.21\i#3\rreq\rreq#19_32_result\d#70\v#10\24\ping_collision_summary.csv</t>
  </si>
  <si>
    <t>D:\CBP_2026.07.21\i#3\rreq\rreq#19_32_result\d#70\v#10\25\ping_collision_summary.csv</t>
  </si>
  <si>
    <t>D:\CBP_2026.07.21\i#3\rreq\rreq#19_32_result\d#70\v#10\26\ping_collision_summary.csv</t>
  </si>
  <si>
    <t>D:\CBP_2026.07.21\i#3\rreq\rreq#19_32_result\d#70\v#10\27\ping_collision_summary.csv</t>
  </si>
  <si>
    <t>D:\CBP_2026.07.21\i#3\rreq\rreq#19_32_result\d#70\v#10\28\ping_collision_summary.csv</t>
  </si>
  <si>
    <t>D:\CBP_2026.07.21\i#3\rreq\rreq#19_32_result\d#70\v#10\29\ping_collision_summary.csv</t>
  </si>
  <si>
    <t>D:\CBP_2026.07.21\i#3\rreq\rreq#19_32_result\d#70\v#10\2\ping_collision_summary.csv</t>
  </si>
  <si>
    <t>D:\CBP_2026.07.21\i#3\rreq\rreq#19_32_result\d#70\v#10\30\ping_collision_summary.csv</t>
  </si>
  <si>
    <t>D:\CBP_2026.07.21\i#3\rreq\rreq#19_32_result\d#70\v#10\3\ping_collision_summary.csv</t>
  </si>
  <si>
    <t>D:\CBP_2026.07.21\i#3\rreq\rreq#19_32_result\d#70\v#10\4\ping_collision_summary.csv</t>
  </si>
  <si>
    <t>D:\CBP_2026.07.21\i#3\rreq\rreq#19_32_result\d#70\v#10\5\ping_collision_summary.csv</t>
  </si>
  <si>
    <t>D:\CBP_2026.07.21\i#3\rreq\rreq#19_32_result\d#70\v#10\6\ping_collision_summary.csv</t>
  </si>
  <si>
    <t>D:\CBP_2026.07.21\i#3\rreq\rreq#19_32_result\d#70\v#10\7\ping_collision_summary.csv</t>
  </si>
  <si>
    <t>D:\CBP_2026.07.21\i#3\rreq\rreq#19_32_result\d#70\v#10\8\ping_collision_summary.csv</t>
  </si>
  <si>
    <t>D:\CBP_2026.07.21\i#3\rreq\rreq#19_32_result\d#70\v#10\9\ping_collision_summary.csv</t>
  </si>
  <si>
    <t>D:\CBP_2026.07.21\i#3\rreq\rreq#19_32_result\d#70\v#20\0\ping_collision_summary.csv</t>
  </si>
  <si>
    <t>D:\CBP_2026.07.21\i#3\rreq\rreq#19_32_result\d#70\v#20\10\ping_collision_summary.csv</t>
  </si>
  <si>
    <t>D:\CBP_2026.07.21\i#3\rreq\rreq#19_32_result\d#70\v#20\11\ping_collision_summary.csv</t>
  </si>
  <si>
    <t>D:\CBP_2026.07.21\i#3\rreq\rreq#19_32_result\d#70\v#20\12\ping_collision_summary.csv</t>
  </si>
  <si>
    <t>D:\CBP_2026.07.21\i#3\rreq\rreq#19_32_result\d#70\v#20\13\ping_collision_summary.csv</t>
  </si>
  <si>
    <t>D:\CBP_2026.07.21\i#3\rreq\rreq#19_32_result\d#70\v#20\14\ping_collision_summary.csv</t>
  </si>
  <si>
    <t>D:\CBP_2026.07.21\i#3\rreq\rreq#19_32_result\d#70\v#20\15\ping_collision_summary.csv</t>
  </si>
  <si>
    <t>D:\CBP_2026.07.21\i#3\rreq\rreq#19_32_result\d#70\v#20\16\ping_collision_summary.csv</t>
  </si>
  <si>
    <t>D:\CBP_2026.07.21\i#3\rreq\rreq#19_32_result\d#70\v#20\17\ping_collision_summary.csv</t>
  </si>
  <si>
    <t>D:\CBP_2026.07.21\i#3\rreq\rreq#19_32_result\d#70\v#20\18\ping_collision_summary.csv</t>
  </si>
  <si>
    <t>D:\CBP_2026.07.21\i#3\rreq\rreq#19_32_result\d#70\v#20\19\ping_collision_summary.csv</t>
  </si>
  <si>
    <t>D:\CBP_2026.07.21\i#3\rreq\rreq#19_32_result\d#70\v#20\1\ping_collision_summary.csv</t>
  </si>
  <si>
    <t>D:\CBP_2026.07.21\i#3\rreq\rreq#19_32_result\d#70\v#20\20\ping_collision_summary.csv</t>
  </si>
  <si>
    <t>D:\CBP_2026.07.21\i#3\rreq\rreq#19_32_result\d#70\v#20\21\ping_collision_summary.csv</t>
  </si>
  <si>
    <t>D:\CBP_2026.07.21\i#3\rreq\rreq#19_32_result\d#70\v#20\22\ping_collision_summary.csv</t>
  </si>
  <si>
    <t>D:\CBP_2026.07.21\i#3\rreq\rreq#19_32_result\d#70\v#20\23\ping_collision_summary.csv</t>
  </si>
  <si>
    <t>D:\CBP_2026.07.21\i#3\rreq\rreq#19_32_result\d#70\v#20\24\ping_collision_summary.csv</t>
  </si>
  <si>
    <t>D:\CBP_2026.07.21\i#3\rreq\rreq#19_32_result\d#70\v#20\25\ping_collision_summary.csv</t>
  </si>
  <si>
    <t>D:\CBP_2026.07.21\i#3\rreq\rreq#19_32_result\d#70\v#20\26\ping_collision_summary.csv</t>
  </si>
  <si>
    <t>D:\CBP_2026.07.21\i#3\rreq\rreq#19_32_result\d#70\v#20\27\ping_collision_summary.csv</t>
  </si>
  <si>
    <t>D:\CBP_2026.07.21\i#3\rreq\rreq#19_32_result\d#70\v#20\28\ping_collision_summary.csv</t>
  </si>
  <si>
    <t>D:\CBP_2026.07.21\i#3\rreq\rreq#19_32_result\d#70\v#20\29\ping_collision_summary.csv</t>
  </si>
  <si>
    <t>D:\CBP_2026.07.21\i#3\rreq\rreq#19_32_result\d#70\v#20\2\ping_collision_summary.csv</t>
  </si>
  <si>
    <t>D:\CBP_2026.07.21\i#3\rreq\rreq#19_32_result\d#70\v#20\30\ping_collision_summary.csv</t>
  </si>
  <si>
    <t>D:\CBP_2026.07.21\i#3\rreq\rreq#19_32_result\d#70\v#20\3\ping_collision_summary.csv</t>
  </si>
  <si>
    <t>D:\CBP_2026.07.21\i#3\rreq\rreq#19_32_result\d#70\v#20\4\ping_collision_summary.csv</t>
  </si>
  <si>
    <t>D:\CBP_2026.07.21\i#3\rreq\rreq#19_32_result\d#70\v#20\5\ping_collision_summary.csv</t>
  </si>
  <si>
    <t>D:\CBP_2026.07.21\i#3\rreq\rreq#19_32_result\d#70\v#20\6\ping_collision_summary.csv</t>
  </si>
  <si>
    <t>D:\CBP_2026.07.21\i#3\rreq\rreq#19_32_result\d#70\v#20\7\ping_collision_summary.csv</t>
  </si>
  <si>
    <t>D:\CBP_2026.07.21\i#3\rreq\rreq#19_32_result\d#70\v#20\8\ping_collision_summary.csv</t>
  </si>
  <si>
    <t>D:\CBP_2026.07.21\i#3\rreq\rreq#19_32_result\d#70\v#20\9\ping_collision_summary.csv</t>
  </si>
  <si>
    <t>D:\CBP_2026.07.21\i#3\rreq\rreq#19_32_result\d#70\v#30\0\ping_collision_summary.csv</t>
  </si>
  <si>
    <t>D:\CBP_2026.07.21\i#3\rreq\rreq#19_32_result\d#70\v#30\10\ping_collision_summary.csv</t>
  </si>
  <si>
    <t>D:\CBP_2026.07.21\i#3\rreq\rreq#19_32_result\d#70\v#30\11\ping_collision_summary.csv</t>
  </si>
  <si>
    <t>D:\CBP_2026.07.21\i#3\rreq\rreq#19_32_result\d#70\v#30\12\ping_collision_summary.csv</t>
  </si>
  <si>
    <t>D:\CBP_2026.07.21\i#3\rreq\rreq#19_32_result\d#70\v#30\13\ping_collision_summary.csv</t>
  </si>
  <si>
    <t>D:\CBP_2026.07.21\i#3\rreq\rreq#19_32_result\d#70\v#30\14\ping_collision_summary.csv</t>
  </si>
  <si>
    <t>D:\CBP_2026.07.21\i#3\rreq\rreq#19_32_result\d#70\v#30\15\ping_collision_summary.csv</t>
  </si>
  <si>
    <t>D:\CBP_2026.07.21\i#3\rreq\rreq#19_32_result\d#70\v#30\16\ping_collision_summary.csv</t>
  </si>
  <si>
    <t>D:\CBP_2026.07.21\i#3\rreq\rreq#19_32_result\d#70\v#30\17\ping_collision_summary.csv</t>
  </si>
  <si>
    <t>D:\CBP_2026.07.21\i#3\rreq\rreq#19_32_result\d#70\v#30\18\ping_collision_summary.csv</t>
  </si>
  <si>
    <t>D:\CBP_2026.07.21\i#3\rreq\rreq#19_32_result\d#70\v#30\19\ping_collision_summary.csv</t>
  </si>
  <si>
    <t>D:\CBP_2026.07.21\i#3\rreq\rreq#19_32_result\d#70\v#30\1\ping_collision_summary.csv</t>
  </si>
  <si>
    <t>D:\CBP_2026.07.21\i#3\rreq\rreq#19_32_result\d#70\v#30\20\ping_collision_summary.csv</t>
  </si>
  <si>
    <t>D:\CBP_2026.07.21\i#3\rreq\rreq#19_32_result\d#70\v#30\21\ping_collision_summary.csv</t>
  </si>
  <si>
    <t>D:\CBP_2026.07.21\i#3\rreq\rreq#19_32_result\d#70\v#30\22\ping_collision_summary.csv</t>
  </si>
  <si>
    <t>D:\CBP_2026.07.21\i#3\rreq\rreq#19_32_result\d#70\v#30\23\ping_collision_summary.csv</t>
  </si>
  <si>
    <t>D:\CBP_2026.07.21\i#3\rreq\rreq#19_32_result\d#70\v#30\24\ping_collision_summary.csv</t>
  </si>
  <si>
    <t>D:\CBP_2026.07.21\i#3\rreq\rreq#19_32_result\d#70\v#30\25\ping_collision_summary.csv</t>
  </si>
  <si>
    <t>D:\CBP_2026.07.21\i#3\rreq\rreq#19_32_result\d#70\v#30\26\ping_collision_summary.csv</t>
  </si>
  <si>
    <t>D:\CBP_2026.07.21\i#3\rreq\rreq#19_32_result\d#70\v#30\27\ping_collision_summary.csv</t>
  </si>
  <si>
    <t>D:\CBP_2026.07.21\i#3\rreq\rreq#19_32_result\d#70\v#30\28\ping_collision_summary.csv</t>
  </si>
  <si>
    <t>D:\CBP_2026.07.21\i#3\rreq\rreq#19_32_result\d#70\v#30\29\ping_collision_summary.csv</t>
  </si>
  <si>
    <t>D:\CBP_2026.07.21\i#3\rreq\rreq#19_32_result\d#70\v#30\2\ping_collision_summary.csv</t>
  </si>
  <si>
    <t>D:\CBP_2026.07.21\i#3\rreq\rreq#19_32_result\d#70\v#30\30\ping_collision_summary.csv</t>
  </si>
  <si>
    <t>D:\CBP_2026.07.21\i#3\rreq\rreq#19_32_result\d#70\v#30\3\ping_collision_summary.csv</t>
  </si>
  <si>
    <t>D:\CBP_2026.07.21\i#3\rreq\rreq#19_32_result\d#70\v#30\4\ping_collision_summary.csv</t>
  </si>
  <si>
    <t>D:\CBP_2026.07.21\i#3\rreq\rreq#19_32_result\d#70\v#30\5\ping_collision_summary.csv</t>
  </si>
  <si>
    <t>D:\CBP_2026.07.21\i#3\rreq\rreq#19_32_result\d#70\v#30\6\ping_collision_summary.csv</t>
  </si>
  <si>
    <t>D:\CBP_2026.07.21\i#3\rreq\rreq#19_32_result\d#70\v#30\7\ping_collision_summary.csv</t>
  </si>
  <si>
    <t>D:\CBP_2026.07.21\i#3\rreq\rreq#19_32_result\d#70\v#30\8\ping_collision_summary.csv</t>
  </si>
  <si>
    <t>D:\CBP_2026.07.21\i#3\rreq\rreq#19_32_result\d#70\v#30\9\ping_collision_summary.csv</t>
  </si>
  <si>
    <t>D:\CBP_2026.07.21\i#3\rreq\rreq#32_43_result\d#100\v#10\0\ping_collision_summary.csv</t>
  </si>
  <si>
    <t>D:\CBP_2026.07.21\i#3\rreq\rreq#32_43_result\d#100\v#10\10\ping_collision_summary.csv</t>
  </si>
  <si>
    <t>D:\CBP_2026.07.21\i#3\rreq\rreq#32_43_result\d#100\v#10\11\ping_collision_summary.csv</t>
  </si>
  <si>
    <t>D:\CBP_2026.07.21\i#3\rreq\rreq#32_43_result\d#100\v#10\12\ping_collision_summary.csv</t>
  </si>
  <si>
    <t>D:\CBP_2026.07.21\i#3\rreq\rreq#32_43_result\d#100\v#10\13\ping_collision_summary.csv</t>
  </si>
  <si>
    <t>D:\CBP_2026.07.21\i#3\rreq\rreq#32_43_result\d#100\v#10\14\ping_collision_summary.csv</t>
  </si>
  <si>
    <t>D:\CBP_2026.07.21\i#3\rreq\rreq#32_43_result\d#100\v#10\15\ping_collision_summary.csv</t>
  </si>
  <si>
    <t>D:\CBP_2026.07.21\i#3\rreq\rreq#32_43_result\d#100\v#10\16\ping_collision_summary.csv</t>
  </si>
  <si>
    <t>D:\CBP_2026.07.21\i#3\rreq\rreq#32_43_result\d#100\v#10\17\ping_collision_summary.csv</t>
  </si>
  <si>
    <t>D:\CBP_2026.07.21\i#3\rreq\rreq#32_43_result\d#100\v#10\18\ping_collision_summary.csv</t>
  </si>
  <si>
    <t>D:\CBP_2026.07.21\i#3\rreq\rreq#32_43_result\d#100\v#10\19\ping_collision_summary.csv</t>
  </si>
  <si>
    <t>D:\CBP_2026.07.21\i#3\rreq\rreq#32_43_result\d#100\v#10\1\ping_collision_summary.csv</t>
  </si>
  <si>
    <t>D:\CBP_2026.07.21\i#3\rreq\rreq#32_43_result\d#100\v#10\20\ping_collision_summary.csv</t>
  </si>
  <si>
    <t>D:\CBP_2026.07.21\i#3\rreq\rreq#32_43_result\d#100\v#10\21\ping_collision_summary.csv</t>
  </si>
  <si>
    <t>D:\CBP_2026.07.21\i#3\rreq\rreq#32_43_result\d#100\v#10\22\ping_collision_summary.csv</t>
  </si>
  <si>
    <t>D:\CBP_2026.07.21\i#3\rreq\rreq#32_43_result\d#100\v#10\23\ping_collision_summary.csv</t>
  </si>
  <si>
    <t>D:\CBP_2026.07.21\i#3\rreq\rreq#32_43_result\d#100\v#10\24\ping_collision_summary.csv</t>
  </si>
  <si>
    <t>D:\CBP_2026.07.21\i#3\rreq\rreq#32_43_result\d#100\v#10\25\ping_collision_summary.csv</t>
  </si>
  <si>
    <t>D:\CBP_2026.07.21\i#3\rreq\rreq#32_43_result\d#100\v#10\26\ping_collision_summary.csv</t>
  </si>
  <si>
    <t>D:\CBP_2026.07.21\i#3\rreq\rreq#32_43_result\d#100\v#10\27\ping_collision_summary.csv</t>
  </si>
  <si>
    <t>D:\CBP_2026.07.21\i#3\rreq\rreq#32_43_result\d#100\v#10\28\ping_collision_summary.csv</t>
  </si>
  <si>
    <t>D:\CBP_2026.07.21\i#3\rreq\rreq#32_43_result\d#100\v#10\29\ping_collision_summary.csv</t>
  </si>
  <si>
    <t>D:\CBP_2026.07.21\i#3\rreq\rreq#32_43_result\d#100\v#10\2\ping_collision_summary.csv</t>
  </si>
  <si>
    <t>D:\CBP_2026.07.21\i#3\rreq\rreq#32_43_result\d#100\v#10\30\ping_collision_summary.csv</t>
  </si>
  <si>
    <t>D:\CBP_2026.07.21\i#3\rreq\rreq#32_43_result\d#100\v#10\3\ping_collision_summary.csv</t>
  </si>
  <si>
    <t>D:\CBP_2026.07.21\i#3\rreq\rreq#32_43_result\d#100\v#10\4\ping_collision_summary.csv</t>
  </si>
  <si>
    <t>D:\CBP_2026.07.21\i#3\rreq\rreq#32_43_result\d#100\v#10\5\ping_collision_summary.csv</t>
  </si>
  <si>
    <t>D:\CBP_2026.07.21\i#3\rreq\rreq#32_43_result\d#100\v#10\6\ping_collision_summary.csv</t>
  </si>
  <si>
    <t>D:\CBP_2026.07.21\i#3\rreq\rreq#32_43_result\d#100\v#10\7\ping_collision_summary.csv</t>
  </si>
  <si>
    <t>D:\CBP_2026.07.21\i#3\rreq\rreq#32_43_result\d#100\v#10\8\ping_collision_summary.csv</t>
  </si>
  <si>
    <t>D:\CBP_2026.07.21\i#3\rreq\rreq#32_43_result\d#100\v#10\9\ping_collision_summary.csv</t>
  </si>
  <si>
    <t>D:\CBP_2026.07.21\i#3\rreq\rreq#32_43_result\d#100\v#20\0\ping_collision_summary.csv</t>
  </si>
  <si>
    <t>D:\CBP_2026.07.21\i#3\rreq\rreq#32_43_result\d#100\v#20\10\ping_collision_summary.csv</t>
  </si>
  <si>
    <t>D:\CBP_2026.07.21\i#3\rreq\rreq#32_43_result\d#100\v#20\11\ping_collision_summary.csv</t>
  </si>
  <si>
    <t>D:\CBP_2026.07.21\i#3\rreq\rreq#32_43_result\d#100\v#20\12\ping_collision_summary.csv</t>
  </si>
  <si>
    <t>D:\CBP_2026.07.21\i#3\rreq\rreq#32_43_result\d#100\v#20\13\ping_collision_summary.csv</t>
  </si>
  <si>
    <t>D:\CBP_2026.07.21\i#3\rreq\rreq#32_43_result\d#100\v#20\14\ping_collision_summary.csv</t>
  </si>
  <si>
    <t>D:\CBP_2026.07.21\i#3\rreq\rreq#32_43_result\d#100\v#20\15\ping_collision_summary.csv</t>
  </si>
  <si>
    <t>D:\CBP_2026.07.21\i#3\rreq\rreq#32_43_result\d#100\v#20\16\ping_collision_summary.csv</t>
  </si>
  <si>
    <t>D:\CBP_2026.07.21\i#3\rreq\rreq#32_43_result\d#100\v#20\17\ping_collision_summary.csv</t>
  </si>
  <si>
    <t>D:\CBP_2026.07.21\i#3\rreq\rreq#32_43_result\d#100\v#20\18\ping_collision_summary.csv</t>
  </si>
  <si>
    <t>D:\CBP_2026.07.21\i#3\rreq\rreq#32_43_result\d#100\v#20\19\ping_collision_summary.csv</t>
  </si>
  <si>
    <t>D:\CBP_2026.07.21\i#3\rreq\rreq#32_43_result\d#100\v#20\1\ping_collision_summary.csv</t>
  </si>
  <si>
    <t>D:\CBP_2026.07.21\i#3\rreq\rreq#32_43_result\d#100\v#20\20\ping_collision_summary.csv</t>
  </si>
  <si>
    <t>D:\CBP_2026.07.21\i#3\rreq\rreq#32_43_result\d#100\v#20\21\ping_collision_summary.csv</t>
  </si>
  <si>
    <t>D:\CBP_2026.07.21\i#3\rreq\rreq#32_43_result\d#100\v#20\22\ping_collision_summary.csv</t>
  </si>
  <si>
    <t>D:\CBP_2026.07.21\i#3\rreq\rreq#32_43_result\d#100\v#20\23\ping_collision_summary.csv</t>
  </si>
  <si>
    <t>D:\CBP_2026.07.21\i#3\rreq\rreq#32_43_result\d#100\v#20\24\ping_collision_summary.csv</t>
  </si>
  <si>
    <t>D:\CBP_2026.07.21\i#3\rreq\rreq#32_43_result\d#100\v#20\25\ping_collision_summary.csv</t>
  </si>
  <si>
    <t>D:\CBP_2026.07.21\i#3\rreq\rreq#32_43_result\d#100\v#20\26\ping_collision_summary.csv</t>
  </si>
  <si>
    <t>D:\CBP_2026.07.21\i#3\rreq\rreq#32_43_result\d#100\v#20\27\ping_collision_summary.csv</t>
  </si>
  <si>
    <t>D:\CBP_2026.07.21\i#3\rreq\rreq#32_43_result\d#100\v#20\28\ping_collision_summary.csv</t>
  </si>
  <si>
    <t>D:\CBP_2026.07.21\i#3\rreq\rreq#32_43_result\d#100\v#20\29\ping_collision_summary.csv</t>
  </si>
  <si>
    <t>D:\CBP_2026.07.21\i#3\rreq\rreq#32_43_result\d#100\v#20\2\ping_collision_summary.csv</t>
  </si>
  <si>
    <t>D:\CBP_2026.07.21\i#3\rreq\rreq#32_43_result\d#100\v#20\30\ping_collision_summary.csv</t>
  </si>
  <si>
    <t>D:\CBP_2026.07.21\i#3\rreq\rreq#32_43_result\d#100\v#20\3\ping_collision_summary.csv</t>
  </si>
  <si>
    <t>D:\CBP_2026.07.21\i#3\rreq\rreq#32_43_result\d#100\v#20\4\ping_collision_summary.csv</t>
  </si>
  <si>
    <t>D:\CBP_2026.07.21\i#3\rreq\rreq#32_43_result\d#100\v#20\5\ping_collision_summary.csv</t>
  </si>
  <si>
    <t>D:\CBP_2026.07.21\i#3\rreq\rreq#32_43_result\d#100\v#20\6\ping_collision_summary.csv</t>
  </si>
  <si>
    <t>D:\CBP_2026.07.21\i#3\rreq\rreq#32_43_result\d#100\v#20\7\ping_collision_summary.csv</t>
  </si>
  <si>
    <t>D:\CBP_2026.07.21\i#3\rreq\rreq#32_43_result\d#100\v#20\8\ping_collision_summary.csv</t>
  </si>
  <si>
    <t>D:\CBP_2026.07.21\i#3\rreq\rreq#32_43_result\d#100\v#20\9\ping_collision_summary.csv</t>
  </si>
  <si>
    <t>D:\CBP_2026.07.21\i#3\rreq\rreq#32_43_result\d#100\v#30\0\ping_collision_summary.csv</t>
  </si>
  <si>
    <t>D:\CBP_2026.07.21\i#3\rreq\rreq#32_43_result\d#100\v#30\10\ping_collision_summary.csv</t>
  </si>
  <si>
    <t>D:\CBP_2026.07.21\i#3\rreq\rreq#32_43_result\d#100\v#30\11\ping_collision_summary.csv</t>
  </si>
  <si>
    <t>D:\CBP_2026.07.21\i#3\rreq\rreq#32_43_result\d#100\v#30\12\ping_collision_summary.csv</t>
  </si>
  <si>
    <t>D:\CBP_2026.07.21\i#3\rreq\rreq#32_43_result\d#100\v#30\13\ping_collision_summary.csv</t>
  </si>
  <si>
    <t>D:\CBP_2026.07.21\i#3\rreq\rreq#32_43_result\d#100\v#30\14\ping_collision_summary.csv</t>
  </si>
  <si>
    <t>D:\CBP_2026.07.21\i#3\rreq\rreq#32_43_result\d#100\v#30\15\ping_collision_summary.csv</t>
  </si>
  <si>
    <t>D:\CBP_2026.07.21\i#3\rreq\rreq#32_43_result\d#100\v#30\16\ping_collision_summary.csv</t>
  </si>
  <si>
    <t>D:\CBP_2026.07.21\i#3\rreq\rreq#32_43_result\d#100\v#30\17\ping_collision_summary.csv</t>
  </si>
  <si>
    <t>D:\CBP_2026.07.21\i#3\rreq\rreq#32_43_result\d#100\v#30\18\ping_collision_summary.csv</t>
  </si>
  <si>
    <t>D:\CBP_2026.07.21\i#3\rreq\rreq#32_43_result\d#100\v#30\19\ping_collision_summary.csv</t>
  </si>
  <si>
    <t>D:\CBP_2026.07.21\i#3\rreq\rreq#32_43_result\d#100\v#30\1\ping_collision_summary.csv</t>
  </si>
  <si>
    <t>D:\CBP_2026.07.21\i#3\rreq\rreq#32_43_result\d#100\v#30\20\ping_collision_summary.csv</t>
  </si>
  <si>
    <t>D:\CBP_2026.07.21\i#3\rreq\rreq#32_43_result\d#100\v#30\21\ping_collision_summary.csv</t>
  </si>
  <si>
    <t>D:\CBP_2026.07.21\i#3\rreq\rreq#32_43_result\d#100\v#30\22\ping_collision_summary.csv</t>
  </si>
  <si>
    <t>D:\CBP_2026.07.21\i#3\rreq\rreq#32_43_result\d#100\v#30\23\ping_collision_summary.csv</t>
  </si>
  <si>
    <t>D:\CBP_2026.07.21\i#3\rreq\rreq#32_43_result\d#100\v#30\24\ping_collision_summary.csv</t>
  </si>
  <si>
    <t>D:\CBP_2026.07.21\i#3\rreq\rreq#32_43_result\d#100\v#30\25\ping_collision_summary.csv</t>
  </si>
  <si>
    <t>D:\CBP_2026.07.21\i#3\rreq\rreq#32_43_result\d#100\v#30\26\ping_collision_summary.csv</t>
  </si>
  <si>
    <t>D:\CBP_2026.07.21\i#3\rreq\rreq#32_43_result\d#100\v#30\27\ping_collision_summary.csv</t>
  </si>
  <si>
    <t>D:\CBP_2026.07.21\i#3\rreq\rreq#32_43_result\d#100\v#30\28\ping_collision_summary.csv</t>
  </si>
  <si>
    <t>D:\CBP_2026.07.21\i#3\rreq\rreq#32_43_result\d#100\v#30\29\ping_collision_summary.csv</t>
  </si>
  <si>
    <t>D:\CBP_2026.07.21\i#3\rreq\rreq#32_43_result\d#100\v#30\2\ping_collision_summary.csv</t>
  </si>
  <si>
    <t>D:\CBP_2026.07.21\i#3\rreq\rreq#32_43_result\d#100\v#30\30\ping_collision_summary.csv</t>
  </si>
  <si>
    <t>D:\CBP_2026.07.21\i#3\rreq\rreq#32_43_result\d#100\v#30\3\ping_collision_summary.csv</t>
  </si>
  <si>
    <t>D:\CBP_2026.07.21\i#3\rreq\rreq#32_43_result\d#100\v#30\4\ping_collision_summary.csv</t>
  </si>
  <si>
    <t>D:\CBP_2026.07.21\i#3\rreq\rreq#32_43_result\d#100\v#30\5\ping_collision_summary.csv</t>
  </si>
  <si>
    <t>D:\CBP_2026.07.21\i#3\rreq\rreq#32_43_result\d#100\v#30\6\ping_collision_summary.csv</t>
  </si>
  <si>
    <t>D:\CBP_2026.07.21\i#3\rreq\rreq#32_43_result\d#100\v#30\7\ping_collision_summary.csv</t>
  </si>
  <si>
    <t>D:\CBP_2026.07.21\i#3\rreq\rreq#32_43_result\d#100\v#30\8\ping_collision_summary.csv</t>
  </si>
  <si>
    <t>D:\CBP_2026.07.21\i#3\rreq\rreq#32_43_result\d#100\v#30\9\ping_collision_summary.csv</t>
  </si>
  <si>
    <t>D:\CBP_2026.07.21\i#3\rreq\rreq#32_43_result\d#120\v#10\0\ping_collision_summary.csv</t>
  </si>
  <si>
    <t>D:\CBP_2026.07.21\i#3\rreq\rreq#32_43_result\d#120\v#10\10\ping_collision_summary.csv</t>
  </si>
  <si>
    <t>D:\CBP_2026.07.21\i#3\rreq\rreq#32_43_result\d#120\v#10\11\ping_collision_summary.csv</t>
  </si>
  <si>
    <t>D:\CBP_2026.07.21\i#3\rreq\rreq#32_43_result\d#120\v#10\12\ping_collision_summary.csv</t>
  </si>
  <si>
    <t>D:\CBP_2026.07.21\i#3\rreq\rreq#32_43_result\d#120\v#10\13\ping_collision_summary.csv</t>
  </si>
  <si>
    <t>D:\CBP_2026.07.21\i#3\rreq\rreq#32_43_result\d#120\v#10\14\ping_collision_summary.csv</t>
  </si>
  <si>
    <t>D:\CBP_2026.07.21\i#3\rreq\rreq#32_43_result\d#120\v#10\15\ping_collision_summary.csv</t>
  </si>
  <si>
    <t>D:\CBP_2026.07.21\i#3\rreq\rreq#32_43_result\d#120\v#10\16\ping_collision_summary.csv</t>
  </si>
  <si>
    <t>D:\CBP_2026.07.21\i#3\rreq\rreq#32_43_result\d#120\v#10\17\ping_collision_summary.csv</t>
  </si>
  <si>
    <t>D:\CBP_2026.07.21\i#3\rreq\rreq#32_43_result\d#120\v#10\18\ping_collision_summary.csv</t>
  </si>
  <si>
    <t>D:\CBP_2026.07.21\i#3\rreq\rreq#32_43_result\d#120\v#10\19\ping_collision_summary.csv</t>
  </si>
  <si>
    <t>D:\CBP_2026.07.21\i#3\rreq\rreq#32_43_result\d#120\v#10\1\ping_collision_summary.csv</t>
  </si>
  <si>
    <t>D:\CBP_2026.07.21\i#3\rreq\rreq#32_43_result\d#120\v#10\20\ping_collision_summary.csv</t>
  </si>
  <si>
    <t>D:\CBP_2026.07.21\i#3\rreq\rreq#32_43_result\d#120\v#10\21\ping_collision_summary.csv</t>
  </si>
  <si>
    <t>D:\CBP_2026.07.21\i#3\rreq\rreq#32_43_result\d#120\v#10\22\ping_collision_summary.csv</t>
  </si>
  <si>
    <t>D:\CBP_2026.07.21\i#3\rreq\rreq#32_43_result\d#120\v#10\23\ping_collision_summary.csv</t>
  </si>
  <si>
    <t>D:\CBP_2026.07.21\i#3\rreq\rreq#32_43_result\d#120\v#10\24\ping_collision_summary.csv</t>
  </si>
  <si>
    <t>D:\CBP_2026.07.21\i#3\rreq\rreq#32_43_result\d#120\v#10\25\ping_collision_summary.csv</t>
  </si>
  <si>
    <t>D:\CBP_2026.07.21\i#3\rreq\rreq#32_43_result\d#120\v#10\26\ping_collision_summary.csv</t>
  </si>
  <si>
    <t>D:\CBP_2026.07.21\i#3\rreq\rreq#32_43_result\d#120\v#10\27\ping_collision_summary.csv</t>
  </si>
  <si>
    <t>D:\CBP_2026.07.21\i#3\rreq\rreq#32_43_result\d#120\v#10\28\ping_collision_summary.csv</t>
  </si>
  <si>
    <t>D:\CBP_2026.07.21\i#3\rreq\rreq#32_43_result\d#120\v#10\29\ping_collision_summary.csv</t>
  </si>
  <si>
    <t>D:\CBP_2026.07.21\i#3\rreq\rreq#32_43_result\d#120\v#10\2\ping_collision_summary.csv</t>
  </si>
  <si>
    <t>D:\CBP_2026.07.21\i#3\rreq\rreq#32_43_result\d#120\v#10\30\ping_collision_summary.csv</t>
  </si>
  <si>
    <t>D:\CBP_2026.07.21\i#3\rreq\rreq#32_43_result\d#120\v#10\3\ping_collision_summary.csv</t>
  </si>
  <si>
    <t>D:\CBP_2026.07.21\i#3\rreq\rreq#32_43_result\d#120\v#10\4\ping_collision_summary.csv</t>
  </si>
  <si>
    <t>D:\CBP_2026.07.21\i#3\rreq\rreq#32_43_result\d#120\v#10\5\ping_collision_summary.csv</t>
  </si>
  <si>
    <t>D:\CBP_2026.07.21\i#3\rreq\rreq#32_43_result\d#120\v#10\6\ping_collision_summary.csv</t>
  </si>
  <si>
    <t>D:\CBP_2026.07.21\i#3\rreq\rreq#32_43_result\d#120\v#10\7\ping_collision_summary.csv</t>
  </si>
  <si>
    <t>D:\CBP_2026.07.21\i#3\rreq\rreq#32_43_result\d#120\v#10\8\ping_collision_summary.csv</t>
  </si>
  <si>
    <t>D:\CBP_2026.07.21\i#3\rreq\rreq#32_43_result\d#120\v#10\9\ping_collision_summary.csv</t>
  </si>
  <si>
    <t>D:\CBP_2026.07.21\i#3\rreq\rreq#32_43_result\d#120\v#20\0\ping_collision_summary.csv</t>
  </si>
  <si>
    <t>D:\CBP_2026.07.21\i#3\rreq\rreq#32_43_result\d#120\v#20\10\ping_collision_summary.csv</t>
  </si>
  <si>
    <t>D:\CBP_2026.07.21\i#3\rreq\rreq#32_43_result\d#120\v#20\11\ping_collision_summary.csv</t>
  </si>
  <si>
    <t>D:\CBP_2026.07.21\i#3\rreq\rreq#32_43_result\d#120\v#20\12\ping_collision_summary.csv</t>
  </si>
  <si>
    <t>D:\CBP_2026.07.21\i#3\rreq\rreq#32_43_result\d#120\v#20\13\ping_collision_summary.csv</t>
  </si>
  <si>
    <t>D:\CBP_2026.07.21\i#3\rreq\rreq#32_43_result\d#120\v#20\14\ping_collision_summary.csv</t>
  </si>
  <si>
    <t>D:\CBP_2026.07.21\i#3\rreq\rreq#32_43_result\d#120\v#20\15\ping_collision_summary.csv</t>
  </si>
  <si>
    <t>D:\CBP_2026.07.21\i#3\rreq\rreq#32_43_result\d#120\v#20\16\ping_collision_summary.csv</t>
  </si>
  <si>
    <t>D:\CBP_2026.07.21\i#3\rreq\rreq#32_43_result\d#120\v#20\17\ping_collision_summary.csv</t>
  </si>
  <si>
    <t>D:\CBP_2026.07.21\i#3\rreq\rreq#32_43_result\d#120\v#20\18\ping_collision_summary.csv</t>
  </si>
  <si>
    <t>D:\CBP_2026.07.21\i#3\rreq\rreq#32_43_result\d#120\v#20\19\ping_collision_summary.csv</t>
  </si>
  <si>
    <t>D:\CBP_2026.07.21\i#3\rreq\rreq#32_43_result\d#120\v#20\1\ping_collision_summary.csv</t>
  </si>
  <si>
    <t>D:\CBP_2026.07.21\i#3\rreq\rreq#32_43_result\d#120\v#20\20\ping_collision_summary.csv</t>
  </si>
  <si>
    <t>D:\CBP_2026.07.21\i#3\rreq\rreq#32_43_result\d#120\v#20\21\ping_collision_summary.csv</t>
  </si>
  <si>
    <t>D:\CBP_2026.07.21\i#3\rreq\rreq#32_43_result\d#120\v#20\22\ping_collision_summary.csv</t>
  </si>
  <si>
    <t>D:\CBP_2026.07.21\i#3\rreq\rreq#32_43_result\d#120\v#20\23\ping_collision_summary.csv</t>
  </si>
  <si>
    <t>D:\CBP_2026.07.21\i#3\rreq\rreq#32_43_result\d#120\v#20\24\ping_collision_summary.csv</t>
  </si>
  <si>
    <t>D:\CBP_2026.07.21\i#3\rreq\rreq#32_43_result\d#120\v#20\25\ping_collision_summary.csv</t>
  </si>
  <si>
    <t>D:\CBP_2026.07.21\i#3\rreq\rreq#32_43_result\d#120\v#20\26\ping_collision_summary.csv</t>
  </si>
  <si>
    <t>D:\CBP_2026.07.21\i#3\rreq\rreq#32_43_result\d#120\v#20\27\ping_collision_summary.csv</t>
  </si>
  <si>
    <t>D:\CBP_2026.07.21\i#3\rreq\rreq#32_43_result\d#120\v#20\28\ping_collision_summary.csv</t>
  </si>
  <si>
    <t>D:\CBP_2026.07.21\i#3\rreq\rreq#32_43_result\d#120\v#20\29\ping_collision_summary.csv</t>
  </si>
  <si>
    <t>D:\CBP_2026.07.21\i#3\rreq\rreq#32_43_result\d#120\v#20\2\ping_collision_summary.csv</t>
  </si>
  <si>
    <t>D:\CBP_2026.07.21\i#3\rreq\rreq#32_43_result\d#120\v#20\30\ping_collision_summary.csv</t>
  </si>
  <si>
    <t>D:\CBP_2026.07.21\i#3\rreq\rreq#32_43_result\d#120\v#20\3\ping_collision_summary.csv</t>
  </si>
  <si>
    <t>D:\CBP_2026.07.21\i#3\rreq\rreq#32_43_result\d#120\v#20\4\ping_collision_summary.csv</t>
  </si>
  <si>
    <t>D:\CBP_2026.07.21\i#3\rreq\rreq#32_43_result\d#120\v#20\5\ping_collision_summary.csv</t>
  </si>
  <si>
    <t>D:\CBP_2026.07.21\i#3\rreq\rreq#32_43_result\d#120\v#20\6\ping_collision_summary.csv</t>
  </si>
  <si>
    <t>D:\CBP_2026.07.21\i#3\rreq\rreq#32_43_result\d#120\v#20\7\ping_collision_summary.csv</t>
  </si>
  <si>
    <t>D:\CBP_2026.07.21\i#3\rreq\rreq#32_43_result\d#120\v#20\8\ping_collision_summary.csv</t>
  </si>
  <si>
    <t>D:\CBP_2026.07.21\i#3\rreq\rreq#32_43_result\d#120\v#20\9\ping_collision_summary.csv</t>
  </si>
  <si>
    <t>D:\CBP_2026.07.21\i#3\rreq\rreq#32_43_result\d#120\v#30\0\ping_collision_summary.csv</t>
  </si>
  <si>
    <t>D:\CBP_2026.07.21\i#3\rreq\rreq#32_43_result\d#120\v#30\10\ping_collision_summary.csv</t>
  </si>
  <si>
    <t>D:\CBP_2026.07.21\i#3\rreq\rreq#32_43_result\d#120\v#30\11\ping_collision_summary.csv</t>
  </si>
  <si>
    <t>D:\CBP_2026.07.21\i#3\rreq\rreq#32_43_result\d#120\v#30\12\ping_collision_summary.csv</t>
  </si>
  <si>
    <t>D:\CBP_2026.07.21\i#3\rreq\rreq#32_43_result\d#120\v#30\13\ping_collision_summary.csv</t>
  </si>
  <si>
    <t>D:\CBP_2026.07.21\i#3\rreq\rreq#32_43_result\d#120\v#30\14\ping_collision_summary.csv</t>
  </si>
  <si>
    <t>D:\CBP_2026.07.21\i#3\rreq\rreq#32_43_result\d#120\v#30\15\ping_collision_summary.csv</t>
  </si>
  <si>
    <t>D:\CBP_2026.07.21\i#3\rreq\rreq#32_43_result\d#120\v#30\16\ping_collision_summary.csv</t>
  </si>
  <si>
    <t>D:\CBP_2026.07.21\i#3\rreq\rreq#32_43_result\d#120\v#30\17\ping_collision_summary.csv</t>
  </si>
  <si>
    <t>D:\CBP_2026.07.21\i#3\rreq\rreq#32_43_result\d#120\v#30\18\ping_collision_summary.csv</t>
  </si>
  <si>
    <t>D:\CBP_2026.07.21\i#3\rreq\rreq#32_43_result\d#120\v#30\19\ping_collision_summary.csv</t>
  </si>
  <si>
    <t>D:\CBP_2026.07.21\i#3\rreq\rreq#32_43_result\d#120\v#30\1\ping_collision_summary.csv</t>
  </si>
  <si>
    <t>D:\CBP_2026.07.21\i#3\rreq\rreq#32_43_result\d#120\v#30\20\ping_collision_summary.csv</t>
  </si>
  <si>
    <t>D:\CBP_2026.07.21\i#3\rreq\rreq#32_43_result\d#120\v#30\21\ping_collision_summary.csv</t>
  </si>
  <si>
    <t>D:\CBP_2026.07.21\i#3\rreq\rreq#32_43_result\d#120\v#30\22\ping_collision_summary.csv</t>
  </si>
  <si>
    <t>D:\CBP_2026.07.21\i#3\rreq\rreq#32_43_result\d#120\v#30\23\ping_collision_summary.csv</t>
  </si>
  <si>
    <t>D:\CBP_2026.07.21\i#3\rreq\rreq#32_43_result\d#120\v#30\24\ping_collision_summary.csv</t>
  </si>
  <si>
    <t>D:\CBP_2026.07.21\i#3\rreq\rreq#32_43_result\d#120\v#30\25\ping_collision_summary.csv</t>
  </si>
  <si>
    <t>D:\CBP_2026.07.21\i#3\rreq\rreq#32_43_result\d#120\v#30\26\ping_collision_summary.csv</t>
  </si>
  <si>
    <t>D:\CBP_2026.07.21\i#3\rreq\rreq#32_43_result\d#120\v#30\27\ping_collision_summary.csv</t>
  </si>
  <si>
    <t>D:\CBP_2026.07.21\i#3\rreq\rreq#32_43_result\d#120\v#30\28\ping_collision_summary.csv</t>
  </si>
  <si>
    <t>D:\CBP_2026.07.21\i#3\rreq\rreq#32_43_result\d#120\v#30\29\ping_collision_summary.csv</t>
  </si>
  <si>
    <t>D:\CBP_2026.07.21\i#3\rreq\rreq#32_43_result\d#120\v#30\2\ping_collision_summary.csv</t>
  </si>
  <si>
    <t>D:\CBP_2026.07.21\i#3\rreq\rreq#32_43_result\d#120\v#30\30\ping_collision_summary.csv</t>
  </si>
  <si>
    <t>D:\CBP_2026.07.21\i#3\rreq\rreq#32_43_result\d#120\v#30\3\ping_collision_summary.csv</t>
  </si>
  <si>
    <t>D:\CBP_2026.07.21\i#3\rreq\rreq#32_43_result\d#120\v#30\4\ping_collision_summary.csv</t>
  </si>
  <si>
    <t>D:\CBP_2026.07.21\i#3\rreq\rreq#32_43_result\d#120\v#30\5\ping_collision_summary.csv</t>
  </si>
  <si>
    <t>D:\CBP_2026.07.21\i#3\rreq\rreq#32_43_result\d#120\v#30\6\ping_collision_summary.csv</t>
  </si>
  <si>
    <t>D:\CBP_2026.07.21\i#3\rreq\rreq#32_43_result\d#120\v#30\7\ping_collision_summary.csv</t>
  </si>
  <si>
    <t>D:\CBP_2026.07.21\i#3\rreq\rreq#32_43_result\d#120\v#30\8\ping_collision_summary.csv</t>
  </si>
  <si>
    <t>D:\CBP_2026.07.21\i#3\rreq\rreq#32_43_result\d#120\v#30\9\ping_collision_summary.csv</t>
  </si>
  <si>
    <t>D:\CBP_2026.07.21\i#3\rreq\rreq#32_43_result\d#70\v#10\0\ping_collision_summary.csv</t>
  </si>
  <si>
    <t>D:\CBP_2026.07.21\i#3\rreq\rreq#32_43_result\d#70\v#10\10\ping_collision_summary.csv</t>
  </si>
  <si>
    <t>D:\CBP_2026.07.21\i#3\rreq\rreq#32_43_result\d#70\v#10\11\ping_collision_summary.csv</t>
  </si>
  <si>
    <t>D:\CBP_2026.07.21\i#3\rreq\rreq#32_43_result\d#70\v#10\12\ping_collision_summary.csv</t>
  </si>
  <si>
    <t>D:\CBP_2026.07.21\i#3\rreq\rreq#32_43_result\d#70\v#10\13\ping_collision_summary.csv</t>
  </si>
  <si>
    <t>D:\CBP_2026.07.21\i#3\rreq\rreq#32_43_result\d#70\v#10\14\ping_collision_summary.csv</t>
  </si>
  <si>
    <t>D:\CBP_2026.07.21\i#3\rreq\rreq#32_43_result\d#70\v#10\15\ping_collision_summary.csv</t>
  </si>
  <si>
    <t>D:\CBP_2026.07.21\i#3\rreq\rreq#32_43_result\d#70\v#10\16\ping_collision_summary.csv</t>
  </si>
  <si>
    <t>D:\CBP_2026.07.21\i#3\rreq\rreq#32_43_result\d#70\v#10\17\ping_collision_summary.csv</t>
  </si>
  <si>
    <t>D:\CBP_2026.07.21\i#3\rreq\rreq#32_43_result\d#70\v#10\18\ping_collision_summary.csv</t>
  </si>
  <si>
    <t>D:\CBP_2026.07.21\i#3\rreq\rreq#32_43_result\d#70\v#10\19\ping_collision_summary.csv</t>
  </si>
  <si>
    <t>D:\CBP_2026.07.21\i#3\rreq\rreq#32_43_result\d#70\v#10\1\ping_collision_summary.csv</t>
  </si>
  <si>
    <t>D:\CBP_2026.07.21\i#3\rreq\rreq#32_43_result\d#70\v#10\20\ping_collision_summary.csv</t>
  </si>
  <si>
    <t>D:\CBP_2026.07.21\i#3\rreq\rreq#32_43_result\d#70\v#10\21\ping_collision_summary.csv</t>
  </si>
  <si>
    <t>D:\CBP_2026.07.21\i#3\rreq\rreq#32_43_result\d#70\v#10\22\ping_collision_summary.csv</t>
  </si>
  <si>
    <t>D:\CBP_2026.07.21\i#3\rreq\rreq#32_43_result\d#70\v#10\23\ping_collision_summary.csv</t>
  </si>
  <si>
    <t>D:\CBP_2026.07.21\i#3\rreq\rreq#32_43_result\d#70\v#10\24\ping_collision_summary.csv</t>
  </si>
  <si>
    <t>D:\CBP_2026.07.21\i#3\rreq\rreq#32_43_result\d#70\v#10\25\ping_collision_summary.csv</t>
  </si>
  <si>
    <t>D:\CBP_2026.07.21\i#3\rreq\rreq#32_43_result\d#70\v#10\26\ping_collision_summary.csv</t>
  </si>
  <si>
    <t>D:\CBP_2026.07.21\i#3\rreq\rreq#32_43_result\d#70\v#10\27\ping_collision_summary.csv</t>
  </si>
  <si>
    <t>D:\CBP_2026.07.21\i#3\rreq\rreq#32_43_result\d#70\v#10\28\ping_collision_summary.csv</t>
  </si>
  <si>
    <t>D:\CBP_2026.07.21\i#3\rreq\rreq#32_43_result\d#70\v#10\29\ping_collision_summary.csv</t>
  </si>
  <si>
    <t>D:\CBP_2026.07.21\i#3\rreq\rreq#32_43_result\d#70\v#10\2\ping_collision_summary.csv</t>
  </si>
  <si>
    <t>D:\CBP_2026.07.21\i#3\rreq\rreq#32_43_result\d#70\v#10\30\ping_collision_summary.csv</t>
  </si>
  <si>
    <t>D:\CBP_2026.07.21\i#3\rreq\rreq#32_43_result\d#70\v#10\3\ping_collision_summary.csv</t>
  </si>
  <si>
    <t>D:\CBP_2026.07.21\i#3\rreq\rreq#32_43_result\d#70\v#10\4\ping_collision_summary.csv</t>
  </si>
  <si>
    <t>D:\CBP_2026.07.21\i#3\rreq\rreq#32_43_result\d#70\v#10\5\ping_collision_summary.csv</t>
  </si>
  <si>
    <t>D:\CBP_2026.07.21\i#3\rreq\rreq#32_43_result\d#70\v#10\6\ping_collision_summary.csv</t>
  </si>
  <si>
    <t>D:\CBP_2026.07.21\i#3\rreq\rreq#32_43_result\d#70\v#10\7\ping_collision_summary.csv</t>
  </si>
  <si>
    <t>D:\CBP_2026.07.21\i#3\rreq\rreq#32_43_result\d#70\v#10\8\ping_collision_summary.csv</t>
  </si>
  <si>
    <t>D:\CBP_2026.07.21\i#3\rreq\rreq#32_43_result\d#70\v#10\9\ping_collision_summary.csv</t>
  </si>
  <si>
    <t>D:\CBP_2026.07.21\i#3\rreq\rreq#32_43_result\d#70\v#20\0\ping_collision_summary.csv</t>
  </si>
  <si>
    <t>D:\CBP_2026.07.21\i#3\rreq\rreq#32_43_result\d#70\v#20\10\ping_collision_summary.csv</t>
  </si>
  <si>
    <t>D:\CBP_2026.07.21\i#3\rreq\rreq#32_43_result\d#70\v#20\11\ping_collision_summary.csv</t>
  </si>
  <si>
    <t>D:\CBP_2026.07.21\i#3\rreq\rreq#32_43_result\d#70\v#20\12\ping_collision_summary.csv</t>
  </si>
  <si>
    <t>D:\CBP_2026.07.21\i#3\rreq\rreq#32_43_result\d#70\v#20\13\ping_collision_summary.csv</t>
  </si>
  <si>
    <t>D:\CBP_2026.07.21\i#3\rreq\rreq#32_43_result\d#70\v#20\14\ping_collision_summary.csv</t>
  </si>
  <si>
    <t>D:\CBP_2026.07.21\i#3\rreq\rreq#32_43_result\d#70\v#20\15\ping_collision_summary.csv</t>
  </si>
  <si>
    <t>D:\CBP_2026.07.21\i#3\rreq\rreq#32_43_result\d#70\v#20\16\ping_collision_summary.csv</t>
  </si>
  <si>
    <t>D:\CBP_2026.07.21\i#3\rreq\rreq#32_43_result\d#70\v#20\17\ping_collision_summary.csv</t>
  </si>
  <si>
    <t>D:\CBP_2026.07.21\i#3\rreq\rreq#32_43_result\d#70\v#20\18\ping_collision_summary.csv</t>
  </si>
  <si>
    <t>D:\CBP_2026.07.21\i#3\rreq\rreq#32_43_result\d#70\v#20\19\ping_collision_summary.csv</t>
  </si>
  <si>
    <t>D:\CBP_2026.07.21\i#3\rreq\rreq#32_43_result\d#70\v#20\1\ping_collision_summary.csv</t>
  </si>
  <si>
    <t>D:\CBP_2026.07.21\i#3\rreq\rreq#32_43_result\d#70\v#20\20\ping_collision_summary.csv</t>
  </si>
  <si>
    <t>D:\CBP_2026.07.21\i#3\rreq\rreq#32_43_result\d#70\v#20\21\ping_collision_summary.csv</t>
  </si>
  <si>
    <t>D:\CBP_2026.07.21\i#3\rreq\rreq#32_43_result\d#70\v#20\22\ping_collision_summary.csv</t>
  </si>
  <si>
    <t>D:\CBP_2026.07.21\i#3\rreq\rreq#32_43_result\d#70\v#20\23\ping_collision_summary.csv</t>
  </si>
  <si>
    <t>D:\CBP_2026.07.21\i#3\rreq\rreq#32_43_result\d#70\v#20\24\ping_collision_summary.csv</t>
  </si>
  <si>
    <t>D:\CBP_2026.07.21\i#3\rreq\rreq#32_43_result\d#70\v#20\25\ping_collision_summary.csv</t>
  </si>
  <si>
    <t>D:\CBP_2026.07.21\i#3\rreq\rreq#32_43_result\d#70\v#20\26\ping_collision_summary.csv</t>
  </si>
  <si>
    <t>D:\CBP_2026.07.21\i#3\rreq\rreq#32_43_result\d#70\v#20\27\ping_collision_summary.csv</t>
  </si>
  <si>
    <t>D:\CBP_2026.07.21\i#3\rreq\rreq#32_43_result\d#70\v#20\28\ping_collision_summary.csv</t>
  </si>
  <si>
    <t>D:\CBP_2026.07.21\i#3\rreq\rreq#32_43_result\d#70\v#20\29\ping_collision_summary.csv</t>
  </si>
  <si>
    <t>D:\CBP_2026.07.21\i#3\rreq\rreq#32_43_result\d#70\v#20\2\ping_collision_summary.csv</t>
  </si>
  <si>
    <t>D:\CBP_2026.07.21\i#3\rreq\rreq#32_43_result\d#70\v#20\30\ping_collision_summary.csv</t>
  </si>
  <si>
    <t>D:\CBP_2026.07.21\i#3\rreq\rreq#32_43_result\d#70\v#20\3\ping_collision_summary.csv</t>
  </si>
  <si>
    <t>D:\CBP_2026.07.21\i#3\rreq\rreq#32_43_result\d#70\v#20\4\ping_collision_summary.csv</t>
  </si>
  <si>
    <t>D:\CBP_2026.07.21\i#3\rreq\rreq#32_43_result\d#70\v#20\5\ping_collision_summary.csv</t>
  </si>
  <si>
    <t>D:\CBP_2026.07.21\i#3\rreq\rreq#32_43_result\d#70\v#20\6\ping_collision_summary.csv</t>
  </si>
  <si>
    <t>D:\CBP_2026.07.21\i#3\rreq\rreq#32_43_result\d#70\v#20\7\ping_collision_summary.csv</t>
  </si>
  <si>
    <t>D:\CBP_2026.07.21\i#3\rreq\rreq#32_43_result\d#70\v#20\8\ping_collision_summary.csv</t>
  </si>
  <si>
    <t>D:\CBP_2026.07.21\i#3\rreq\rreq#32_43_result\d#70\v#20\9\ping_collision_summary.csv</t>
  </si>
  <si>
    <t>D:\CBP_2026.07.21\i#3\rreq\rreq#32_43_result\d#70\v#30\0\ping_collision_summary.csv</t>
  </si>
  <si>
    <t>D:\CBP_2026.07.21\i#3\rreq\rreq#32_43_result\d#70\v#30\10\ping_collision_summary.csv</t>
  </si>
  <si>
    <t>D:\CBP_2026.07.21\i#3\rreq\rreq#32_43_result\d#70\v#30\11\ping_collision_summary.csv</t>
  </si>
  <si>
    <t>D:\CBP_2026.07.21\i#3\rreq\rreq#32_43_result\d#70\v#30\12\ping_collision_summary.csv</t>
  </si>
  <si>
    <t>D:\CBP_2026.07.21\i#3\rreq\rreq#32_43_result\d#70\v#30\13\ping_collision_summary.csv</t>
  </si>
  <si>
    <t>D:\CBP_2026.07.21\i#3\rreq\rreq#32_43_result\d#70\v#30\14\ping_collision_summary.csv</t>
  </si>
  <si>
    <t>D:\CBP_2026.07.21\i#3\rreq\rreq#32_43_result\d#70\v#30\15\ping_collision_summary.csv</t>
  </si>
  <si>
    <t>D:\CBP_2026.07.21\i#3\rreq\rreq#32_43_result\d#70\v#30\16\ping_collision_summary.csv</t>
  </si>
  <si>
    <t>D:\CBP_2026.07.21\i#3\rreq\rreq#32_43_result\d#70\v#30\17\ping_collision_summary.csv</t>
  </si>
  <si>
    <t>D:\CBP_2026.07.21\i#3\rreq\rreq#32_43_result\d#70\v#30\18\ping_collision_summary.csv</t>
  </si>
  <si>
    <t>D:\CBP_2026.07.21\i#3\rreq\rreq#32_43_result\d#70\v#30\19\ping_collision_summary.csv</t>
  </si>
  <si>
    <t>D:\CBP_2026.07.21\i#3\rreq\rreq#32_43_result\d#70\v#30\1\ping_collision_summary.csv</t>
  </si>
  <si>
    <t>D:\CBP_2026.07.21\i#3\rreq\rreq#32_43_result\d#70\v#30\20\ping_collision_summary.csv</t>
  </si>
  <si>
    <t>D:\CBP_2026.07.21\i#3\rreq\rreq#32_43_result\d#70\v#30\21\ping_collision_summary.csv</t>
  </si>
  <si>
    <t>D:\CBP_2026.07.21\i#3\rreq\rreq#32_43_result\d#70\v#30\22\ping_collision_summary.csv</t>
  </si>
  <si>
    <t>D:\CBP_2026.07.21\i#3\rreq\rreq#32_43_result\d#70\v#30\23\ping_collision_summary.csv</t>
  </si>
  <si>
    <t>D:\CBP_2026.07.21\i#3\rreq\rreq#32_43_result\d#70\v#30\24\ping_collision_summary.csv</t>
  </si>
  <si>
    <t>D:\CBP_2026.07.21\i#3\rreq\rreq#32_43_result\d#70\v#30\25\ping_collision_summary.csv</t>
  </si>
  <si>
    <t>D:\CBP_2026.07.21\i#3\rreq\rreq#32_43_result\d#70\v#30\26\ping_collision_summary.csv</t>
  </si>
  <si>
    <t>D:\CBP_2026.07.21\i#3\rreq\rreq#32_43_result\d#70\v#30\27\ping_collision_summary.csv</t>
  </si>
  <si>
    <t>D:\CBP_2026.07.21\i#3\rreq\rreq#32_43_result\d#70\v#30\28\ping_collision_summary.csv</t>
  </si>
  <si>
    <t>D:\CBP_2026.07.21\i#3\rreq\rreq#32_43_result\d#70\v#30\29\ping_collision_summary.csv</t>
  </si>
  <si>
    <t>D:\CBP_2026.07.21\i#3\rreq\rreq#32_43_result\d#70\v#30\2\ping_collision_summary.csv</t>
  </si>
  <si>
    <t>D:\CBP_2026.07.21\i#3\rreq\rreq#32_43_result\d#70\v#30\30\ping_collision_summary.csv</t>
  </si>
  <si>
    <t>D:\CBP_2026.07.21\i#3\rreq\rreq#32_43_result\d#70\v#30\3\ping_collision_summary.csv</t>
  </si>
  <si>
    <t>D:\CBP_2026.07.21\i#3\rreq\rreq#32_43_result\d#70\v#30\4\ping_collision_summary.csv</t>
  </si>
  <si>
    <t>D:\CBP_2026.07.21\i#3\rreq\rreq#32_43_result\d#70\v#30\5\ping_collision_summary.csv</t>
  </si>
  <si>
    <t>D:\CBP_2026.07.21\i#3\rreq\rreq#32_43_result\d#70\v#30\6\ping_collision_summary.csv</t>
  </si>
  <si>
    <t>D:\CBP_2026.07.21\i#3\rreq\rreq#32_43_result\d#70\v#30\7\ping_collision_summary.csv</t>
  </si>
  <si>
    <t>D:\CBP_2026.07.21\i#3\rreq\rreq#32_43_result\d#70\v#30\8\ping_collision_summary.csv</t>
  </si>
  <si>
    <t>D:\CBP_2026.07.21\i#3\rreq\rreq#32_43_result\d#70\v#30\9\ping_collision_summary.csv</t>
  </si>
  <si>
    <t>D:\CBP_2026.07.21\i#3\rreq\rreq#43_101_result\d#100\v#10\0\ping_collision_summary.csv</t>
  </si>
  <si>
    <t>D:\CBP_2026.07.21\i#3\rreq\rreq#43_101_result\d#100\v#10\10\ping_collision_summary.csv</t>
  </si>
  <si>
    <t>D:\CBP_2026.07.21\i#3\rreq\rreq#43_101_result\d#100\v#10\11\ping_collision_summary.csv</t>
  </si>
  <si>
    <t>D:\CBP_2026.07.21\i#3\rreq\rreq#43_101_result\d#100\v#10\12\ping_collision_summary.csv</t>
  </si>
  <si>
    <t>D:\CBP_2026.07.21\i#3\rreq\rreq#43_101_result\d#100\v#10\13\ping_collision_summary.csv</t>
  </si>
  <si>
    <t>D:\CBP_2026.07.21\i#3\rreq\rreq#43_101_result\d#100\v#10\14\ping_collision_summary.csv</t>
  </si>
  <si>
    <t>D:\CBP_2026.07.21\i#3\rreq\rreq#43_101_result\d#100\v#10\15\ping_collision_summary.csv</t>
  </si>
  <si>
    <t>D:\CBP_2026.07.21\i#3\rreq\rreq#43_101_result\d#100\v#10\16\ping_collision_summary.csv</t>
  </si>
  <si>
    <t>D:\CBP_2026.07.21\i#3\rreq\rreq#43_101_result\d#100\v#10\17\ping_collision_summary.csv</t>
  </si>
  <si>
    <t>D:\CBP_2026.07.21\i#3\rreq\rreq#43_101_result\d#100\v#10\18\ping_collision_summary.csv</t>
  </si>
  <si>
    <t>D:\CBP_2026.07.21\i#3\rreq\rreq#43_101_result\d#100\v#10\19\ping_collision_summary.csv</t>
  </si>
  <si>
    <t>D:\CBP_2026.07.21\i#3\rreq\rreq#43_101_result\d#100\v#10\1\ping_collision_summary.csv</t>
  </si>
  <si>
    <t>D:\CBP_2026.07.21\i#3\rreq\rreq#43_101_result\d#100\v#10\20\ping_collision_summary.csv</t>
  </si>
  <si>
    <t>D:\CBP_2026.07.21\i#3\rreq\rreq#43_101_result\d#100\v#10\21\ping_collision_summary.csv</t>
  </si>
  <si>
    <t>D:\CBP_2026.07.21\i#3\rreq\rreq#43_101_result\d#100\v#10\22\ping_collision_summary.csv</t>
  </si>
  <si>
    <t>D:\CBP_2026.07.21\i#3\rreq\rreq#43_101_result\d#100\v#10\23\ping_collision_summary.csv</t>
  </si>
  <si>
    <t>D:\CBP_2026.07.21\i#3\rreq\rreq#43_101_result\d#100\v#10\24\ping_collision_summary.csv</t>
  </si>
  <si>
    <t>D:\CBP_2026.07.21\i#3\rreq\rreq#43_101_result\d#100\v#10\25\ping_collision_summary.csv</t>
  </si>
  <si>
    <t>D:\CBP_2026.07.21\i#3\rreq\rreq#43_101_result\d#100\v#10\26\ping_collision_summary.csv</t>
  </si>
  <si>
    <t>D:\CBP_2026.07.21\i#3\rreq\rreq#43_101_result\d#100\v#10\27\ping_collision_summary.csv</t>
  </si>
  <si>
    <t>D:\CBP_2026.07.21\i#3\rreq\rreq#43_101_result\d#100\v#10\28\ping_collision_summary.csv</t>
  </si>
  <si>
    <t>D:\CBP_2026.07.21\i#3\rreq\rreq#43_101_result\d#100\v#10\29\ping_collision_summary.csv</t>
  </si>
  <si>
    <t>D:\CBP_2026.07.21\i#3\rreq\rreq#43_101_result\d#100\v#10\2\ping_collision_summary.csv</t>
  </si>
  <si>
    <t>D:\CBP_2026.07.21\i#3\rreq\rreq#43_101_result\d#100\v#10\30\ping_collision_summary.csv</t>
  </si>
  <si>
    <t>D:\CBP_2026.07.21\i#3\rreq\rreq#43_101_result\d#100\v#10\3\ping_collision_summary.csv</t>
  </si>
  <si>
    <t>D:\CBP_2026.07.21\i#3\rreq\rreq#43_101_result\d#100\v#10\4\ping_collision_summary.csv</t>
  </si>
  <si>
    <t>D:\CBP_2026.07.21\i#3\rreq\rreq#43_101_result\d#100\v#10\5\ping_collision_summary.csv</t>
  </si>
  <si>
    <t>D:\CBP_2026.07.21\i#3\rreq\rreq#43_101_result\d#100\v#10\6\ping_collision_summary.csv</t>
  </si>
  <si>
    <t>D:\CBP_2026.07.21\i#3\rreq\rreq#43_101_result\d#100\v#10\7\ping_collision_summary.csv</t>
  </si>
  <si>
    <t>D:\CBP_2026.07.21\i#3\rreq\rreq#43_101_result\d#100\v#10\8\ping_collision_summary.csv</t>
  </si>
  <si>
    <t>D:\CBP_2026.07.21\i#3\rreq\rreq#43_101_result\d#100\v#10\9\ping_collision_summary.csv</t>
  </si>
  <si>
    <t>D:\CBP_2026.07.21\i#3\rreq\rreq#43_101_result\d#100\v#20\0\ping_collision_summary.csv</t>
  </si>
  <si>
    <t>D:\CBP_2026.07.21\i#3\rreq\rreq#43_101_result\d#100\v#20\10\ping_collision_summary.csv</t>
  </si>
  <si>
    <t>D:\CBP_2026.07.21\i#3\rreq\rreq#43_101_result\d#100\v#20\11\ping_collision_summary.csv</t>
  </si>
  <si>
    <t>D:\CBP_2026.07.21\i#3\rreq\rreq#43_101_result\d#100\v#20\12\ping_collision_summary.csv</t>
  </si>
  <si>
    <t>D:\CBP_2026.07.21\i#3\rreq\rreq#43_101_result\d#100\v#20\13\ping_collision_summary.csv</t>
  </si>
  <si>
    <t>D:\CBP_2026.07.21\i#3\rreq\rreq#43_101_result\d#100\v#20\14\ping_collision_summary.csv</t>
  </si>
  <si>
    <t>D:\CBP_2026.07.21\i#3\rreq\rreq#43_101_result\d#100\v#20\15\ping_collision_summary.csv</t>
  </si>
  <si>
    <t>D:\CBP_2026.07.21\i#3\rreq\rreq#43_101_result\d#100\v#20\16\ping_collision_summary.csv</t>
  </si>
  <si>
    <t>D:\CBP_2026.07.21\i#3\rreq\rreq#43_101_result\d#100\v#20\17\ping_collision_summary.csv</t>
  </si>
  <si>
    <t>D:\CBP_2026.07.21\i#3\rreq\rreq#43_101_result\d#100\v#20\18\ping_collision_summary.csv</t>
  </si>
  <si>
    <t>D:\CBP_2026.07.21\i#3\rreq\rreq#43_101_result\d#100\v#20\19\ping_collision_summary.csv</t>
  </si>
  <si>
    <t>D:\CBP_2026.07.21\i#3\rreq\rreq#43_101_result\d#100\v#20\1\ping_collision_summary.csv</t>
  </si>
  <si>
    <t>D:\CBP_2026.07.21\i#3\rreq\rreq#43_101_result\d#100\v#20\20\ping_collision_summary.csv</t>
  </si>
  <si>
    <t>D:\CBP_2026.07.21\i#3\rreq\rreq#43_101_result\d#100\v#20\21\ping_collision_summary.csv</t>
  </si>
  <si>
    <t>D:\CBP_2026.07.21\i#3\rreq\rreq#43_101_result\d#100\v#20\22\ping_collision_summary.csv</t>
  </si>
  <si>
    <t>D:\CBP_2026.07.21\i#3\rreq\rreq#43_101_result\d#100\v#20\23\ping_collision_summary.csv</t>
  </si>
  <si>
    <t>D:\CBP_2026.07.21\i#3\rreq\rreq#43_101_result\d#100\v#20\24\ping_collision_summary.csv</t>
  </si>
  <si>
    <t>D:\CBP_2026.07.21\i#3\rreq\rreq#43_101_result\d#100\v#20\25\ping_collision_summary.csv</t>
  </si>
  <si>
    <t>D:\CBP_2026.07.21\i#3\rreq\rreq#43_101_result\d#100\v#20\26\ping_collision_summary.csv</t>
  </si>
  <si>
    <t>D:\CBP_2026.07.21\i#3\rreq\rreq#43_101_result\d#100\v#20\27\ping_collision_summary.csv</t>
  </si>
  <si>
    <t>D:\CBP_2026.07.21\i#3\rreq\rreq#43_101_result\d#100\v#20\28\ping_collision_summary.csv</t>
  </si>
  <si>
    <t>D:\CBP_2026.07.21\i#3\rreq\rreq#43_101_result\d#100\v#20\29\ping_collision_summary.csv</t>
  </si>
  <si>
    <t>D:\CBP_2026.07.21\i#3\rreq\rreq#43_101_result\d#100\v#20\2\ping_collision_summary.csv</t>
  </si>
  <si>
    <t>D:\CBP_2026.07.21\i#3\rreq\rreq#43_101_result\d#100\v#20\30\ping_collision_summary.csv</t>
  </si>
  <si>
    <t>D:\CBP_2026.07.21\i#3\rreq\rreq#43_101_result\d#100\v#20\3\ping_collision_summary.csv</t>
  </si>
  <si>
    <t>D:\CBP_2026.07.21\i#3\rreq\rreq#43_101_result\d#100\v#20\4\ping_collision_summary.csv</t>
  </si>
  <si>
    <t>D:\CBP_2026.07.21\i#3\rreq\rreq#43_101_result\d#100\v#20\5\ping_collision_summary.csv</t>
  </si>
  <si>
    <t>D:\CBP_2026.07.21\i#3\rreq\rreq#43_101_result\d#100\v#20\6\ping_collision_summary.csv</t>
  </si>
  <si>
    <t>D:\CBP_2026.07.21\i#3\rreq\rreq#43_101_result\d#100\v#20\7\ping_collision_summary.csv</t>
  </si>
  <si>
    <t>D:\CBP_2026.07.21\i#3\rreq\rreq#43_101_result\d#100\v#20\8\ping_collision_summary.csv</t>
  </si>
  <si>
    <t>D:\CBP_2026.07.21\i#3\rreq\rreq#43_101_result\d#100\v#20\9\ping_collision_summary.csv</t>
  </si>
  <si>
    <t>D:\CBP_2026.07.21\i#3\rreq\rreq#43_101_result\d#100\v#30\0\ping_collision_summary.csv</t>
  </si>
  <si>
    <t>D:\CBP_2026.07.21\i#3\rreq\rreq#43_101_result\d#100\v#30\10\ping_collision_summary.csv</t>
  </si>
  <si>
    <t>D:\CBP_2026.07.21\i#3\rreq\rreq#43_101_result\d#100\v#30\11\ping_collision_summary.csv</t>
  </si>
  <si>
    <t>D:\CBP_2026.07.21\i#3\rreq\rreq#43_101_result\d#100\v#30\12\ping_collision_summary.csv</t>
  </si>
  <si>
    <t>D:\CBP_2026.07.21\i#3\rreq\rreq#43_101_result\d#100\v#30\13\ping_collision_summary.csv</t>
  </si>
  <si>
    <t>D:\CBP_2026.07.21\i#3\rreq\rreq#43_101_result\d#100\v#30\14\ping_collision_summary.csv</t>
  </si>
  <si>
    <t>D:\CBP_2026.07.21\i#3\rreq\rreq#43_101_result\d#100\v#30\15\ping_collision_summary.csv</t>
  </si>
  <si>
    <t>D:\CBP_2026.07.21\i#3\rreq\rreq#43_101_result\d#100\v#30\16\ping_collision_summary.csv</t>
  </si>
  <si>
    <t>D:\CBP_2026.07.21\i#3\rreq\rreq#43_101_result\d#100\v#30\17\ping_collision_summary.csv</t>
  </si>
  <si>
    <t>D:\CBP_2026.07.21\i#3\rreq\rreq#43_101_result\d#100\v#30\18\ping_collision_summary.csv</t>
  </si>
  <si>
    <t>D:\CBP_2026.07.21\i#3\rreq\rreq#43_101_result\d#100\v#30\19\ping_collision_summary.csv</t>
  </si>
  <si>
    <t>D:\CBP_2026.07.21\i#3\rreq\rreq#43_101_result\d#100\v#30\1\ping_collision_summary.csv</t>
  </si>
  <si>
    <t>D:\CBP_2026.07.21\i#3\rreq\rreq#43_101_result\d#100\v#30\20\ping_collision_summary.csv</t>
  </si>
  <si>
    <t>D:\CBP_2026.07.21\i#3\rreq\rreq#43_101_result\d#100\v#30\21\ping_collision_summary.csv</t>
  </si>
  <si>
    <t>D:\CBP_2026.07.21\i#3\rreq\rreq#43_101_result\d#100\v#30\22\ping_collision_summary.csv</t>
  </si>
  <si>
    <t>D:\CBP_2026.07.21\i#3\rreq\rreq#43_101_result\d#100\v#30\23\ping_collision_summary.csv</t>
  </si>
  <si>
    <t>D:\CBP_2026.07.21\i#3\rreq\rreq#43_101_result\d#100\v#30\24\ping_collision_summary.csv</t>
  </si>
  <si>
    <t>D:\CBP_2026.07.21\i#3\rreq\rreq#43_101_result\d#100\v#30\25\ping_collision_summary.csv</t>
  </si>
  <si>
    <t>D:\CBP_2026.07.21\i#3\rreq\rreq#43_101_result\d#100\v#30\26\ping_collision_summary.csv</t>
  </si>
  <si>
    <t>D:\CBP_2026.07.21\i#3\rreq\rreq#43_101_result\d#100\v#30\27\ping_collision_summary.csv</t>
  </si>
  <si>
    <t>D:\CBP_2026.07.21\i#3\rreq\rreq#43_101_result\d#100\v#30\28\ping_collision_summary.csv</t>
  </si>
  <si>
    <t>D:\CBP_2026.07.21\i#3\rreq\rreq#43_101_result\d#100\v#30\29\ping_collision_summary.csv</t>
  </si>
  <si>
    <t>D:\CBP_2026.07.21\i#3\rreq\rreq#43_101_result\d#100\v#30\2\ping_collision_summary.csv</t>
  </si>
  <si>
    <t>D:\CBP_2026.07.21\i#3\rreq\rreq#43_101_result\d#100\v#30\30\ping_collision_summary.csv</t>
  </si>
  <si>
    <t>D:\CBP_2026.07.21\i#3\rreq\rreq#43_101_result\d#100\v#30\3\ping_collision_summary.csv</t>
  </si>
  <si>
    <t>D:\CBP_2026.07.21\i#3\rreq\rreq#43_101_result\d#100\v#30\4\ping_collision_summary.csv</t>
  </si>
  <si>
    <t>D:\CBP_2026.07.21\i#3\rreq\rreq#43_101_result\d#100\v#30\5\ping_collision_summary.csv</t>
  </si>
  <si>
    <t>D:\CBP_2026.07.21\i#3\rreq\rreq#43_101_result\d#100\v#30\6\ping_collision_summary.csv</t>
  </si>
  <si>
    <t>D:\CBP_2026.07.21\i#3\rreq\rreq#43_101_result\d#100\v#30\7\ping_collision_summary.csv</t>
  </si>
  <si>
    <t>D:\CBP_2026.07.21\i#3\rreq\rreq#43_101_result\d#100\v#30\8\ping_collision_summary.csv</t>
  </si>
  <si>
    <t>D:\CBP_2026.07.21\i#3\rreq\rreq#43_101_result\d#100\v#30\9\ping_collision_summary.csv</t>
  </si>
  <si>
    <t>D:\CBP_2026.07.21\i#3\rreq\rreq#43_101_result\d#120\v#10\0\ping_collision_summary.csv</t>
  </si>
  <si>
    <t>D:\CBP_2026.07.21\i#3\rreq\rreq#43_101_result\d#120\v#10\10\ping_collision_summary.csv</t>
  </si>
  <si>
    <t>D:\CBP_2026.07.21\i#3\rreq\rreq#43_101_result\d#120\v#10\11\ping_collision_summary.csv</t>
  </si>
  <si>
    <t>D:\CBP_2026.07.21\i#3\rreq\rreq#43_101_result\d#120\v#10\12\ping_collision_summary.csv</t>
  </si>
  <si>
    <t>D:\CBP_2026.07.21\i#3\rreq\rreq#43_101_result\d#120\v#10\13\ping_collision_summary.csv</t>
  </si>
  <si>
    <t>D:\CBP_2026.07.21\i#3\rreq\rreq#43_101_result\d#120\v#10\14\ping_collision_summary.csv</t>
  </si>
  <si>
    <t>D:\CBP_2026.07.21\i#3\rreq\rreq#43_101_result\d#120\v#10\15\ping_collision_summary.csv</t>
  </si>
  <si>
    <t>D:\CBP_2026.07.21\i#3\rreq\rreq#43_101_result\d#120\v#10\16\ping_collision_summary.csv</t>
  </si>
  <si>
    <t>D:\CBP_2026.07.21\i#3\rreq\rreq#43_101_result\d#120\v#10\17\ping_collision_summary.csv</t>
  </si>
  <si>
    <t>D:\CBP_2026.07.21\i#3\rreq\rreq#43_101_result\d#120\v#10\18\ping_collision_summary.csv</t>
  </si>
  <si>
    <t>D:\CBP_2026.07.21\i#3\rreq\rreq#43_101_result\d#120\v#10\19\ping_collision_summary.csv</t>
  </si>
  <si>
    <t>D:\CBP_2026.07.21\i#3\rreq\rreq#43_101_result\d#120\v#10\1\ping_collision_summary.csv</t>
  </si>
  <si>
    <t>D:\CBP_2026.07.21\i#3\rreq\rreq#43_101_result\d#120\v#10\20\ping_collision_summary.csv</t>
  </si>
  <si>
    <t>D:\CBP_2026.07.21\i#3\rreq\rreq#43_101_result\d#120\v#10\21\ping_collision_summary.csv</t>
  </si>
  <si>
    <t>D:\CBP_2026.07.21\i#3\rreq\rreq#43_101_result\d#120\v#10\22\ping_collision_summary.csv</t>
  </si>
  <si>
    <t>D:\CBP_2026.07.21\i#3\rreq\rreq#43_101_result\d#120\v#10\23\ping_collision_summary.csv</t>
  </si>
  <si>
    <t>D:\CBP_2026.07.21\i#3\rreq\rreq#43_101_result\d#120\v#10\24\ping_collision_summary.csv</t>
  </si>
  <si>
    <t>D:\CBP_2026.07.21\i#3\rreq\rreq#43_101_result\d#120\v#10\25\ping_collision_summary.csv</t>
  </si>
  <si>
    <t>D:\CBP_2026.07.21\i#3\rreq\rreq#43_101_result\d#120\v#10\26\ping_collision_summary.csv</t>
  </si>
  <si>
    <t>D:\CBP_2026.07.21\i#3\rreq\rreq#43_101_result\d#120\v#10\27\ping_collision_summary.csv</t>
  </si>
  <si>
    <t>D:\CBP_2026.07.21\i#3\rreq\rreq#43_101_result\d#120\v#10\28\ping_collision_summary.csv</t>
  </si>
  <si>
    <t>D:\CBP_2026.07.21\i#3\rreq\rreq#43_101_result\d#120\v#10\29\ping_collision_summary.csv</t>
  </si>
  <si>
    <t>D:\CBP_2026.07.21\i#3\rreq\rreq#43_101_result\d#120\v#10\2\ping_collision_summary.csv</t>
  </si>
  <si>
    <t>D:\CBP_2026.07.21\i#3\rreq\rreq#43_101_result\d#120\v#10\30\ping_collision_summary.csv</t>
  </si>
  <si>
    <t>D:\CBP_2026.07.21\i#3\rreq\rreq#43_101_result\d#120\v#10\3\ping_collision_summary.csv</t>
  </si>
  <si>
    <t>D:\CBP_2026.07.21\i#3\rreq\rreq#43_101_result\d#120\v#10\4\ping_collision_summary.csv</t>
  </si>
  <si>
    <t>D:\CBP_2026.07.21\i#3\rreq\rreq#43_101_result\d#120\v#10\5\ping_collision_summary.csv</t>
  </si>
  <si>
    <t>D:\CBP_2026.07.21\i#3\rreq\rreq#43_101_result\d#120\v#10\6\ping_collision_summary.csv</t>
  </si>
  <si>
    <t>D:\CBP_2026.07.21\i#3\rreq\rreq#43_101_result\d#120\v#10\7\ping_collision_summary.csv</t>
  </si>
  <si>
    <t>D:\CBP_2026.07.21\i#3\rreq\rreq#43_101_result\d#120\v#10\8\ping_collision_summary.csv</t>
  </si>
  <si>
    <t>D:\CBP_2026.07.21\i#3\rreq\rreq#43_101_result\d#120\v#10\9\ping_collision_summary.csv</t>
  </si>
  <si>
    <t>D:\CBP_2026.07.21\i#3\rreq\rreq#43_101_result\d#120\v#20\0\ping_collision_summary.csv</t>
  </si>
  <si>
    <t>D:\CBP_2026.07.21\i#3\rreq\rreq#43_101_result\d#120\v#20\10\ping_collision_summary.csv</t>
  </si>
  <si>
    <t>D:\CBP_2026.07.21\i#3\rreq\rreq#43_101_result\d#120\v#20\11\ping_collision_summary.csv</t>
  </si>
  <si>
    <t>D:\CBP_2026.07.21\i#3\rreq\rreq#43_101_result\d#120\v#20\12\ping_collision_summary.csv</t>
  </si>
  <si>
    <t>D:\CBP_2026.07.21\i#3\rreq\rreq#43_101_result\d#120\v#20\13\ping_collision_summary.csv</t>
  </si>
  <si>
    <t>D:\CBP_2026.07.21\i#3\rreq\rreq#43_101_result\d#120\v#20\14\ping_collision_summary.csv</t>
  </si>
  <si>
    <t>D:\CBP_2026.07.21\i#3\rreq\rreq#43_101_result\d#120\v#20\15\ping_collision_summary.csv</t>
  </si>
  <si>
    <t>D:\CBP_2026.07.21\i#3\rreq\rreq#43_101_result\d#120\v#20\16\ping_collision_summary.csv</t>
  </si>
  <si>
    <t>D:\CBP_2026.07.21\i#3\rreq\rreq#43_101_result\d#120\v#20\17\ping_collision_summary.csv</t>
  </si>
  <si>
    <t>D:\CBP_2026.07.21\i#3\rreq\rreq#43_101_result\d#120\v#20\18\ping_collision_summary.csv</t>
  </si>
  <si>
    <t>D:\CBP_2026.07.21\i#3\rreq\rreq#43_101_result\d#120\v#20\19\ping_collision_summary.csv</t>
  </si>
  <si>
    <t>D:\CBP_2026.07.21\i#3\rreq\rreq#43_101_result\d#120\v#20\1\ping_collision_summary.csv</t>
  </si>
  <si>
    <t>D:\CBP_2026.07.21\i#3\rreq\rreq#43_101_result\d#120\v#20\20\ping_collision_summary.csv</t>
  </si>
  <si>
    <t>D:\CBP_2026.07.21\i#3\rreq\rreq#43_101_result\d#120\v#20\21\ping_collision_summary.csv</t>
  </si>
  <si>
    <t>D:\CBP_2026.07.21\i#3\rreq\rreq#43_101_result\d#120\v#20\22\ping_collision_summary.csv</t>
  </si>
  <si>
    <t>D:\CBP_2026.07.21\i#3\rreq\rreq#43_101_result\d#120\v#20\23\ping_collision_summary.csv</t>
  </si>
  <si>
    <t>D:\CBP_2026.07.21\i#3\rreq\rreq#43_101_result\d#120\v#20\24\ping_collision_summary.csv</t>
  </si>
  <si>
    <t>D:\CBP_2026.07.21\i#3\rreq\rreq#43_101_result\d#120\v#20\25\ping_collision_summary.csv</t>
  </si>
  <si>
    <t>D:\CBP_2026.07.21\i#3\rreq\rreq#43_101_result\d#120\v#20\26\ping_collision_summary.csv</t>
  </si>
  <si>
    <t>D:\CBP_2026.07.21\i#3\rreq\rreq#43_101_result\d#120\v#20\27\ping_collision_summary.csv</t>
  </si>
  <si>
    <t>D:\CBP_2026.07.21\i#3\rreq\rreq#43_101_result\d#120\v#20\28\ping_collision_summary.csv</t>
  </si>
  <si>
    <t>D:\CBP_2026.07.21\i#3\rreq\rreq#43_101_result\d#120\v#20\29\ping_collision_summary.csv</t>
  </si>
  <si>
    <t>D:\CBP_2026.07.21\i#3\rreq\rreq#43_101_result\d#120\v#20\2\ping_collision_summary.csv</t>
  </si>
  <si>
    <t>D:\CBP_2026.07.21\i#3\rreq\rreq#43_101_result\d#120\v#20\30\ping_collision_summary.csv</t>
  </si>
  <si>
    <t>D:\CBP_2026.07.21\i#3\rreq\rreq#43_101_result\d#120\v#20\3\ping_collision_summary.csv</t>
  </si>
  <si>
    <t>D:\CBP_2026.07.21\i#3\rreq\rreq#43_101_result\d#120\v#20\4\ping_collision_summary.csv</t>
  </si>
  <si>
    <t>D:\CBP_2026.07.21\i#3\rreq\rreq#43_101_result\d#120\v#20\5\ping_collision_summary.csv</t>
  </si>
  <si>
    <t>D:\CBP_2026.07.21\i#3\rreq\rreq#43_101_result\d#120\v#20\6\ping_collision_summary.csv</t>
  </si>
  <si>
    <t>D:\CBP_2026.07.21\i#3\rreq\rreq#43_101_result\d#120\v#20\7\ping_collision_summary.csv</t>
  </si>
  <si>
    <t>D:\CBP_2026.07.21\i#3\rreq\rreq#43_101_result\d#120\v#20\8\ping_collision_summary.csv</t>
  </si>
  <si>
    <t>D:\CBP_2026.07.21\i#3\rreq\rreq#43_101_result\d#120\v#20\9\ping_collision_summary.csv</t>
  </si>
  <si>
    <t>D:\CBP_2026.07.21\i#3\rreq\rreq#43_101_result\d#120\v#30\0\ping_collision_summary.csv</t>
  </si>
  <si>
    <t>D:\CBP_2026.07.21\i#3\rreq\rreq#43_101_result\d#120\v#30\10\ping_collision_summary.csv</t>
  </si>
  <si>
    <t>D:\CBP_2026.07.21\i#3\rreq\rreq#43_101_result\d#120\v#30\11\ping_collision_summary.csv</t>
  </si>
  <si>
    <t>D:\CBP_2026.07.21\i#3\rreq\rreq#43_101_result\d#120\v#30\12\ping_collision_summary.csv</t>
  </si>
  <si>
    <t>D:\CBP_2026.07.21\i#3\rreq\rreq#43_101_result\d#120\v#30\13\ping_collision_summary.csv</t>
  </si>
  <si>
    <t>D:\CBP_2026.07.21\i#3\rreq\rreq#43_101_result\d#120\v#30\14\ping_collision_summary.csv</t>
  </si>
  <si>
    <t>D:\CBP_2026.07.21\i#3\rreq\rreq#43_101_result\d#120\v#30\15\ping_collision_summary.csv</t>
  </si>
  <si>
    <t>D:\CBP_2026.07.21\i#3\rreq\rreq#43_101_result\d#120\v#30\16\ping_collision_summary.csv</t>
  </si>
  <si>
    <t>D:\CBP_2026.07.21\i#3\rreq\rreq#43_101_result\d#120\v#30\17\ping_collision_summary.csv</t>
  </si>
  <si>
    <t>D:\CBP_2026.07.21\i#3\rreq\rreq#43_101_result\d#120\v#30\18\ping_collision_summary.csv</t>
  </si>
  <si>
    <t>D:\CBP_2026.07.21\i#3\rreq\rreq#43_101_result\d#120\v#30\19\ping_collision_summary.csv</t>
  </si>
  <si>
    <t>D:\CBP_2026.07.21\i#3\rreq\rreq#43_101_result\d#120\v#30\1\ping_collision_summary.csv</t>
  </si>
  <si>
    <t>D:\CBP_2026.07.21\i#3\rreq\rreq#43_101_result\d#120\v#30\20\ping_collision_summary.csv</t>
  </si>
  <si>
    <t>D:\CBP_2026.07.21\i#3\rreq\rreq#43_101_result\d#120\v#30\21\ping_collision_summary.csv</t>
  </si>
  <si>
    <t>D:\CBP_2026.07.21\i#3\rreq\rreq#43_101_result\d#120\v#30\22\ping_collision_summary.csv</t>
  </si>
  <si>
    <t>D:\CBP_2026.07.21\i#3\rreq\rreq#43_101_result\d#120\v#30\23\ping_collision_summary.csv</t>
  </si>
  <si>
    <t>D:\CBP_2026.07.21\i#3\rreq\rreq#43_101_result\d#120\v#30\24\ping_collision_summary.csv</t>
  </si>
  <si>
    <t>D:\CBP_2026.07.21\i#3\rreq\rreq#43_101_result\d#120\v#30\25\ping_collision_summary.csv</t>
  </si>
  <si>
    <t>D:\CBP_2026.07.21\i#3\rreq\rreq#43_101_result\d#120\v#30\26\ping_collision_summary.csv</t>
  </si>
  <si>
    <t>D:\CBP_2026.07.21\i#3\rreq\rreq#43_101_result\d#120\v#30\27\ping_collision_summary.csv</t>
  </si>
  <si>
    <t>D:\CBP_2026.07.21\i#3\rreq\rreq#43_101_result\d#120\v#30\28\ping_collision_summary.csv</t>
  </si>
  <si>
    <t>D:\CBP_2026.07.21\i#3\rreq\rreq#43_101_result\d#120\v#30\29\ping_collision_summary.csv</t>
  </si>
  <si>
    <t>D:\CBP_2026.07.21\i#3\rreq\rreq#43_101_result\d#120\v#30\2\ping_collision_summary.csv</t>
  </si>
  <si>
    <t>D:\CBP_2026.07.21\i#3\rreq\rreq#43_101_result\d#120\v#30\30\ping_collision_summary.csv</t>
  </si>
  <si>
    <t>D:\CBP_2026.07.21\i#3\rreq\rreq#43_101_result\d#120\v#30\3\ping_collision_summary.csv</t>
  </si>
  <si>
    <t>D:\CBP_2026.07.21\i#3\rreq\rreq#43_101_result\d#120\v#30\4\ping_collision_summary.csv</t>
  </si>
  <si>
    <t>D:\CBP_2026.07.21\i#3\rreq\rreq#43_101_result\d#120\v#30\5\ping_collision_summary.csv</t>
  </si>
  <si>
    <t>D:\CBP_2026.07.21\i#3\rreq\rreq#43_101_result\d#120\v#30\6\ping_collision_summary.csv</t>
  </si>
  <si>
    <t>D:\CBP_2026.07.21\i#3\rreq\rreq#43_101_result\d#120\v#30\7\ping_collision_summary.csv</t>
  </si>
  <si>
    <t>D:\CBP_2026.07.21\i#3\rreq\rreq#43_101_result\d#120\v#30\8\ping_collision_summary.csv</t>
  </si>
  <si>
    <t>D:\CBP_2026.07.21\i#3\rreq\rreq#43_101_result\d#120\v#30\9\ping_collision_summary.csv</t>
  </si>
  <si>
    <t>D:\CBP_2026.07.21\i#3\rreq\rreq#43_101_result\d#70\v#10\0\ping_collision_summary.csv</t>
  </si>
  <si>
    <t>D:\CBP_2026.07.21\i#3\rreq\rreq#43_101_result\d#70\v#10\10\ping_collision_summary.csv</t>
  </si>
  <si>
    <t>D:\CBP_2026.07.21\i#3\rreq\rreq#43_101_result\d#70\v#10\11\ping_collision_summary.csv</t>
  </si>
  <si>
    <t>D:\CBP_2026.07.21\i#3\rreq\rreq#43_101_result\d#70\v#10\12\ping_collision_summary.csv</t>
  </si>
  <si>
    <t>D:\CBP_2026.07.21\i#3\rreq\rreq#43_101_result\d#70\v#10\13\ping_collision_summary.csv</t>
  </si>
  <si>
    <t>D:\CBP_2026.07.21\i#3\rreq\rreq#43_101_result\d#70\v#10\14\ping_collision_summary.csv</t>
  </si>
  <si>
    <t>D:\CBP_2026.07.21\i#3\rreq\rreq#43_101_result\d#70\v#10\15\ping_collision_summary.csv</t>
  </si>
  <si>
    <t>D:\CBP_2026.07.21\i#3\rreq\rreq#43_101_result\d#70\v#10\16\ping_collision_summary.csv</t>
  </si>
  <si>
    <t>D:\CBP_2026.07.21\i#3\rreq\rreq#43_101_result\d#70\v#10\17\ping_collision_summary.csv</t>
  </si>
  <si>
    <t>D:\CBP_2026.07.21\i#3\rreq\rreq#43_101_result\d#70\v#10\18\ping_collision_summary.csv</t>
  </si>
  <si>
    <t>D:\CBP_2026.07.21\i#3\rreq\rreq#43_101_result\d#70\v#10\19\ping_collision_summary.csv</t>
  </si>
  <si>
    <t>D:\CBP_2026.07.21\i#3\rreq\rreq#43_101_result\d#70\v#10\1\ping_collision_summary.csv</t>
  </si>
  <si>
    <t>D:\CBP_2026.07.21\i#3\rreq\rreq#43_101_result\d#70\v#10\20\ping_collision_summary.csv</t>
  </si>
  <si>
    <t>D:\CBP_2026.07.21\i#3\rreq\rreq#43_101_result\d#70\v#10\21\ping_collision_summary.csv</t>
  </si>
  <si>
    <t>D:\CBP_2026.07.21\i#3\rreq\rreq#43_101_result\d#70\v#10\22\ping_collision_summary.csv</t>
  </si>
  <si>
    <t>D:\CBP_2026.07.21\i#3\rreq\rreq#43_101_result\d#70\v#10\23\ping_collision_summary.csv</t>
  </si>
  <si>
    <t>D:\CBP_2026.07.21\i#3\rreq\rreq#43_101_result\d#70\v#10\24\ping_collision_summary.csv</t>
  </si>
  <si>
    <t>D:\CBP_2026.07.21\i#3\rreq\rreq#43_101_result\d#70\v#10\25\ping_collision_summary.csv</t>
  </si>
  <si>
    <t>D:\CBP_2026.07.21\i#3\rreq\rreq#43_101_result\d#70\v#10\26\ping_collision_summary.csv</t>
  </si>
  <si>
    <t>D:\CBP_2026.07.21\i#3\rreq\rreq#43_101_result\d#70\v#10\27\ping_collision_summary.csv</t>
  </si>
  <si>
    <t>D:\CBP_2026.07.21\i#3\rreq\rreq#43_101_result\d#70\v#10\28\ping_collision_summary.csv</t>
  </si>
  <si>
    <t>D:\CBP_2026.07.21\i#3\rreq\rreq#43_101_result\d#70\v#10\29\ping_collision_summary.csv</t>
  </si>
  <si>
    <t>D:\CBP_2026.07.21\i#3\rreq\rreq#43_101_result\d#70\v#10\2\ping_collision_summary.csv</t>
  </si>
  <si>
    <t>D:\CBP_2026.07.21\i#3\rreq\rreq#43_101_result\d#70\v#10\30\ping_collision_summary.csv</t>
  </si>
  <si>
    <t>D:\CBP_2026.07.21\i#3\rreq\rreq#43_101_result\d#70\v#10\3\ping_collision_summary.csv</t>
  </si>
  <si>
    <t>D:\CBP_2026.07.21\i#3\rreq\rreq#43_101_result\d#70\v#10\4\ping_collision_summary.csv</t>
  </si>
  <si>
    <t>D:\CBP_2026.07.21\i#3\rreq\rreq#43_101_result\d#70\v#10\5\ping_collision_summary.csv</t>
  </si>
  <si>
    <t>D:\CBP_2026.07.21\i#3\rreq\rreq#43_101_result\d#70\v#10\6\ping_collision_summary.csv</t>
  </si>
  <si>
    <t>D:\CBP_2026.07.21\i#3\rreq\rreq#43_101_result\d#70\v#10\7\ping_collision_summary.csv</t>
  </si>
  <si>
    <t>D:\CBP_2026.07.21\i#3\rreq\rreq#43_101_result\d#70\v#10\8\ping_collision_summary.csv</t>
  </si>
  <si>
    <t>D:\CBP_2026.07.21\i#3\rreq\rreq#43_101_result\d#70\v#10\9\ping_collision_summary.csv</t>
  </si>
  <si>
    <t>D:\CBP_2026.07.21\i#3\rreq\rreq#43_101_result\d#70\v#20\0\ping_collision_summary.csv</t>
  </si>
  <si>
    <t>D:\CBP_2026.07.21\i#3\rreq\rreq#43_101_result\d#70\v#20\10\ping_collision_summary.csv</t>
  </si>
  <si>
    <t>D:\CBP_2026.07.21\i#3\rreq\rreq#43_101_result\d#70\v#20\11\ping_collision_summary.csv</t>
  </si>
  <si>
    <t>D:\CBP_2026.07.21\i#3\rreq\rreq#43_101_result\d#70\v#20\12\ping_collision_summary.csv</t>
  </si>
  <si>
    <t>D:\CBP_2026.07.21\i#3\rreq\rreq#43_101_result\d#70\v#20\13\ping_collision_summary.csv</t>
  </si>
  <si>
    <t>D:\CBP_2026.07.21\i#3\rreq\rreq#43_101_result\d#70\v#20\14\ping_collision_summary.csv</t>
  </si>
  <si>
    <t>D:\CBP_2026.07.21\i#3\rreq\rreq#43_101_result\d#70\v#20\15\ping_collision_summary.csv</t>
  </si>
  <si>
    <t>D:\CBP_2026.07.21\i#3\rreq\rreq#43_101_result\d#70\v#20\16\ping_collision_summary.csv</t>
  </si>
  <si>
    <t>D:\CBP_2026.07.21\i#3\rreq\rreq#43_101_result\d#70\v#20\17\ping_collision_summary.csv</t>
  </si>
  <si>
    <t>D:\CBP_2026.07.21\i#3\rreq\rreq#43_101_result\d#70\v#20\18\ping_collision_summary.csv</t>
  </si>
  <si>
    <t>D:\CBP_2026.07.21\i#3\rreq\rreq#43_101_result\d#70\v#20\19\ping_collision_summary.csv</t>
  </si>
  <si>
    <t>D:\CBP_2026.07.21\i#3\rreq\rreq#43_101_result\d#70\v#20\1\ping_collision_summary.csv</t>
  </si>
  <si>
    <t>D:\CBP_2026.07.21\i#3\rreq\rreq#43_101_result\d#70\v#20\20\ping_collision_summary.csv</t>
  </si>
  <si>
    <t>D:\CBP_2026.07.21\i#3\rreq\rreq#43_101_result\d#70\v#20\21\ping_collision_summary.csv</t>
  </si>
  <si>
    <t>D:\CBP_2026.07.21\i#3\rreq\rreq#43_101_result\d#70\v#20\22\ping_collision_summary.csv</t>
  </si>
  <si>
    <t>D:\CBP_2026.07.21\i#3\rreq\rreq#43_101_result\d#70\v#20\23\ping_collision_summary.csv</t>
  </si>
  <si>
    <t>D:\CBP_2026.07.21\i#3\rreq\rreq#43_101_result\d#70\v#20\24\ping_collision_summary.csv</t>
  </si>
  <si>
    <t>D:\CBP_2026.07.21\i#3\rreq\rreq#43_101_result\d#70\v#20\25\ping_collision_summary.csv</t>
  </si>
  <si>
    <t>D:\CBP_2026.07.21\i#3\rreq\rreq#43_101_result\d#70\v#20\26\ping_collision_summary.csv</t>
  </si>
  <si>
    <t>D:\CBP_2026.07.21\i#3\rreq\rreq#43_101_result\d#70\v#20\27\ping_collision_summary.csv</t>
  </si>
  <si>
    <t>D:\CBP_2026.07.21\i#3\rreq\rreq#43_101_result\d#70\v#20\28\ping_collision_summary.csv</t>
  </si>
  <si>
    <t>D:\CBP_2026.07.21\i#3\rreq\rreq#43_101_result\d#70\v#20\29\ping_collision_summary.csv</t>
  </si>
  <si>
    <t>D:\CBP_2026.07.21\i#3\rreq\rreq#43_101_result\d#70\v#20\2\ping_collision_summary.csv</t>
  </si>
  <si>
    <t>D:\CBP_2026.07.21\i#3\rreq\rreq#43_101_result\d#70\v#20\30\ping_collision_summary.csv</t>
  </si>
  <si>
    <t>D:\CBP_2026.07.21\i#3\rreq\rreq#43_101_result\d#70\v#20\3\ping_collision_summary.csv</t>
  </si>
  <si>
    <t>D:\CBP_2026.07.21\i#3\rreq\rreq#43_101_result\d#70\v#20\4\ping_collision_summary.csv</t>
  </si>
  <si>
    <t>D:\CBP_2026.07.21\i#3\rreq\rreq#43_101_result\d#70\v#20\5\ping_collision_summary.csv</t>
  </si>
  <si>
    <t>D:\CBP_2026.07.21\i#3\rreq\rreq#43_101_result\d#70\v#20\6\ping_collision_summary.csv</t>
  </si>
  <si>
    <t>D:\CBP_2026.07.21\i#3\rreq\rreq#43_101_result\d#70\v#20\7\ping_collision_summary.csv</t>
  </si>
  <si>
    <t>D:\CBP_2026.07.21\i#3\rreq\rreq#43_101_result\d#70\v#20\8\ping_collision_summary.csv</t>
  </si>
  <si>
    <t>D:\CBP_2026.07.21\i#3\rreq\rreq#43_101_result\d#70\v#20\9\ping_collision_summary.csv</t>
  </si>
  <si>
    <t>D:\CBP_2026.07.21\i#3\rreq\rreq#43_101_result\d#70\v#30\0\ping_collision_summary.csv</t>
  </si>
  <si>
    <t>D:\CBP_2026.07.21\i#3\rreq\rreq#43_101_result\d#70\v#30\10\ping_collision_summary.csv</t>
  </si>
  <si>
    <t>D:\CBP_2026.07.21\i#3\rreq\rreq#43_101_result\d#70\v#30\11\ping_collision_summary.csv</t>
  </si>
  <si>
    <t>D:\CBP_2026.07.21\i#3\rreq\rreq#43_101_result\d#70\v#30\12\ping_collision_summary.csv</t>
  </si>
  <si>
    <t>D:\CBP_2026.07.21\i#3\rreq\rreq#43_101_result\d#70\v#30\13\ping_collision_summary.csv</t>
  </si>
  <si>
    <t>D:\CBP_2026.07.21\i#3\rreq\rreq#43_101_result\d#70\v#30\14\ping_collision_summary.csv</t>
  </si>
  <si>
    <t>D:\CBP_2026.07.21\i#3\rreq\rreq#43_101_result\d#70\v#30\15\ping_collision_summary.csv</t>
  </si>
  <si>
    <t>D:\CBP_2026.07.21\i#3\rreq\rreq#43_101_result\d#70\v#30\16\ping_collision_summary.csv</t>
  </si>
  <si>
    <t>D:\CBP_2026.07.21\i#3\rreq\rreq#43_101_result\d#70\v#30\17\ping_collision_summary.csv</t>
  </si>
  <si>
    <t>D:\CBP_2026.07.21\i#3\rreq\rreq#43_101_result\d#70\v#30\18\ping_collision_summary.csv</t>
  </si>
  <si>
    <t>D:\CBP_2026.07.21\i#3\rreq\rreq#43_101_result\d#70\v#30\19\ping_collision_summary.csv</t>
  </si>
  <si>
    <t>D:\CBP_2026.07.21\i#3\rreq\rreq#43_101_result\d#70\v#30\1\ping_collision_summary.csv</t>
  </si>
  <si>
    <t>D:\CBP_2026.07.21\i#3\rreq\rreq#43_101_result\d#70\v#30\20\ping_collision_summary.csv</t>
  </si>
  <si>
    <t>D:\CBP_2026.07.21\i#3\rreq\rreq#43_101_result\d#70\v#30\21\ping_collision_summary.csv</t>
  </si>
  <si>
    <t>D:\CBP_2026.07.21\i#3\rreq\rreq#43_101_result\d#70\v#30\22\ping_collision_summary.csv</t>
  </si>
  <si>
    <t>D:\CBP_2026.07.21\i#3\rreq\rreq#43_101_result\d#70\v#30\23\ping_collision_summary.csv</t>
  </si>
  <si>
    <t>D:\CBP_2026.07.21\i#3\rreq\rreq#43_101_result\d#70\v#30\24\ping_collision_summary.csv</t>
  </si>
  <si>
    <t>D:\CBP_2026.07.21\i#3\rreq\rreq#43_101_result\d#70\v#30\25\ping_collision_summary.csv</t>
  </si>
  <si>
    <t>D:\CBP_2026.07.21\i#3\rreq\rreq#43_101_result\d#70\v#30\26\ping_collision_summary.csv</t>
  </si>
  <si>
    <t>D:\CBP_2026.07.21\i#3\rreq\rreq#43_101_result\d#70\v#30\27\ping_collision_summary.csv</t>
  </si>
  <si>
    <t>D:\CBP_2026.07.21\i#3\rreq\rreq#43_101_result\d#70\v#30\28\ping_collision_summary.csv</t>
  </si>
  <si>
    <t>D:\CBP_2026.07.21\i#3\rreq\rreq#43_101_result\d#70\v#30\29\ping_collision_summary.csv</t>
  </si>
  <si>
    <t>D:\CBP_2026.07.21\i#3\rreq\rreq#43_101_result\d#70\v#30\2\ping_collision_summary.csv</t>
  </si>
  <si>
    <t>D:\CBP_2026.07.21\i#3\rreq\rreq#43_101_result\d#70\v#30\30\ping_collision_summary.csv</t>
  </si>
  <si>
    <t>D:\CBP_2026.07.21\i#3\rreq\rreq#43_101_result\d#70\v#30\3\ping_collision_summary.csv</t>
  </si>
  <si>
    <t>D:\CBP_2026.07.21\i#3\rreq\rreq#43_101_result\d#70\v#30\4\ping_collision_summary.csv</t>
  </si>
  <si>
    <t>D:\CBP_2026.07.21\i#3\rreq\rreq#43_101_result\d#70\v#30\5\ping_collision_summary.csv</t>
  </si>
  <si>
    <t>D:\CBP_2026.07.21\i#3\rreq\rreq#43_101_result\d#70\v#30\6\ping_collision_summary.csv</t>
  </si>
  <si>
    <t>D:\CBP_2026.07.21\i#3\rreq\rreq#43_101_result\d#70\v#30\7\ping_collision_summary.csv</t>
  </si>
  <si>
    <t>D:\CBP_2026.07.21\i#3\rreq\rreq#43_101_result\d#70\v#30\8\ping_collision_summary.csv</t>
  </si>
  <si>
    <t>D:\CBP_2026.07.21\i#3\rreq\rreq#43_101_result\d#70\v#30\9\ping_collision_summary.csv</t>
  </si>
  <si>
    <t>Fs Excel 내보내기: 기존 목적지별 비율 및 평균 집계 유지 (합산 방식 아님)</t>
  </si>
  <si>
    <t>원자료: D:\CBP_2026.07.21\i#3; Ping reply</t>
  </si>
  <si>
    <t>각 목적지 폴더의 모든 수신 노드에 대해 실패·시도 횟수를 각각 합산하여 비율 계산.</t>
  </si>
  <si>
    <t>Legacy와 Proposed는 각자 숫자가 있는 행으로 평균. Delta는 두 값이 모두 존재하는 행으로 평균.</t>
  </si>
  <si>
    <t>AVG: 평균, N: 해당 평균에 포함한 값의 개수. 숫자는 백분율 단위이고 Delta는 %p.</t>
  </si>
  <si>
    <t>노란 빈칸은 수신 시도 0회 또는 원자료 없음. 셀 메모에 사유·원자료 경로 기록.</t>
  </si>
  <si>
    <t>0/0을 0%로 채우지 않음. 존재하는 실제 실패 0회/양수 시도는 0%로 포함.</t>
  </si>
  <si>
    <t>수식에는 원자료 건수를 사용하며 계산된 캐시도 저장. Raw Counts에서 원자료 건수 확인 가능.</t>
  </si>
  <si>
    <t>차량대수 70/100/120, 최고 속력 10/20/30, nodeId 0~30은 기존 내보내기 설정.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</si>
</sst>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IF(319221&gt;0,100*37355/319221,"")</f>
        <v>11.701924372143436</v>
      </c>
      <c r="E3" s="1">
        <f>IF(COUNT(C3:D3)=2,D3-C3,"")</f>
        <v>-3.9370481735708793</v>
      </c>
      <c r="H3" s="1">
        <v>1</v>
      </c>
      <c r="I3" s="1">
        <v>0</v>
      </c>
      <c r="J3" s="1">
        <f>IF(215009&gt;0,100*58251/215009,"")</f>
        <v>27.09235427354204</v>
      </c>
      <c r="K3" s="1">
        <f>IF(355584&gt;0,100*86492/355584,"")</f>
        <v>24.323929085673146</v>
      </c>
      <c r="L3" s="1">
        <f>IF(COUNT(J3:K3)=2,K3-J3,"")</f>
        <v>-2.7684251878688926</v>
      </c>
      <c r="O3" s="1">
        <v>1</v>
      </c>
      <c r="P3" s="1">
        <v>0</v>
      </c>
      <c r="Q3" s="1">
        <f>IF(558995&gt;0,100*195788/558995,"")</f>
        <v>35.0250002236156</v>
      </c>
      <c r="R3" s="1">
        <f>IF(386275&gt;0,100*59504/386275,"")</f>
        <v>15.404569283541518</v>
      </c>
      <c r="S3" s="1">
        <f>IF(COUNT(Q3:R3)=2,R3-Q3,"")</f>
        <v>-19.62043094007408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IF(247032&gt;0,100*82722/247032,"")</f>
        <v>33.486349946565625</v>
      </c>
      <c r="E4" s="1">
        <f>IF(COUNT(C4:D4)=2,D4-C4,"")</f>
        <v>-14.329216405725504</v>
      </c>
      <c r="H4" s="1">
        <v>2</v>
      </c>
      <c r="I4" s="1">
        <v>1</v>
      </c>
      <c r="J4" s="1">
        <f>IF(296332&gt;0,100*64971/296332,"")</f>
        <v>21.925070529001257</v>
      </c>
      <c r="K4" s="1">
        <f>IF(329694&gt;0,100*59630/329694,"")</f>
        <v>18.086468058260085</v>
      </c>
      <c r="L4" s="1">
        <f>IF(COUNT(J4:K4)=2,K4-J4,"")</f>
        <v>-3.838602470741172</v>
      </c>
      <c r="O4" s="1">
        <v>2</v>
      </c>
      <c r="P4" s="1">
        <v>1</v>
      </c>
      <c r="Q4" s="1">
        <f>IF(348213&gt;0,100*131600/348213,"")</f>
        <v>37.792960056057645</v>
      </c>
      <c r="R4" s="1">
        <f>IF(445443&gt;0,100*120653/445443,"")</f>
        <v>27.086069373634786</v>
      </c>
      <c r="S4" s="1">
        <f>IF(COUNT(Q4:R4)=2,R4-Q4,"")</f>
        <v>-10.70689068242286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IF(473295&gt;0,100*153461/473295,"")</f>
        <v>32.423963912570386</v>
      </c>
      <c r="E5" s="1">
        <f>IF(COUNT(C5:D5)=2,D5-C5,"")</f>
        <v>-9.795809020393762</v>
      </c>
      <c r="H5" s="1">
        <v>3</v>
      </c>
      <c r="I5" s="1">
        <v>2</v>
      </c>
      <c r="J5" s="1">
        <f>IF(328831&gt;0,100*62705/328831,"")</f>
        <v>19.069065872743142</v>
      </c>
      <c r="K5" s="1">
        <f>IF(548381&gt;0,100*68853/548381,"")</f>
        <v>12.555686648516268</v>
      </c>
      <c r="L5" s="1">
        <f>IF(COUNT(J5:K5)=2,K5-J5,"")</f>
        <v>-6.513379224226874</v>
      </c>
      <c r="O5" s="1">
        <v>3</v>
      </c>
      <c r="P5" s="1">
        <v>2</v>
      </c>
      <c r="Q5" s="1">
        <f>IF(499604&gt;0,100*190955/499604,"")</f>
        <v>38.221271246827484</v>
      </c>
      <c r="R5" s="1">
        <f>IF(518811&gt;0,100*80058/518811,"")</f>
        <v>15.431052926788368</v>
      </c>
      <c r="S5" s="1">
        <f>IF(COUNT(Q5:R5)=2,R5-Q5,"")</f>
        <v>-22.790218320039116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IF(537935&gt;0,100*149559/537935,"")</f>
        <v>27.802429661576213</v>
      </c>
      <c r="E6" s="1">
        <f>IF(COUNT(C6:D6)=2,D6-C6,"")</f>
        <v>-10.923497461931767</v>
      </c>
      <c r="H6" s="1">
        <v>4</v>
      </c>
      <c r="I6" s="1">
        <v>3</v>
      </c>
      <c r="J6" s="1">
        <f>IF(464767&gt;0,100*69099/464767,"")</f>
        <v>14.867449711360747</v>
      </c>
      <c r="K6" s="1">
        <f>IF(351329&gt;0,100*19481/351329,"")</f>
        <v>5.54494505150443</v>
      </c>
      <c r="L6" s="1">
        <f>IF(COUNT(J6:K6)=2,K6-J6,"")</f>
        <v>-9.322504659856317</v>
      </c>
      <c r="O6" s="1">
        <v>4</v>
      </c>
      <c r="P6" s="1">
        <v>3</v>
      </c>
      <c r="Q6" s="1">
        <f>IF(332328&gt;0,100*11557/332328,"")</f>
        <v>3.477588406634409</v>
      </c>
      <c r="R6" s="1">
        <f>IF(401306&gt;0,100*21889/401306,"")</f>
        <v>5.454441249320967</v>
      </c>
      <c r="S6" s="1">
        <f>IF(COUNT(Q6:R6)=2,R6-Q6,"")</f>
        <v>1.9768528426865575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IF(567709&gt;0,100*103050/567709,"")</f>
        <v>18.151905289505716</v>
      </c>
      <c r="E7" s="1">
        <f>IF(COUNT(C7:D7)=2,D7-C7,"")</f>
        <v>-16.904016239378027</v>
      </c>
      <c r="H7" s="1">
        <v>5</v>
      </c>
      <c r="I7" s="1">
        <v>4</v>
      </c>
      <c r="J7" s="1">
        <f>IF(411240&gt;0,100*106457/411240,"")</f>
        <v>25.88683007489544</v>
      </c>
      <c r="K7" s="1">
        <f>IF(376886&gt;0,100*75503/376886,"")</f>
        <v>20.033378793587453</v>
      </c>
      <c r="L7" s="1">
        <f>IF(COUNT(J7:K7)=2,K7-J7,"")</f>
        <v>-5.853451281307986</v>
      </c>
      <c r="O7" s="1">
        <v>5</v>
      </c>
      <c r="P7" s="1">
        <v>4</v>
      </c>
      <c r="Q7" s="1">
        <f>IF(258766&gt;0,100*96546/258766,"")</f>
        <v>37.3101566666409</v>
      </c>
      <c r="R7" s="1">
        <f>IF(358457&gt;0,100*105913/358457,"")</f>
        <v>29.54691915627258</v>
      </c>
      <c r="S7" s="1">
        <f>IF(COUNT(Q7:R7)=2,R7-Q7,"")</f>
        <v>-7.76323751036832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IF(513168&gt;0,100*105999/513168,"")</f>
        <v>20.655808624076325</v>
      </c>
      <c r="E8" s="1">
        <f>IF(COUNT(C8:D8)=2,D8-C8,"")</f>
        <v>-2.8345719260404536</v>
      </c>
      <c r="H8" s="1">
        <v>6</v>
      </c>
      <c r="I8" s="1">
        <v>5</v>
      </c>
      <c r="J8" s="1">
        <f>IF(324059&gt;0,100*91696/324059,"")</f>
        <v>28.29608188632317</v>
      </c>
      <c r="K8" s="1">
        <f>IF(249131&gt;0,100*60121/249131,"")</f>
        <v>24.13228381855329</v>
      </c>
      <c r="L8" s="1">
        <f>IF(COUNT(J8:K8)=2,K8-J8,"")</f>
        <v>-4.1637980677698785</v>
      </c>
      <c r="O8" s="1">
        <v>6</v>
      </c>
      <c r="P8" s="1">
        <v>5</v>
      </c>
      <c r="Q8" s="1">
        <f>IF(371148&gt;0,100*77908/371148,"")</f>
        <v>20.9910871134965</v>
      </c>
      <c r="R8" s="1">
        <f>IF(507672&gt;0,100*104679/507672,"")</f>
        <v>20.619415685718337</v>
      </c>
      <c r="S8" s="1">
        <f>IF(COUNT(Q8:R8)=2,R8-Q8,"")</f>
        <v>-0.3716714277781641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IF(457359&gt;0,100*80994/457359,"")</f>
        <v>17.709064432972784</v>
      </c>
      <c r="E9" s="1">
        <f>IF(COUNT(C9:D9)=2,D9-C9,"")</f>
        <v>-26.755919442579152</v>
      </c>
      <c r="H9" s="1">
        <v>7</v>
      </c>
      <c r="I9" s="1">
        <v>6</v>
      </c>
      <c r="J9" s="1">
        <f>IF(325191&gt;0,100*2956/325191,"")</f>
        <v>0.9090042467349957</v>
      </c>
      <c r="K9" s="1">
        <f>IF(316437&gt;0,100*2318/316437,"")</f>
        <v>0.7325312779479012</v>
      </c>
      <c r="L9" s="1">
        <f>IF(COUNT(J9:K9)=2,K9-J9,"")</f>
        <v>-0.1764729687870945</v>
      </c>
      <c r="O9" s="1">
        <v>7</v>
      </c>
      <c r="P9" s="1">
        <v>6</v>
      </c>
      <c r="Q9" s="1">
        <f>IF(434887&gt;0,100*93317/434887,"")</f>
        <v>21.457757992306046</v>
      </c>
      <c r="R9" s="1">
        <f>IF(310931&gt;0,100*23550/310931,"")</f>
        <v>7.574027678166539</v>
      </c>
      <c r="S9" s="1">
        <f>IF(COUNT(Q9:R9)=2,R9-Q9,"")</f>
        <v>-13.883730314139507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IF(408409&gt;0,100*118666/408409,"")</f>
        <v>29.055677029644304</v>
      </c>
      <c r="E10" s="1">
        <f>IF(COUNT(C10:D10)=2,D10-C10,"")</f>
        <v>-16.47244124034938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IF(296103&gt;0,100*105777/296103,"")</f>
        <v>35.72304231973334</v>
      </c>
      <c r="E11" s="1">
        <f>IF(COUNT(C11:D11)=2,D11-C11,"")</f>
        <v>-10.825787434087154</v>
      </c>
      <c r="H11" s="1">
        <v>9</v>
      </c>
      <c r="I11" s="1">
        <v>8</v>
      </c>
      <c r="J11" s="1">
        <f>IF(422295&gt;0,100*144131/422295,"")</f>
        <v>34.13040646941119</v>
      </c>
      <c r="K11" s="1">
        <f>IF(533459&gt;0,100*148549/533459,"")</f>
        <v>27.84637619760844</v>
      </c>
      <c r="L11" s="1">
        <f>IF(COUNT(J11:K11)=2,K11-J11,"")</f>
        <v>-6.284030271802752</v>
      </c>
      <c r="O11" s="1">
        <v>9</v>
      </c>
      <c r="P11" s="1">
        <v>8</v>
      </c>
      <c r="Q11" s="1">
        <f>IF(328998&gt;0,100*126680/328998,"")</f>
        <v>38.504793342208764</v>
      </c>
      <c r="R11" s="1">
        <f>IF(249232&gt;0,100*70401/249232,"")</f>
        <v>28.247175322590998</v>
      </c>
      <c r="S11" s="1">
        <f>IF(COUNT(Q11:R11)=2,R11-Q11,"")</f>
        <v>-10.257618019617766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IF(367614&gt;0,100*6508/367614,"")</f>
        <v>1.7703351885401535</v>
      </c>
      <c r="E12" s="1">
        <f>IF(COUNT(C12:D12)=2,D12-C12,"")</f>
        <v>-29.15225269361867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IF(427015&gt;0,100*41443/427015,"")</f>
        <v>9.705279674016134</v>
      </c>
      <c r="L12" s="1">
        <f>IF(COUNT(J12:K12)=2,K12-J12,"")</f>
        <v>-7.0323485967113815</v>
      </c>
      <c r="O12" s="1">
        <v>10</v>
      </c>
      <c r="P12" s="1">
        <v>9</v>
      </c>
      <c r="Q12" s="1">
        <f>IF(412598&gt;0,100*74901/412598,"")</f>
        <v>18.15350534903223</v>
      </c>
      <c r="R12" s="1">
        <f>IF(294098&gt;0,100*19475/294098,"")</f>
        <v>6.621942345748696</v>
      </c>
      <c r="S12" s="1">
        <f>IF(COUNT(Q12:R12)=2,R12-Q12,"")</f>
        <v>-11.531563003283534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IF(583428&gt;0,100*171135/583428,"")</f>
        <v>29.33266829840186</v>
      </c>
      <c r="E13" s="1">
        <f>IF(COUNT(C13:D13)=2,D13-C13,"")</f>
        <v>-3.120530587952185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IF(570115&gt;0,100*24135/570115,"")</f>
        <v>4.23335642808907</v>
      </c>
      <c r="L13" s="1">
        <f>IF(COUNT(J13:K13)=2,K13-J13,"")</f>
        <v>-0.9633773266043661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IF(516664&gt;0,100*4434/516664,"")</f>
        <v>0.8581979777960145</v>
      </c>
      <c r="S13" s="1">
        <f>IF(COUNT(Q13:R13)=2,R13-Q13,"")</f>
        <v>0.13122178906820348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IF(318366&gt;0,100*106511/318366,"")</f>
        <v>33.455519747711755</v>
      </c>
      <c r="E14" s="1">
        <f>IF(COUNT(C14:D14)=2,D14-C14,"")</f>
        <v>-10.51821128716685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IF(478627&gt;0,100*31223/478627,"")</f>
        <v>6.523451455935415</v>
      </c>
      <c r="L14" s="1">
        <f>IF(COUNT(J14:K14)=2,K14-J14,"")</f>
        <v>2.467920476727005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IF(659036&gt;0,100*115171/659036,"")</f>
        <v>17.47567659429834</v>
      </c>
      <c r="S14" s="1">
        <f>IF(COUNT(Q14:R14)=2,R14-Q14,"")</f>
        <v>-20.770174298808545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IF(422967&gt;0,100*30432/422967,"")</f>
        <v>7.194887544418359</v>
      </c>
      <c r="E15" s="1">
        <f>IF(COUNT(C15:D15)=2,D15-C15,"")</f>
        <v>-24.842426654222827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IF(621989&gt;0,100*148662/621989,"")</f>
        <v>23.90106577447511</v>
      </c>
      <c r="L15" s="1">
        <f>IF(COUNT(J15:K15)=2,K15-J15,"")</f>
        <v>-18.35600460357615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IF(372562&gt;0,100*18035/372562,"")</f>
        <v>4.840805020372448</v>
      </c>
      <c r="S15" s="1">
        <f>IF(COUNT(Q15:R15)=2,R15-Q15,"")</f>
        <v>-2.938461024806788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IF(310322&gt;0,100*9209/310322,"")</f>
        <v>2.96756272516934</v>
      </c>
      <c r="E16" s="1">
        <f>IF(COUNT(C16:D16)=2,D16-C16,"")</f>
        <v>-13.578892582117092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IF(257046&gt;0,100*36748/257046,"")</f>
        <v>14.29627381869393</v>
      </c>
      <c r="L16" s="1">
        <f>IF(COUNT(J16:K16)=2,K16-J16,"")</f>
        <v>-2.6568523591823485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IF(283374&gt;0,100*3791/283374,"")</f>
        <v>1.3378079852068292</v>
      </c>
      <c r="S16" s="1">
        <f>IF(COUNT(Q16:R16)=2,R16-Q16,"")</f>
        <v>-0.1326562683902932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IF(333760&gt;0,100*58326/333760,"")</f>
        <v>17.475431447746885</v>
      </c>
      <c r="E17" s="1">
        <f>IF(COUNT(C17:D17)=2,D17-C17,"")</f>
        <v>-24.515920865986082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IF(473297&gt;0,100*110010/473297,"")</f>
        <v>23.24333346714642</v>
      </c>
      <c r="L17" s="1">
        <f>IF(COUNT(J17:K17)=2,K17-J17,"")</f>
        <v>-22.686496922825242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IF(463585&gt;0,100*101609/463585,"")</f>
        <v>21.918094847762546</v>
      </c>
      <c r="S17" s="1">
        <f>IF(COUNT(Q17:R17)=2,R17-Q17,"")</f>
        <v>-11.112436564135052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IF(303335&gt;0,100*80593/303335,"")</f>
        <v>26.568974895742333</v>
      </c>
      <c r="E18" s="1">
        <f>IF(COUNT(C18:D18)=2,D18-C18,"")</f>
        <v>-12.439756332712886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IF(435771&gt;0,100*79016/435771,"")</f>
        <v>18.132459479864423</v>
      </c>
      <c r="L18" s="1">
        <f>IF(COUNT(J18:K18)=2,K18-J18,"")</f>
        <v>-6.453763906607801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IF(452177&gt;0,100*58021/452177,"")</f>
        <v>12.831479708167377</v>
      </c>
      <c r="S18" s="1">
        <f>IF(COUNT(Q18:R18)=2,R18-Q18,"")</f>
        <v>-19.53860107717538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IF(288451&gt;0,100*4093/288451,"")</f>
        <v>1.4189585059507508</v>
      </c>
      <c r="E19" s="1">
        <f>IF(COUNT(C19:D19)=2,D19-C19,"")</f>
        <v>-5.23980651124659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IF(378690&gt;0,100*70304/378690,"")</f>
        <v>18.5650532097494</v>
      </c>
      <c r="L19" s="1">
        <f>IF(COUNT(J19:K19)=2,K19-J19,"")</f>
        <v>-19.111316888676697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IF(400171&gt;0,100*66003/400171,"")</f>
        <v>16.493698943701567</v>
      </c>
      <c r="S19" s="1">
        <f>IF(COUNT(Q19:R19)=2,R19-Q19,"")</f>
        <v>-5.680135261019036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IF(489033&gt;0,100*57776/489033,"")</f>
        <v>11.814335637881289</v>
      </c>
      <c r="L20" s="1">
        <f>IF(COUNT(J20:K20)=2,K20-J20,"")</f>
        <v>-9.974775150447371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IF(367375&gt;0,100*10275/367375,"")</f>
        <v>2.7968696835658386</v>
      </c>
      <c r="S20" s="1">
        <f>IF(COUNT(Q20:R20)=2,R20-Q20,"")</f>
        <v>-30.571851952931745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IF(385070&gt;0,100*130974/385070,"")</f>
        <v>34.013036590749735</v>
      </c>
      <c r="E21" s="1">
        <f>IF(COUNT(C21:D21)=2,D21-C21,"")</f>
        <v>-5.835834114381143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IF(432798&gt;0,100*79304/432798,"")</f>
        <v>18.323559720701112</v>
      </c>
      <c r="L21" s="1">
        <f>IF(COUNT(J21:K21)=2,K21-J21,"")</f>
        <v>4.428965026008415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IF(288845&gt;0,100*22876/288845,"")</f>
        <v>7.91981858782392</v>
      </c>
      <c r="S21" s="1">
        <f>IF(COUNT(Q21:R21)=2,R21-Q21,"")</f>
        <v>-10.250407103635567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IF(170472&gt;0,100*8886/170472,"")</f>
        <v>5.2125862311699285</v>
      </c>
      <c r="E22" s="1">
        <f>IF(COUNT(C22:D22)=2,D22-C22,"")</f>
        <v>-29.625232816900024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IF(386366&gt;0,100*24014/386366,"")</f>
        <v>6.215350211975174</v>
      </c>
      <c r="L22" s="1">
        <f>IF(COUNT(J22:K22)=2,K22-J22,"")</f>
        <v>-6.1556537345631686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IF(438715&gt;0,100*78199/438715,"")</f>
        <v>17.824555805021483</v>
      </c>
      <c r="S22" s="1">
        <f>IF(COUNT(Q22:R22)=2,R22-Q22,"")</f>
        <v>-2.8721405492814966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IF(332134&gt;0,100*48875/332134,"")</f>
        <v>14.715446175338869</v>
      </c>
      <c r="E23" s="1">
        <f>IF(COUNT(C23:D23)=2,D23-C23,"")</f>
        <v>-0.15302867814348176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IF(277778&gt;0,100*50522/277778,"")</f>
        <v>18.18790544967564</v>
      </c>
      <c r="L23" s="1">
        <f>IF(COUNT(J23:K23)=2,K23-J23,"")</f>
        <v>-24.446579629631174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IF(69783&gt;0,100*14289/69783,"")</f>
        <v>20.476333777567604</v>
      </c>
      <c r="S23" s="1">
        <f>IF(COUNT(Q23:R23)=2,R23-Q23,"")</f>
        <v>-6.213834820900271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IF(200976&gt;0,100*73859/200976,"")</f>
        <v>36.7501592229918</v>
      </c>
      <c r="E24" s="1">
        <f>IF(COUNT(C24:D24)=2,D24-C24,"")</f>
        <v>-6.108067352768941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IF(332971&gt;0,100*99719/332971,"")</f>
        <v>29.948253751828236</v>
      </c>
      <c r="L24" s="1">
        <f>IF(COUNT(J24:K24)=2,K24-J24,"")</f>
        <v>3.6141749794891638</v>
      </c>
      <c r="O24" s="1">
        <v>22</v>
      </c>
      <c r="P24" s="1">
        <v>21</v>
      </c>
      <c r="Q24" s="1">
        <f>IF(97184&gt;0,100*37074/97184,"")</f>
        <v>38.14825485676655</v>
      </c>
      <c r="R24" s="1">
        <f>IF(155848&gt;0,100*46411/155848,"")</f>
        <v>29.77965710179149</v>
      </c>
      <c r="S24" s="1">
        <f>IF(COUNT(Q24:R24)=2,R24-Q24,"")</f>
        <v>-8.36859775497506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IF(470609&gt;0,100*32983/470609,"")</f>
        <v>7.008578246484874</v>
      </c>
      <c r="L25" s="1">
        <f>IF(COUNT(J25:K25)=2,K25-J25,"")</f>
        <v>-9.496637625139222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IF(429880&gt;0,100*79120/429880,"")</f>
        <v>18.40513631711175</v>
      </c>
      <c r="S25" s="1">
        <f>IF(COUNT(Q25:R25)=2,R25-Q25,"")</f>
        <v>-15.426091386194155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IF(512262&gt;0,100*36853/512262,"")</f>
        <v>7.194170170732945</v>
      </c>
      <c r="E26" s="1">
        <f>IF(COUNT(C26:D26)=2,D26-C26,"")</f>
        <v>-8.406637786528822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IF(503331&gt;0,100*46724/503331,"")</f>
        <v>9.282956940859991</v>
      </c>
      <c r="L26" s="1">
        <f>IF(COUNT(J26:K26)=2,K26-J26,"")</f>
        <v>-20.688642865152545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IF(511635&gt;0,100*49977/511635,"")</f>
        <v>9.768096396845408</v>
      </c>
      <c r="S26" s="1">
        <f>IF(COUNT(Q26:R26)=2,R26-Q26,"")</f>
        <v>-14.684486260460929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IF(435091&gt;0,100*128042/435091,"")</f>
        <v>29.42878616197531</v>
      </c>
      <c r="E27" s="1">
        <f>IF(COUNT(C27:D27)=2,D27-C27,"")</f>
        <v>-16.100964769805152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IF(127342&gt;0,100*1739/127342,"")</f>
        <v>1.3656138587425988</v>
      </c>
      <c r="L27" s="1">
        <f>IF(COUNT(J27:K27)=2,K27-J27,"")</f>
        <v>-17.969037757210543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IF(349376&gt;0,100*30300/349376,"")</f>
        <v>8.672604872687305</v>
      </c>
      <c r="S27" s="1">
        <f>IF(COUNT(Q27:R27)=2,R27-Q27,"")</f>
        <v>3.406817443621323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IF(507458&gt;0,100*158992/507458,"")</f>
        <v>31.331065822196123</v>
      </c>
      <c r="E28" s="1">
        <f>IF(COUNT(C28:D28)=2,D28-C28,"")</f>
        <v>-10.91496830579873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IF(504689&gt;0,100*89401/504689,"")</f>
        <v>17.71407738230871</v>
      </c>
      <c r="L28" s="1">
        <f>IF(COUNT(J28:K28)=2,K28-J28,"")</f>
        <v>-13.755204906869729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IF(497012&gt;0,100*116131/497012,"")</f>
        <v>23.365834225330577</v>
      </c>
      <c r="S28" s="1">
        <f>IF(COUNT(Q28:R28)=2,R28-Q28,"")</f>
        <v>-0.5393679693453031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IF(290299&gt;0,100*72371/290299,"")</f>
        <v>24.929813743760743</v>
      </c>
      <c r="E29" s="1">
        <f>IF(COUNT(C29:D29)=2,D29-C29,"")</f>
        <v>-4.689344200002655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IF(538047&gt;0,100*45214/538047,"")</f>
        <v>8.403355097231282</v>
      </c>
      <c r="L29" s="1">
        <f>IF(COUNT(J29:K29)=2,K29-J29,"")</f>
        <v>0.3296378523183847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IF(416788&gt;0,100*93388/416788,"")</f>
        <v>22.406595199477913</v>
      </c>
      <c r="S29" s="1">
        <f>IF(COUNT(Q29:R29)=2,R29-Q29,"")</f>
        <v>-22.209632530900436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IF(302927&gt;0,100*73852/302927,"")</f>
        <v>24.379470961650828</v>
      </c>
      <c r="L30" s="1">
        <f>IF(COUNT(J30:K30)=2,K30-J30,"")</f>
        <v>-10.77769439267988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IF(243655&gt;0,100*45179/243655,"")</f>
        <v>18.542201062978393</v>
      </c>
      <c r="S30" s="1">
        <f>IF(COUNT(Q30:R30)=2,R30-Q30,"")</f>
        <v>-4.536427684092192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IF(371696&gt;0,100*124179/371696,"")</f>
        <v>33.40875338986699</v>
      </c>
      <c r="E31" s="1">
        <f>IF(COUNT(C31:D31)=2,D31-C31,"")</f>
        <v>-8.842212962075223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IF(379021&gt;0,100*98020/379021,"")</f>
        <v>25.86136388221233</v>
      </c>
      <c r="L31" s="1">
        <f>IF(COUNT(J31:K31)=2,K31-J31,"")</f>
        <v>-17.60932624450843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IF(395434&gt;0,100*93014/395434,"")</f>
        <v>23.52200367191491</v>
      </c>
      <c r="S31" s="1">
        <f>IF(COUNT(Q31:R31)=2,R31-Q31,"")</f>
        <v>-23.057869053174713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IF(608139&gt;0,100*170553/608139,"")</f>
        <v>28.045068643846225</v>
      </c>
      <c r="E32" s="1">
        <f>IF(COUNT(C32:D32)=2,D32-C32,"")</f>
        <v>-17.72594948748748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IF(345564&gt;0,100*66526/345564,"")</f>
        <v>19.251426653239342</v>
      </c>
      <c r="L32" s="1">
        <f>IF(COUNT(J32:K32)=2,K32-J32,"")</f>
        <v>-5.003904012083169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IF(509445&gt;0,100*74687/509445,"")</f>
        <v>14.660463838098323</v>
      </c>
      <c r="S32" s="1">
        <f>IF(COUNT(Q32:R32)=2,R32-Q32,"")</f>
        <v>-4.652563292414449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IF(462400&gt;0,100*5862/462400,"")</f>
        <v>1.2677335640138407</v>
      </c>
      <c r="E33" s="1">
        <f>IF(COUNT(C33:D33)=2,D33-C33,"")</f>
        <v>-0.18448642502325052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IF(450533&gt;0,100*105742/450533,"")</f>
        <v>23.47042281031578</v>
      </c>
      <c r="L33" s="1">
        <f>IF(COUNT(J33:K33)=2,K33-J33,"")</f>
        <v>5.520113205657115</v>
      </c>
      <c r="O33" s="1">
        <v>31</v>
      </c>
      <c r="P33" s="1">
        <v>30</v>
      </c>
      <c r="Q33" s="1">
        <f>IF(348777&gt;0,100*89281/348777,"")</f>
        <v>25.59830493409829</v>
      </c>
      <c r="R33" s="1">
        <f>IF(467358&gt;0,100*92418/467358,"")</f>
        <v>19.774562540921522</v>
      </c>
      <c r="S33" s="1">
        <f>IF(COUNT(Q33:R33)=2,R33-Q33,"")</f>
        <v>-5.823742393176769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19.16355407740071</v>
      </c>
      <c r="E34" s="1">
        <f>IF(COUNT(E3:E33)&gt;0,AVERAGE(E3:E33),"")</f>
        <v>-11.121704250257876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15.270816444654226</v>
      </c>
      <c r="L34" s="1">
        <f>IF(COUNT(L3:L33)&gt;0,AVERAGE(L3:L33),"")</f>
        <v>-7.603144177891294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15.163217781262285</v>
      </c>
      <c r="S34" s="1">
        <f>IF(COUNT(S3:S33)&gt;0,AVERAGE(S3:S33),"")</f>
        <v>-9.702901464134369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IF(439471&gt;0,100*24519/439471,"")</f>
        <v>5.579207729292718</v>
      </c>
      <c r="E39" s="1">
        <f>IF(COUNT(C39:D39)=2,D39-C39,"")</f>
        <v>-2.4271574729957015</v>
      </c>
      <c r="H39" s="1">
        <v>1</v>
      </c>
      <c r="I39" s="1">
        <v>0</v>
      </c>
      <c r="J39" s="1">
        <f>IF(713250&gt;0,100*211130/713250,"")</f>
        <v>29.601121626358218</v>
      </c>
      <c r="K39" s="1">
        <f>IF(648777&gt;0,100*36092/648777,"")</f>
        <v>5.563082538376052</v>
      </c>
      <c r="L39" s="1">
        <f>IF(COUNT(J39:K39)=2,K39-J39,"")</f>
        <v>-24.038039087982167</v>
      </c>
      <c r="O39" s="1">
        <v>1</v>
      </c>
      <c r="P39" s="1">
        <v>0</v>
      </c>
      <c r="Q39" s="1">
        <f>IF(523211&gt;0,100*80163/523211,"")</f>
        <v>15.321352188696338</v>
      </c>
      <c r="R39" s="1">
        <f>IF(459114&gt;0,100*59373/459114,"")</f>
        <v>12.932082227943386</v>
      </c>
      <c r="S39" s="1">
        <f>IF(COUNT(Q39:R39)=2,R39-Q39,"")</f>
        <v>-2.3892699607529515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IF(229311&gt;0,100*88282/229311,"")</f>
        <v>38.498807296640805</v>
      </c>
      <c r="E40" s="1">
        <f>IF(COUNT(C40:D40)=2,D40-C40,"")</f>
        <v>-1.3862353956650537</v>
      </c>
      <c r="H40" s="1">
        <v>2</v>
      </c>
      <c r="I40" s="1">
        <v>1</v>
      </c>
      <c r="J40" s="1">
        <f>IF(594344&gt;0,100*221110/594344,"")</f>
        <v>37.20236092229416</v>
      </c>
      <c r="K40" s="1">
        <f>IF(649001&gt;0,100*162251/649001,"")</f>
        <v>25.000115562225638</v>
      </c>
      <c r="L40" s="1">
        <f>IF(COUNT(J40:K40)=2,K40-J40,"")</f>
        <v>-12.202245360068524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IF(413898&gt;0,100*105187/413898,"")</f>
        <v>25.413749281223875</v>
      </c>
      <c r="S40" s="1">
        <f>IF(COUNT(Q40:R40)=2,R40-Q40,"")</f>
        <v>-23.14130376653333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IF(410873&gt;0,100*69224/410873,"")</f>
        <v>16.848028466217055</v>
      </c>
      <c r="E41" s="1">
        <f>IF(COUNT(C41:D41)=2,D41-C41,"")</f>
        <v>-34.751552625562496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IF(864453&gt;0,100*42327/864453,"")</f>
        <v>4.8963911282626125</v>
      </c>
      <c r="L41" s="1">
        <f>IF(COUNT(J41:K41)=2,K41-J41,"")</f>
        <v>-27.91660183890552</v>
      </c>
      <c r="O41" s="1">
        <v>3</v>
      </c>
      <c r="P41" s="1">
        <v>2</v>
      </c>
      <c r="Q41" s="1">
        <f>IF(735676&gt;0,100*303277/735676,"")</f>
        <v>41.22426176740848</v>
      </c>
      <c r="R41" s="1">
        <f>IF(814978&gt;0,100*223988/814978,"")</f>
        <v>27.4839320816022</v>
      </c>
      <c r="S41" s="1">
        <f>IF(COUNT(Q41:R41)=2,R41-Q41,"")</f>
        <v>-13.740329685806277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IF(593423&gt;0,100*203549/593423,"")</f>
        <v>34.30082757156362</v>
      </c>
      <c r="E42" s="1">
        <f>IF(COUNT(C42:D42)=2,D42-C42,"")</f>
        <v>-9.076542263160626</v>
      </c>
      <c r="H42" s="1">
        <v>4</v>
      </c>
      <c r="I42" s="1">
        <v>3</v>
      </c>
      <c r="J42" s="1">
        <f>IF(584626&gt;0,100*38325/584626,"")</f>
        <v>6.555473071673172</v>
      </c>
      <c r="K42" s="1">
        <f>IF(684750&gt;0,100*19842/684750,"")</f>
        <v>2.897699890470975</v>
      </c>
      <c r="L42" s="1">
        <f>IF(COUNT(J42:K42)=2,K42-J42,"")</f>
        <v>-3.6577731812021974</v>
      </c>
      <c r="O42" s="1">
        <v>4</v>
      </c>
      <c r="P42" s="1">
        <v>3</v>
      </c>
      <c r="Q42" s="1">
        <f>IF(646087&gt;0,100*38069/646087,"")</f>
        <v>5.8922405186917555</v>
      </c>
      <c r="R42" s="1">
        <f>IF(460738&gt;0,100*6425/460738,"")</f>
        <v>1.394501864400158</v>
      </c>
      <c r="S42" s="1">
        <f>IF(COUNT(Q42:R42)=2,R42-Q42,"")</f>
        <v>-4.497738654291597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IF(469694&gt;0,100*6526/469694,"")</f>
        <v>1.3894152363027843</v>
      </c>
      <c r="E43" s="1">
        <f>IF(COUNT(C43:D43)=2,D43-C43,"")</f>
        <v>-15.692291388810485</v>
      </c>
      <c r="H43" s="1">
        <v>5</v>
      </c>
      <c r="I43" s="1">
        <v>4</v>
      </c>
      <c r="J43" s="1">
        <f>IF(200432&gt;0,100*86329/200432,"")</f>
        <v>43.071465634230066</v>
      </c>
      <c r="K43" s="1">
        <f>IF(493357&gt;0,100*113057/493357,"")</f>
        <v>22.91586011752139</v>
      </c>
      <c r="L43" s="1">
        <f>IF(COUNT(J43:K43)=2,K43-J43,"")</f>
        <v>-20.155605516708675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IF(598677&gt;0,100*169448/598677,"")</f>
        <v>28.303743086839816</v>
      </c>
      <c r="S43" s="1">
        <f>IF(COUNT(Q43:R43)=2,R43-Q43,"")</f>
        <v>-13.0723411862434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IF(544639&gt;0,100*49230/544639,"")</f>
        <v>9.039014833678822</v>
      </c>
      <c r="E44" s="1">
        <f>IF(COUNT(C44:D44)=2,D44-C44,"")</f>
        <v>-39.01572060686767</v>
      </c>
      <c r="H44" s="1">
        <v>6</v>
      </c>
      <c r="I44" s="1">
        <v>5</v>
      </c>
      <c r="J44" s="1">
        <f>IF(458928&gt;0,100*143171/458928,"")</f>
        <v>31.19683261862427</v>
      </c>
      <c r="K44" s="1">
        <f>IF(636119&gt;0,100*159840/636119,"")</f>
        <v>25.12737396619186</v>
      </c>
      <c r="L44" s="1">
        <f>IF(COUNT(J44:K44)=2,K44-J44,"")</f>
        <v>-6.0694586524324095</v>
      </c>
      <c r="O44" s="1">
        <v>6</v>
      </c>
      <c r="P44" s="1">
        <v>5</v>
      </c>
      <c r="Q44" s="1">
        <f>IF(652890&gt;0,100*52664/652890,"")</f>
        <v>8.066289880378012</v>
      </c>
      <c r="R44" s="1">
        <f>IF(638788&gt;0,100*30361/638788,"")</f>
        <v>4.75290706775957</v>
      </c>
      <c r="S44" s="1">
        <f>IF(COUNT(Q44:R44)=2,R44-Q44,"")</f>
        <v>-3.3133828126184417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IF(586288&gt;0,100*164721/586288,"")</f>
        <v>28.095577600087328</v>
      </c>
      <c r="E45" s="1">
        <f>IF(COUNT(C45:D45)=2,D45-C45,"")</f>
        <v>-27.024811240415016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IF(573316&gt;0,100*48486/573316,"")</f>
        <v>8.457116145371836</v>
      </c>
      <c r="S45" s="1">
        <f>IF(COUNT(Q45:R45)=2,R45-Q45,"")</f>
        <v>6.363556484081892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IF(463782&gt;0,100*139026/463782,"")</f>
        <v>29.97658382602171</v>
      </c>
      <c r="E46" s="1">
        <f>IF(COUNT(C46:D46)=2,D46-C46,"")</f>
        <v>-13.660838893307897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IF(445474&gt;0,100*6551/445474,"")</f>
        <v>1.4705684282359914</v>
      </c>
      <c r="S46" s="1">
        <f>IF(COUNT(Q46:R46)=2,R46-Q46,"")</f>
        <v>-0.7461611093449025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IF(290986&gt;0,100*103428/290986,"")</f>
        <v>35.54397806080018</v>
      </c>
      <c r="E47" s="1">
        <f>IF(COUNT(C47:D47)=2,D47-C47,"")</f>
        <v>-25.06390265961179</v>
      </c>
      <c r="H47" s="1">
        <v>9</v>
      </c>
      <c r="I47" s="1">
        <v>8</v>
      </c>
      <c r="J47" s="1">
        <f>IF(433696&gt;0,100*195875/433696,"")</f>
        <v>45.16412417914853</v>
      </c>
      <c r="K47" s="1">
        <f>IF(577637&gt;0,100*178141/577637,"")</f>
        <v>30.83961034352024</v>
      </c>
      <c r="L47" s="1">
        <f>IF(COUNT(J47:K47)=2,K47-J47,"")</f>
        <v>-14.324513835628292</v>
      </c>
      <c r="O47" s="1">
        <v>9</v>
      </c>
      <c r="P47" s="1">
        <v>8</v>
      </c>
      <c r="Q47" s="1">
        <f>IF(341160&gt;0,100*196686/341160,"")</f>
        <v>57.65212803376715</v>
      </c>
      <c r="R47" s="1">
        <f>IF(554878&gt;0,100*185336/554878,"")</f>
        <v>33.401216123183836</v>
      </c>
      <c r="S47" s="1">
        <f>IF(COUNT(Q47:R47)=2,R47-Q47,"")</f>
        <v>-24.250911910583312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IF(473639&gt;0,100*8177/473639,"")</f>
        <v>1.7264203327850958</v>
      </c>
      <c r="E48" s="1">
        <f>IF(COUNT(C48:D48)=2,D48-C48,"")</f>
        <v>-20.127569838760625</v>
      </c>
      <c r="H48" s="1">
        <v>10</v>
      </c>
      <c r="I48" s="1">
        <v>9</v>
      </c>
      <c r="J48" s="1">
        <f>IF(716304&gt;0,100*319115/716304,"")</f>
        <v>44.550218901472</v>
      </c>
      <c r="K48" s="1">
        <f>IF(799840&gt;0,100*139838/799840,"")</f>
        <v>17.483246649329867</v>
      </c>
      <c r="L48" s="1">
        <f>IF(COUNT(J48:K48)=2,K48-J48,"")</f>
        <v>-27.066972252142133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IF(633197&gt;0,100*81091/633197,"")</f>
        <v>12.806598894183011</v>
      </c>
      <c r="S48" s="1">
        <f>IF(COUNT(Q48:R48)=2,R48-Q48,"")</f>
        <v>-9.15270672761665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IF(684778&gt;0,100*177449/684778,"")</f>
        <v>25.913361702624794</v>
      </c>
      <c r="E49" s="1">
        <f>IF(COUNT(C49:D49)=2,D49-C49,"")</f>
        <v>-20.755783911488184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IF(724264&gt;0,100*11349/724264,"")</f>
        <v>1.5669700551180232</v>
      </c>
      <c r="L49" s="1">
        <f>IF(COUNT(J49:K49)=2,K49-J49,"")</f>
        <v>-31.78592975223606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IF(890800&gt;0,100*74165/890800,"")</f>
        <v>8.325662325999103</v>
      </c>
      <c r="S49" s="1">
        <f>IF(COUNT(Q49:R49)=2,R49-Q49,"")</f>
        <v>-36.30205769539475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IF(371756&gt;0,100*127955/371756,"")</f>
        <v>34.41908133291729</v>
      </c>
      <c r="E50" s="1">
        <f>IF(COUNT(C50:D50)=2,D50-C50,"")</f>
        <v>-13.252891574581355</v>
      </c>
      <c r="H50" s="1">
        <v>12</v>
      </c>
      <c r="I50" s="1">
        <v>11</v>
      </c>
      <c r="J50" s="4">
        <f>IF(0&gt;0,100*0/0,"")</f>
        <v/>
      </c>
      <c r="K50" s="1">
        <f>IF(846402&gt;0,100*60606/846402,"")</f>
        <v>7.160427314680258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IF(868599&gt;0,100*53108/868599,"")</f>
        <v>6.114213808673507</v>
      </c>
      <c r="S50" s="1">
        <f>IF(COUNT(Q50:R50)=2,R50-Q50,"")</f>
        <v>-36.40073472523181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IF(657008&gt;0,100*97750/657008,"")</f>
        <v>14.87805323527263</v>
      </c>
      <c r="E51" s="1">
        <f>IF(COUNT(C51:D51)=2,D51-C51,"")</f>
        <v>-32.59406204581523</v>
      </c>
      <c r="H51" s="1">
        <v>13</v>
      </c>
      <c r="I51" s="1">
        <v>12</v>
      </c>
      <c r="J51" s="1">
        <f>IF(654587&gt;0,100*63849/654587,"")</f>
        <v>9.75408921961481</v>
      </c>
      <c r="K51" s="1">
        <f>IF(638281&gt;0,100*47410/638281,"")</f>
        <v>7.427763007202157</v>
      </c>
      <c r="L51" s="1">
        <f>IF(COUNT(J51:K51)=2,K51-J51,"")</f>
        <v>-2.3263262124126536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IF(799431&gt;0,100*19519/799431,"")</f>
        <v>2.441611596247831</v>
      </c>
      <c r="S51" s="1">
        <f>IF(COUNT(Q51:R51)=2,R51-Q51,"")</f>
        <v>0.29055326555672156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IF(324852&gt;0,100*52727/324852,"")</f>
        <v>16.231083693497347</v>
      </c>
      <c r="L52" s="1">
        <f>IF(COUNT(J52:K52)=2,K52-J52,"")</f>
        <v>-1.8689532707640488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IF(407313&gt;0,100*34373/407313,"")</f>
        <v>8.43896462916725</v>
      </c>
      <c r="S52" s="1">
        <f>IF(COUNT(Q52:R52)=2,R52-Q52,"")</f>
        <v>-4.002095342068195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IF(467093&gt;0,100*174826/467093,"")</f>
        <v>37.428520658626866</v>
      </c>
      <c r="E53" s="1">
        <f>IF(COUNT(C53:D53)=2,D53-C53,"")</f>
        <v>-3.4444178574946207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IF(825282&gt;0,100*178649/825282,"")</f>
        <v>21.64702489573261</v>
      </c>
      <c r="L53" s="1">
        <f>IF(COUNT(J53:K53)=2,K53-J53,"")</f>
        <v>-6.675292936119142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IF(601444&gt;0,100*132906/601444,"")</f>
        <v>22.097817918210175</v>
      </c>
      <c r="S53" s="1">
        <f>IF(COUNT(Q53:R53)=2,R53-Q53,"")</f>
        <v>-31.829724628270675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IF(584406&gt;0,100*222913/584406,"")</f>
        <v>38.143516664784414</v>
      </c>
      <c r="E54" s="1">
        <f>IF(COUNT(C54:D54)=2,D54-C54,"")</f>
        <v>-7.974816535393636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IF(569979&gt;0,100*83201/569979,"")</f>
        <v>14.597204458409871</v>
      </c>
      <c r="L54" s="1">
        <f>IF(COUNT(J54:K54)=2,K54-J54,"")</f>
        <v>-34.96039446398034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IF(699304&gt;0,100*56678/699304,"")</f>
        <v>8.104915744797685</v>
      </c>
      <c r="S54" s="1">
        <f>IF(COUNT(Q54:R54)=2,R54-Q54,"")</f>
        <v>-43.35281824535009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IF(421488&gt;0,100*6361/421488,"")</f>
        <v>1.5091770109706564</v>
      </c>
      <c r="E55" s="1">
        <f>IF(COUNT(C55:D55)=2,D55-C55,"")</f>
        <v>-0.9307198586720322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IF(669615&gt;0,100*128267/669615,"")</f>
        <v>19.155335528624658</v>
      </c>
      <c r="L55" s="1">
        <f>IF(COUNT(J55:K55)=2,K55-J55,"")</f>
        <v>-23.39274495578874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IF(568304&gt;0,100*100503/568304,"")</f>
        <v>17.684725076719502</v>
      </c>
      <c r="S55" s="1">
        <f>IF(COUNT(Q55:R55)=2,R55-Q55,"")</f>
        <v>-12.772144815413117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IF(429270&gt;0,100*12001/429270,"")</f>
        <v>2.7956763808325764</v>
      </c>
      <c r="E56" s="1">
        <f>IF(COUNT(C56:D56)=2,D56-C56,"")</f>
        <v>-7.007622155616497</v>
      </c>
      <c r="H56" s="1">
        <v>18</v>
      </c>
      <c r="I56" s="1">
        <v>17</v>
      </c>
      <c r="J56" s="4">
        <f>IF(0&gt;0,100*0/0,"")</f>
        <v/>
      </c>
      <c r="K56" s="1">
        <f>IF(884594&gt;0,100*140147/884594,"")</f>
        <v>15.843087337241718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IF(656558&gt;0,100*82565/656558,"")</f>
        <v>12.575431264259974</v>
      </c>
      <c r="S56" s="1">
        <f>IF(COUNT(Q56:R56)=2,R56-Q56,"")</f>
        <v>-36.88538727197033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IF(191607&gt;0,100*54161/191607,"")</f>
        <v>28.266712594007526</v>
      </c>
      <c r="E57" s="1">
        <f>IF(COUNT(C57:D57)=2,D57-C57,"")</f>
        <v>-15.674390781837996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IF(795027&gt;0,100*122810/795027,"")</f>
        <v>15.447274117734366</v>
      </c>
      <c r="L57" s="1">
        <f>IF(COUNT(J57:K57)=2,K57-J57,"")</f>
        <v>-15.119818847798637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IF(534436&gt;0,100*41309/534436,"")</f>
        <v>7.729456847966828</v>
      </c>
      <c r="S57" s="1">
        <f>IF(COUNT(Q57:R57)=2,R57-Q57,"")</f>
        <v>-30.98927518760292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IF(670157&gt;0,100*151414/670157,"")</f>
        <v>22.593810107183838</v>
      </c>
      <c r="E58" s="1">
        <f>IF(COUNT(C58:D58)=2,D58-C58,"")</f>
        <v>-21.813713937963005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IF(555494&gt;0,100*109013/555494,"")</f>
        <v>19.6245143961951</v>
      </c>
      <c r="L58" s="1">
        <f>IF(COUNT(J58:K58)=2,K58-J58,"")</f>
        <v>-28.79658119511608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IF(589537&gt;0,100*43483/589537,"")</f>
        <v>7.375788118472632</v>
      </c>
      <c r="S58" s="1">
        <f>IF(COUNT(Q58:R58)=2,R58-Q58,"")</f>
        <v>-34.050707446728346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IF(524176&gt;0,100*158616/524176,"")</f>
        <v>30.260065321571382</v>
      </c>
      <c r="E59" s="1">
        <f>IF(COUNT(C59:D59)=2,D59-C59,"")</f>
        <v>5.489208301480183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IF(791647&gt;0,100*98837/791647,"")</f>
        <v>12.484983837493226</v>
      </c>
      <c r="L59" s="1">
        <f>IF(COUNT(J59:K59)=2,K59-J59,"")</f>
        <v>-30.398786647478737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IF(29161&gt;0,100*8294/29161,"")</f>
        <v>28.44209732176537</v>
      </c>
      <c r="S59" s="1">
        <f>IF(COUNT(Q59:R59)=2,R59-Q59,"")</f>
        <v>-18.54594463578984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IF(320340&gt;0,100*110144/320340,"")</f>
        <v>34.383467565711435</v>
      </c>
      <c r="E60" s="1">
        <f>IF(COUNT(C60:D60)=2,D60-C60,"")</f>
        <v>-18.191999881911904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IF(294030&gt;0,100*93943/294030,"")</f>
        <v>31.950141142060335</v>
      </c>
      <c r="L60" s="1">
        <f>IF(COUNT(J60:K60)=2,K60-J60,"")</f>
        <v>-20.344629455805045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IF(274633&gt;0,100*89348/274633,"")</f>
        <v>32.533599385361555</v>
      </c>
      <c r="S60" s="1">
        <f>IF(COUNT(Q60:R60)=2,R60-Q60,"")</f>
        <v>-11.535489118104373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IF(536626&gt;0,100*140281/536626,"")</f>
        <v>26.14129766354966</v>
      </c>
      <c r="L61" s="1">
        <f>IF(COUNT(J61:K61)=2,K61-J61,"")</f>
        <v>-30.03126358025204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IF(830819&gt;0,100*172469/830819,"")</f>
        <v>20.758913794701375</v>
      </c>
      <c r="S61" s="1">
        <f>IF(COUNT(Q61:R61)=2,R61-Q61,"")</f>
        <v>-25.498742804823127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IF(590977&gt;0,100*14108/590977,"")</f>
        <v>2.387233344106454</v>
      </c>
      <c r="E62" s="1">
        <f>IF(COUNT(C62:D62)=2,D62-C62,"")</f>
        <v>-16.27181932054952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IF(808893&gt;0,100*87017/808893,"")</f>
        <v>10.757541479528195</v>
      </c>
      <c r="L62" s="1">
        <f>IF(COUNT(J62:K62)=2,K62-J62,"")</f>
        <v>-37.09708027546408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IF(701148&gt;0,100*93889/701148,"")</f>
        <v>13.390753450056193</v>
      </c>
      <c r="S62" s="1">
        <f>IF(COUNT(Q62:R62)=2,R62-Q62,"")</f>
        <v>-8.20690843523566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IF(459303&gt;0,100*155886/459303,"")</f>
        <v>33.93968687337117</v>
      </c>
      <c r="E63" s="1">
        <f>IF(COUNT(C63:D63)=2,D63-C63,"")</f>
        <v>-12.32905961792725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IF(641607&gt;0,100*11786/641607,"")</f>
        <v>1.8369500332758215</v>
      </c>
      <c r="L63" s="1">
        <f>IF(COUNT(J63:K63)=2,K63-J63,"")</f>
        <v>-38.329904830621544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IF(651182&gt;0,100*203412/651182,"")</f>
        <v>31.23734992674859</v>
      </c>
      <c r="S63" s="1">
        <f>IF(COUNT(Q63:R63)=2,R63-Q63,"")</f>
        <v>-13.513428267115213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IF(556035&gt;0,100*120613/556035,"")</f>
        <v>21.691620131826234</v>
      </c>
      <c r="E64" s="1">
        <f>IF(COUNT(C64:D64)=2,D64-C64,"")</f>
        <v>-29.003139141185848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IF(694756&gt;0,100*131651/694756,"")</f>
        <v>18.949242611794645</v>
      </c>
      <c r="L64" s="1">
        <f>IF(COUNT(J64:K64)=2,K64-J64,"")</f>
        <v>0.3101319470137689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IF(670830&gt;0,100*147918/670830,"")</f>
        <v>22.049997763964043</v>
      </c>
      <c r="S64" s="1">
        <f>IF(COUNT(Q64:R64)=2,R64-Q64,"")</f>
        <v>-24.14387117763153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IF(415999&gt;0,100*92342/415999,"")</f>
        <v>22.19764951358056</v>
      </c>
      <c r="E65" s="1">
        <f>IF(COUNT(C65:D65)=2,D65-C65,"")</f>
        <v>-3.4692049121483386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IF(330421&gt;0,100*45419/330421,"")</f>
        <v>13.74579702863922</v>
      </c>
      <c r="L65" s="1">
        <f>IF(COUNT(J65:K65)=2,K65-J65,"")</f>
        <v>-23.447541714161897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IF(775693&gt;0,100*83113/775693,"")</f>
        <v>10.714677069407614</v>
      </c>
      <c r="S65" s="1">
        <f>IF(COUNT(Q65:R65)=2,R65-Q65,"")</f>
        <v>-14.550859170533656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IF(634374&gt;0,100*201975/634374,"")</f>
        <v>31.838473834047424</v>
      </c>
      <c r="L66" s="1">
        <f>IF(COUNT(J66:K66)=2,K66-J66,"")</f>
        <v>-8.094456543766594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IF(376038&gt;0,100*89609/376038,"")</f>
        <v>23.829772522989696</v>
      </c>
      <c r="S66" s="1">
        <f>IF(COUNT(Q66:R66)=2,R66-Q66,"")</f>
        <v>-2.2399552415326056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IF(410843&gt;0,100*151799/410843,"")</f>
        <v>36.94817728426674</v>
      </c>
      <c r="E67" s="1">
        <f>IF(COUNT(C67:D67)=2,D67-C67,"")</f>
        <v>-4.115129397870575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IF(711406&gt;0,100*177759/711406,"")</f>
        <v>24.986997579441276</v>
      </c>
      <c r="L67" s="1">
        <f>IF(COUNT(J67:K67)=2,K67-J67,"")</f>
        <v>-26.566491566276138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IF(616226&gt;0,100*132207/616226,"")</f>
        <v>21.45430410271556</v>
      </c>
      <c r="S67" s="1">
        <f>IF(COUNT(Q67:R67)=2,R67-Q67,"")</f>
        <v>-23.499482204454203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IF(497160&gt;0,100*67757/497160,"")</f>
        <v>13.628811650172983</v>
      </c>
      <c r="E68" s="1">
        <f>IF(COUNT(C68:D68)=2,D68-C68,"")</f>
        <v>-31.577316376309945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IF(482807&gt;0,100*86119/482807,"")</f>
        <v>17.837148177221955</v>
      </c>
      <c r="L68" s="1">
        <f>IF(COUNT(J68:K68)=2,K68-J68,"")</f>
        <v>-0.5945769813008077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IF(606695&gt;0,100*20224/606695,"")</f>
        <v>3.3334706895557074</v>
      </c>
      <c r="S68" s="1">
        <f>IF(COUNT(Q68:R68)=2,R68-Q68,"")</f>
        <v>-0.5255213960856273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IF(646892&gt;0,100*175780/646892,"")</f>
        <v>27.1730056949228</v>
      </c>
      <c r="L69" s="1">
        <f>IF(COUNT(J69:K69)=2,K69-J69,"")</f>
        <v>-5.087175455795972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IF(480379&gt;0,100*106385/480379,"")</f>
        <v>22.14605551033663</v>
      </c>
      <c r="S69" s="1">
        <f>IF(COUNT(Q69:R69)=2,R69-Q69,"")</f>
        <v>-3.436480779647084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19.481375481336226</v>
      </c>
      <c r="E70" s="1">
        <f>IF(COUNT(E39:E69)&gt;0,AVERAGE(E39:E69),"")</f>
        <v>-13.585274238401391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15.870219075183622</v>
      </c>
      <c r="L70" s="1">
        <f>IF(COUNT(L39:L69)&gt;0,AVERAGE(L39:L69),"")</f>
        <v>-17.24272505045499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15.715999808672919</v>
      </c>
      <c r="S70" s="1">
        <f>IF(COUNT(S39:S69)&gt;0,AVERAGE(S39:S69),"")</f>
        <v>-16.126827892036623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IF(560689&gt;0,100*8844/560689,"")</f>
        <v>1.5773450165778176</v>
      </c>
      <c r="E75" s="1">
        <f>IF(COUNT(C75:D75)=2,D75-C75,"")</f>
        <v>-2.0465235662097276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IF(602723&gt;0,100*21533/602723,"")</f>
        <v>3.5726195947392085</v>
      </c>
      <c r="L75" s="1">
        <f>IF(COUNT(J75:K75)=2,K75-J75,"")</f>
        <v>-50.74462566274909</v>
      </c>
      <c r="O75" s="1">
        <v>1</v>
      </c>
      <c r="P75" s="1">
        <v>0</v>
      </c>
      <c r="Q75" s="1">
        <f>IF(517487&gt;0,100*261929/517487,"")</f>
        <v>50.61557101917536</v>
      </c>
      <c r="R75" s="1">
        <f>IF(544875&gt;0,100*121481/544875,"")</f>
        <v>22.29520532232163</v>
      </c>
      <c r="S75" s="1">
        <f>IF(COUNT(Q75:R75)=2,R75-Q75,"")</f>
        <v>-28.32036569685373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IF(159351&gt;0,100*57356/159351,"")</f>
        <v>35.99349862881312</v>
      </c>
      <c r="E76" s="1">
        <f>IF(COUNT(C76:D76)=2,D76-C76,"")</f>
        <v>-7.365927890035259</v>
      </c>
      <c r="H76" s="1">
        <v>2</v>
      </c>
      <c r="I76" s="1">
        <v>1</v>
      </c>
      <c r="J76" s="1">
        <f>IF(591060&gt;0,100*305577/591060,"")</f>
        <v>51.69982742868744</v>
      </c>
      <c r="K76" s="1">
        <f>IF(666159&gt;0,100*194467/666159,"")</f>
        <v>29.19227992115996</v>
      </c>
      <c r="L76" s="1">
        <f>IF(COUNT(J76:K76)=2,K76-J76,"")</f>
        <v>-22.50754750752748</v>
      </c>
      <c r="O76" s="1">
        <v>2</v>
      </c>
      <c r="P76" s="1">
        <v>1</v>
      </c>
      <c r="Q76" s="1">
        <f>IF(548205&gt;0,100*279421/548205,"")</f>
        <v>50.97016626991728</v>
      </c>
      <c r="R76" s="1">
        <f>IF(586410&gt;0,100*174342/586410,"")</f>
        <v>29.730393410753567</v>
      </c>
      <c r="S76" s="1">
        <f>IF(COUNT(Q76:R76)=2,R76-Q76,"")</f>
        <v>-21.23977285916371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IF(373496&gt;0,100*122593/373496,"")</f>
        <v>32.82310921669844</v>
      </c>
      <c r="E77" s="1">
        <f>IF(COUNT(C77:D77)=2,D77-C77,"")</f>
        <v>-14.572248215824175</v>
      </c>
      <c r="H77" s="1">
        <v>3</v>
      </c>
      <c r="I77" s="1">
        <v>2</v>
      </c>
      <c r="J77" s="1">
        <f>IF(584205&gt;0,100*244646/584205,"")</f>
        <v>41.87673847365223</v>
      </c>
      <c r="K77" s="1">
        <f>IF(794080&gt;0,100*239348/794080,"")</f>
        <v>30.141547451138425</v>
      </c>
      <c r="L77" s="1">
        <f>IF(COUNT(J77:K77)=2,K77-J77,"")</f>
        <v>-11.735191022513806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IF(929013&gt;0,100*13902/929013,"")</f>
        <v>1.496426853014974</v>
      </c>
      <c r="S77" s="1">
        <f>IF(COUNT(Q77:R77)=2,R77-Q77,"")</f>
        <v>-2.7550059433258847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IF(689637&gt;0,100*205827/689637,"")</f>
        <v>29.845701434232794</v>
      </c>
      <c r="E78" s="1">
        <f>IF(COUNT(C78:D78)=2,D78-C78,"")</f>
        <v>-19.21772711617613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IF(701969&gt;0,100*108084/701969,"")</f>
        <v>15.397261132614119</v>
      </c>
      <c r="L78" s="1">
        <f>IF(COUNT(J78:K78)=2,K78-J78,"")</f>
        <v>-27.883947020121227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IF(729747&gt;0,100*110477/729747,"")</f>
        <v>15.139082449122778</v>
      </c>
      <c r="S78" s="1">
        <f>IF(COUNT(Q78:R78)=2,R78-Q78,"")</f>
        <v>-39.624890121395964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IF(700049&gt;0,100*33263/700049,"")</f>
        <v>4.7515245361396135</v>
      </c>
      <c r="E79" s="1">
        <f>IF(COUNT(C79:D79)=2,D79-C79,"")</f>
        <v>-44.14617415709396</v>
      </c>
      <c r="H79" s="1">
        <v>5</v>
      </c>
      <c r="I79" s="1">
        <v>4</v>
      </c>
      <c r="J79" s="1">
        <f>IF(383201&gt;0,100*174388/383201,"")</f>
        <v>45.50823197225477</v>
      </c>
      <c r="K79" s="1">
        <f>IF(718368&gt;0,100*208208/718368,"")</f>
        <v>28.98347365138759</v>
      </c>
      <c r="L79" s="1">
        <f>IF(COUNT(J79:K79)=2,K79-J79,"")</f>
        <v>-16.52475832086718</v>
      </c>
      <c r="O79" s="1">
        <v>5</v>
      </c>
      <c r="P79" s="1">
        <v>4</v>
      </c>
      <c r="Q79" s="1">
        <f>IF(322593&gt;0,100*116626/322593,"")</f>
        <v>36.152675352534</v>
      </c>
      <c r="R79" s="1">
        <f>IF(628360&gt;0,100*232034/628360,"")</f>
        <v>36.92692087338468</v>
      </c>
      <c r="S79" s="1">
        <f>IF(COUNT(Q79:R79)=2,R79-Q79,"")</f>
        <v>0.774245520850684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IF(482072&gt;0,100*119316/482072,"")</f>
        <v>24.75065965250004</v>
      </c>
      <c r="E80" s="1">
        <f>IF(COUNT(C80:D80)=2,D80-C80,"")</f>
        <v>-14.102212250449789</v>
      </c>
      <c r="H80" s="1">
        <v>6</v>
      </c>
      <c r="I80" s="1">
        <v>5</v>
      </c>
      <c r="J80" s="1">
        <f>IF(417286&gt;0,100*124193/417286,"")</f>
        <v>29.76208164184756</v>
      </c>
      <c r="K80" s="1">
        <f>IF(535307&gt;0,100*144189/535307,"")</f>
        <v>26.935758359221904</v>
      </c>
      <c r="L80" s="1">
        <f>IF(COUNT(J80:K80)=2,K80-J80,"")</f>
        <v>-2.826323282625655</v>
      </c>
      <c r="O80" s="1">
        <v>6</v>
      </c>
      <c r="P80" s="1">
        <v>5</v>
      </c>
      <c r="Q80" s="1">
        <f>IF(460762&gt;0,100*159245/460762,"")</f>
        <v>34.56122683728259</v>
      </c>
      <c r="R80" s="1">
        <f>IF(806416&gt;0,100*105714/806416,"")</f>
        <v>13.10911489851392</v>
      </c>
      <c r="S80" s="1">
        <f>IF(COUNT(Q80:R80)=2,R80-Q80,"")</f>
        <v>-21.45211193876867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IF(575197&gt;0,100*162178/575197,"")</f>
        <v>28.195209641218575</v>
      </c>
      <c r="E81" s="1">
        <f>IF(COUNT(C81:D81)=2,D81-C81,"")</f>
        <v>-23.626702579042572</v>
      </c>
      <c r="H81" s="1">
        <v>7</v>
      </c>
      <c r="I81" s="1">
        <v>6</v>
      </c>
      <c r="J81" s="1">
        <f>IF(667678&gt;0,100*4575/667678,"")</f>
        <v>0.6852105356174683</v>
      </c>
      <c r="K81" s="1">
        <f>IF(814410&gt;0,100*5224/814410,"")</f>
        <v>0.6414459547402414</v>
      </c>
      <c r="L81" s="1">
        <f>IF(COUNT(J81:K81)=2,K81-J81,"")</f>
        <v>-0.0437645808772269</v>
      </c>
      <c r="O81" s="1">
        <v>7</v>
      </c>
      <c r="P81" s="1">
        <v>6</v>
      </c>
      <c r="Q81" s="1">
        <f>IF(457006&gt;0,100*8837/457006,"")</f>
        <v>1.9336726432475722</v>
      </c>
      <c r="R81" s="1">
        <f>IF(670785&gt;0,100*43715/670785,"")</f>
        <v>6.516991286328705</v>
      </c>
      <c r="S81" s="1">
        <f>IF(COUNT(Q81:R81)=2,R81-Q81,"")</f>
        <v>4.583318643081133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IF(451275&gt;0,100*177440/451275,"")</f>
        <v>39.3197052794859</v>
      </c>
      <c r="E82" s="1">
        <f>IF(COUNT(C82:D82)=2,D82-C82,"")</f>
        <v>-8.070745959086956</v>
      </c>
      <c r="H82" s="1">
        <v>8</v>
      </c>
      <c r="I82" s="1">
        <v>7</v>
      </c>
      <c r="J82" s="1">
        <f>IF(581531&gt;0,100*7536/581531,"")</f>
        <v>1.2958896430284885</v>
      </c>
      <c r="K82" s="1">
        <f>IF(507743&gt;0,100*6252/507743,"")</f>
        <v>1.2313315988600533</v>
      </c>
      <c r="L82" s="1">
        <f>IF(COUNT(J82:K82)=2,K82-J82,"")</f>
        <v>-0.06455804416843525</v>
      </c>
      <c r="O82" s="1">
        <v>8</v>
      </c>
      <c r="P82" s="1">
        <v>7</v>
      </c>
      <c r="Q82" s="1">
        <f>IF(579694&gt;0,100*5105/579694,"")</f>
        <v>0.8806370257411669</v>
      </c>
      <c r="R82" s="1">
        <f>IF(517590&gt;0,100*18854/517590,"")</f>
        <v>3.642651519542495</v>
      </c>
      <c r="S82" s="1">
        <f>IF(COUNT(Q82:R82)=2,R82-Q82,"")</f>
        <v>2.7620144938013285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IF(258424&gt;0,100*88796/258424,"")</f>
        <v>34.36058570411417</v>
      </c>
      <c r="E83" s="1">
        <f>IF(COUNT(C83:D83)=2,D83-C83,"")</f>
        <v>-12.66772960607365</v>
      </c>
      <c r="H83" s="1">
        <v>9</v>
      </c>
      <c r="I83" s="1">
        <v>8</v>
      </c>
      <c r="J83" s="1">
        <f>IF(408350&gt;0,100*224416/408350,"")</f>
        <v>54.95677727439696</v>
      </c>
      <c r="K83" s="1">
        <f>IF(911609&gt;0,100*309116/911609,"")</f>
        <v>33.90883591539794</v>
      </c>
      <c r="L83" s="1">
        <f>IF(COUNT(J83:K83)=2,K83-J83,"")</f>
        <v>-21.047941358999026</v>
      </c>
      <c r="O83" s="1">
        <v>9</v>
      </c>
      <c r="P83" s="1">
        <v>8</v>
      </c>
      <c r="Q83" s="1">
        <f>IF(401424&gt;0,100*207750/401424,"")</f>
        <v>51.75325840009566</v>
      </c>
      <c r="R83" s="1">
        <f>IF(515736&gt;0,100*189363/515736,"")</f>
        <v>36.717041276932385</v>
      </c>
      <c r="S83" s="1">
        <f>IF(COUNT(Q83:R83)=2,R83-Q83,"")</f>
        <v>-15.036217123163276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IF(796172&gt;0,100*122495/796172,"")</f>
        <v>15.385494591620906</v>
      </c>
      <c r="L84" s="1">
        <f>IF(COUNT(J84:K84)=2,K84-J84,"")</f>
        <v>-38.00357768373444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IF(762419&gt;0,100*80018/762419,"")</f>
        <v>10.49527884273608</v>
      </c>
      <c r="S84" s="1">
        <f>IF(COUNT(Q84:R84)=2,R84-Q84,"")</f>
        <v>-4.901729400716823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IF(741780&gt;0,100*255048/741780,"")</f>
        <v>34.383240313839686</v>
      </c>
      <c r="E85" s="1">
        <f>IF(COUNT(C85:D85)=2,D85-C85,"")</f>
        <v>-20.326807255062597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IF(790175&gt;0,100*81646/790175,"")</f>
        <v>10.332647831176638</v>
      </c>
      <c r="L85" s="1">
        <f>IF(COUNT(J85:K85)=2,K85-J85,"")</f>
        <v>-49.4511827478163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IF(867641&gt;0,100*79116/867641,"")</f>
        <v>9.118517912362371</v>
      </c>
      <c r="S85" s="1">
        <f>IF(COUNT(Q85:R85)=2,R85-Q85,"")</f>
        <v>-42.14047874111175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IF(366094&gt;0,100*134096/366094,"")</f>
        <v>36.62884395810912</v>
      </c>
      <c r="E86" s="1">
        <f>IF(COUNT(C86:D86)=2,D86-C86,"")</f>
        <v>-8.62734948348205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IF(880389&gt;0,100*129886/880389,"")</f>
        <v>14.753251119675507</v>
      </c>
      <c r="L86" s="1">
        <f>IF(COUNT(J86:K86)=2,K86-J86,"")</f>
        <v>-41.04168322669058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IF(883551&gt;0,100*75567/883551,"")</f>
        <v>8.552647215610644</v>
      </c>
      <c r="S86" s="1">
        <f>IF(COUNT(Q86:R86)=2,R86-Q86,"")</f>
        <v>-45.065566746702316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IF(628778&gt;0,100*28689/628778,"")</f>
        <v>4.562659635038122</v>
      </c>
      <c r="E87" s="1">
        <f>IF(COUNT(C87:D87)=2,D87-C87,"")</f>
        <v>-19.740385943403517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IF(810816&gt;0,100*88403/810816,"")</f>
        <v>10.902966887678586</v>
      </c>
      <c r="L87" s="1">
        <f>IF(COUNT(J87:K87)=2,K87-J87,"")</f>
        <v>-34.1626826917433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IF(402849&gt;0,100*23104/402849,"")</f>
        <v>5.735151384265569</v>
      </c>
      <c r="E88" s="1">
        <f>IF(COUNT(C88:D88)=2,D88-C88,"")</f>
        <v>-7.20926104043035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IF(547993&gt;0,100*102875/547993,"")</f>
        <v>18.773050020711942</v>
      </c>
      <c r="L88" s="1">
        <f>IF(COUNT(J88:K88)=2,K88-J88,"")</f>
        <v>-5.035229623869583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IF(523361&gt;0,100*57437/523361,"")</f>
        <v>10.974642741816833</v>
      </c>
      <c r="S88" s="1">
        <f>IF(COUNT(Q88:R88)=2,R88-Q88,"")</f>
        <v>4.903281141885516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IF(611476&gt;0,100*259215/611476,"")</f>
        <v>42.39168830829011</v>
      </c>
      <c r="E89" s="1">
        <f>IF(COUNT(C89:D89)=2,D89-C89,"")</f>
        <v>-8.623555620751894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IF(596300&gt;0,100*101923/596300,"")</f>
        <v>17.092570853597184</v>
      </c>
      <c r="L89" s="1">
        <f>IF(COUNT(J89:K89)=2,K89-J89,"")</f>
        <v>0.48708841388653923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IF(926290&gt;0,100*87059/926290,"")</f>
        <v>9.398676440423625</v>
      </c>
      <c r="S89" s="1">
        <f>IF(COUNT(Q89:R89)=2,R89-Q89,"")</f>
        <v>-11.154459169484202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IF(662875&gt;0,100*244771/662875,"")</f>
        <v>36.9256647180841</v>
      </c>
      <c r="E90" s="1">
        <f>IF(COUNT(C90:D90)=2,D90-C90,"")</f>
        <v>-5.169234580645998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IF(642874&gt;0,100*40787/642874,"")</f>
        <v>6.344478078130396</v>
      </c>
      <c r="L90" s="1">
        <f>IF(COUNT(J90:K90)=2,K90-J90,"")</f>
        <v>-45.6836815981056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IF(938318&gt;0,100*246990/938318,"")</f>
        <v>26.322632625613064</v>
      </c>
      <c r="S90" s="1">
        <f>IF(COUNT(Q90:R90)=2,R90-Q90,"")</f>
        <v>-31.263337100219513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IF(416674&gt;0,100*20232/416674,"")</f>
        <v>4.855594541536069</v>
      </c>
      <c r="E91" s="1">
        <f>IF(COUNT(C91:D91)=2,D91-C91,"")</f>
        <v>0.16006013997466795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IF(719068&gt;0,100*193885/719068,"")</f>
        <v>26.96337481295232</v>
      </c>
      <c r="S91" s="1">
        <f>IF(COUNT(Q91:R91)=2,R91-Q91,"")</f>
        <v>-14.168640137671897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IF(459254&gt;0,100*8537/459254,"")</f>
        <v>1.8588841904479874</v>
      </c>
      <c r="E92" s="1">
        <f>IF(COUNT(C92:D92)=2,D92-C92,"")</f>
        <v>-16.15503885727167</v>
      </c>
      <c r="H92" s="1">
        <v>18</v>
      </c>
      <c r="I92" s="1">
        <v>17</v>
      </c>
      <c r="J92" s="4"/>
      <c r="K92" s="1">
        <f>IF(856301&gt;0,100*70067/856301,"")</f>
        <v>8.182519931659545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IF(869607&gt;0,100*40403/869607,"")</f>
        <v>4.6461217538497275</v>
      </c>
      <c r="S92" s="1">
        <f>IF(COUNT(Q92:R92)=2,R92-Q92,"")</f>
        <v>-46.868205828232725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IF(648330&gt;0,100*271093/648330,"")</f>
        <v>41.81404531642836</v>
      </c>
      <c r="E93" s="1">
        <f>IF(COUNT(C93:D93)=2,D93-C93,"")</f>
        <v>-9.706103662841805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IF(645272&gt;0,100*93940/645272,"")</f>
        <v>14.558201812568964</v>
      </c>
      <c r="L93" s="1">
        <f>IF(COUNT(J93:K93)=2,K93-J93,"")</f>
        <v>-1.1847667429773736</v>
      </c>
      <c r="O93" s="1">
        <v>19</v>
      </c>
      <c r="P93" s="1">
        <v>18</v>
      </c>
      <c r="Q93" s="1">
        <f>IF(725510&gt;0,100*356287/725510,"")</f>
        <v>49.1084892007002</v>
      </c>
      <c r="R93" s="1">
        <f>IF(235917&gt;0,100*45196/235917,"")</f>
        <v>19.15758508288932</v>
      </c>
      <c r="S93" s="1">
        <f>IF(COUNT(Q93:R93)=2,R93-Q93,"")</f>
        <v>-29.95090411781088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IF(681687&gt;0,100*230613/681687,"")</f>
        <v>33.82974884367752</v>
      </c>
      <c r="E94" s="1">
        <f>IF(COUNT(C94:D94)=2,D94-C94,"")</f>
        <v>-11.735580831086423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IF(478303&gt;0,100*96775/478303,"")</f>
        <v>20.232990384756107</v>
      </c>
      <c r="L94" s="1">
        <f>IF(COUNT(J94:K94)=2,K94-J94,"")</f>
        <v>-1.3733459910864596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IF(867411&gt;0,100*188195/867411,"")</f>
        <v>21.696174016700272</v>
      </c>
      <c r="S94" s="1">
        <f>IF(COUNT(Q94:R94)=2,R94-Q94,"")</f>
        <v>-28.485701911810576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IF(435635&gt;0,100*27549/435635,"")</f>
        <v>6.323872048848233</v>
      </c>
      <c r="E95" s="1">
        <f>IF(COUNT(C95:D95)=2,D95-C95,"")</f>
        <v>-42.62565474495437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IF(728020&gt;0,100*112938/728020,"")</f>
        <v>15.513035356171534</v>
      </c>
      <c r="L95" s="1">
        <f>IF(COUNT(J95:K95)=2,K95-J95,"")</f>
        <v>-40.78185660047311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IF(815462&gt;0,100*140464/815462,"")</f>
        <v>17.225082223328616</v>
      </c>
      <c r="S95" s="1">
        <f>IF(COUNT(Q95:R95)=2,R95-Q95,"")</f>
        <v>-37.48061927634686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IF(278108&gt;0,100*111700/278108,"")</f>
        <v>40.16425273634703</v>
      </c>
      <c r="E96" s="1">
        <f>IF(COUNT(C96:D96)=2,D96-C96,"")</f>
        <v>3.58301657478642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IF(461872&gt;0,100*152336/461872,"")</f>
        <v>32.982298125887695</v>
      </c>
      <c r="L96" s="1">
        <f>IF(COUNT(J96:K96)=2,K96-J96,"")</f>
        <v>-16.89873582850234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IF(254037&gt;0,100*89003/254037,"")</f>
        <v>35.035447592279866</v>
      </c>
      <c r="S96" s="1">
        <f>IF(COUNT(Q96:R96)=2,R96-Q96,"")</f>
        <v>-6.021350378388121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IF(961511&gt;0,100*139474/961511,"")</f>
        <v>14.505710283085685</v>
      </c>
      <c r="L97" s="1">
        <f>IF(COUNT(J97:K97)=2,K97-J97,"")</f>
        <v>-39.78505866359615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IF(906260&gt;0,100*280978/906260,"")</f>
        <v>31.004126851014057</v>
      </c>
      <c r="S97" s="1">
        <f>IF(COUNT(Q97:R97)=2,R97-Q97,"")</f>
        <v>-12.479175420986714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IF(780493&gt;0,100*3119/780493,"")</f>
        <v>0.3996192150345999</v>
      </c>
      <c r="E98" s="1">
        <f>IF(COUNT(C98:D98)=2,D98-C98,"")</f>
        <v>-40.11212851386695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IF(850524&gt;0,100*94360/850524,"")</f>
        <v>11.094337138046663</v>
      </c>
      <c r="L98" s="1">
        <f>IF(COUNT(J98:K98)=2,K98-J98,"")</f>
        <v>-36.28525902119336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IF(998451&gt;0,100*188583/998451,"")</f>
        <v>18.887556825522736</v>
      </c>
      <c r="S98" s="1">
        <f>IF(COUNT(Q98:R98)=2,R98-Q98,"")</f>
        <v>-7.393213189904774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IF(564652&gt;0,100*178481/564652,"")</f>
        <v>31.609026444606588</v>
      </c>
      <c r="E99" s="1">
        <f>IF(COUNT(C99:D99)=2,D99-C99,"")</f>
        <v>-13.081311283072733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IF(646421&gt;0,100*38712/646421,"")</f>
        <v>5.988666828583849</v>
      </c>
      <c r="L99" s="1">
        <f>IF(COUNT(J99:K99)=2,K99-J99,"")</f>
        <v>-45.2834848191349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IF(543528&gt;0,100*69227/543528,"")</f>
        <v>12.73660234615328</v>
      </c>
      <c r="S99" s="1">
        <f>IF(COUNT(Q99:R99)=2,R99-Q99,"")</f>
        <v>-29.831468751576107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IF(690191&gt;0,100*266108/690191,"")</f>
        <v>38.55570414566402</v>
      </c>
      <c r="E100" s="1">
        <f>IF(COUNT(C100:D100)=2,D100-C100,"")</f>
        <v>-12.636749255181265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IF(645251&gt;0,100*108854/645251,"")</f>
        <v>16.870024223131775</v>
      </c>
      <c r="L100" s="1">
        <f>IF(COUNT(J100:K100)=2,K100-J100,"")</f>
        <v>10.79384826269628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IF(807622&gt;0,100*112801/807622,"")</f>
        <v>13.96705389402468</v>
      </c>
      <c r="S100" s="1">
        <f>IF(COUNT(Q100:R100)=2,R100-Q100,"")</f>
        <v>-45.620910393055894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IF(684165&gt;0,100*259767/684165,"")</f>
        <v>37.96847251759444</v>
      </c>
      <c r="E101" s="1">
        <f>IF(COUNT(C101:D101)=2,D101-C101,"")</f>
        <v>-19.846417804906125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IF(655820&gt;0,100*114285/655820,"")</f>
        <v>17.426275502424446</v>
      </c>
      <c r="L101" s="1">
        <f>IF(COUNT(J101:K101)=2,K101-J101,"")</f>
        <v>-2.403785231023992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IF(838055&gt;0,100*99809/838055,"")</f>
        <v>11.909600205237126</v>
      </c>
      <c r="S101" s="1">
        <f>IF(COUNT(Q101:R101)=2,R101-Q101,"")</f>
        <v>-6.54031394609143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IF(551029&gt;0,100*148161/551029,"")</f>
        <v>26.888058523235618</v>
      </c>
      <c r="L102" s="1">
        <f>IF(COUNT(J102:K102)=2,K102-J102,"")</f>
        <v>-7.759649128555683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IF(396307&gt;0,100*94088/396307,"")</f>
        <v>23.741190541676023</v>
      </c>
      <c r="S102" s="1">
        <f>IF(COUNT(Q102:R102)=2,R102-Q102,"")</f>
        <v>-4.852988211754006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IF(605954&gt;0,100*238543/605954,"")</f>
        <v>39.366519570792505</v>
      </c>
      <c r="E103" s="1">
        <f>IF(COUNT(C103:D103)=2,D103-C103,"")</f>
        <v>-16.781625811798172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IF(845741&gt;0,100*179793/845741,"")</f>
        <v>21.258635918088398</v>
      </c>
      <c r="L103" s="1">
        <f>IF(COUNT(J103:K103)=2,K103-J103,"")</f>
        <v>-34.921136727631534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IF(762357&gt;0,100*171737/762357,"")</f>
        <v>22.52711000226928</v>
      </c>
      <c r="S103" s="1">
        <f>IF(COUNT(Q103:R103)=2,R103-Q103,"")</f>
        <v>-28.63938164334756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IF(720824&gt;0,100*196456/720824,"")</f>
        <v>27.254364449574375</v>
      </c>
      <c r="E104" s="1">
        <f>IF(COUNT(C104:D104)=2,D104-C104,"")</f>
        <v>-25.253468030324022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IF(608043&gt;0,100*104423/608043,"")</f>
        <v>17.173620944571354</v>
      </c>
      <c r="L104" s="1">
        <f>IF(COUNT(J104:K104)=2,K104-J104,"")</f>
        <v>-10.937552523113013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IF(509700&gt;0,100*6130/509700,"")</f>
        <v>1.2026682362173828</v>
      </c>
      <c r="S104" s="1">
        <f>IF(COUNT(Q104:R104)=2,R104-Q104,"")</f>
        <v>-0.20042679769545724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IF(756005&gt;0,100*23860/756005,"")</f>
        <v>3.15606378264694</v>
      </c>
      <c r="E105" s="1">
        <f>IF(COUNT(C105:D105)=2,D105-C105,"")</f>
        <v>-19.31164223071609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IF(690310&gt;0,100*104299/690310,"")</f>
        <v>15.109008995958337</v>
      </c>
      <c r="L105" s="1">
        <f>IF(COUNT(J105:K105)=2,K105-J105,"")</f>
        <v>-2.23459100106486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IF(515054&gt;0,100*135583/515054,"")</f>
        <v>26.324035926330055</v>
      </c>
      <c r="S105" s="1">
        <f>IF(COUNT(Q105:R105)=2,R105-Q105,"")</f>
        <v>-13.169122045849093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22.611945184148013</v>
      </c>
      <c r="E106" s="1">
        <f>IF(COUNT(E75:E105)&gt;0,AVERAGE(E75:E105),"")</f>
        <v>-14.161781599194422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16.250326704480898</v>
      </c>
      <c r="L106" s="1">
        <f>IF(COUNT(L75:L105)&gt;0,AVERAGE(L75:L105),"")</f>
        <v>-19.844165999139292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17.065128155407447</v>
      </c>
      <c r="S106" s="1">
        <f>IF(COUNT(S75:S105)&gt;0,AVERAGE(S75:S105),"")</f>
        <v>-18.117209583606748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IF(297516&gt;0,100*37023/297516,"")</f>
        <v>12.44403662324043</v>
      </c>
      <c r="E3" s="1">
        <f>IF(COUNT(C3:D3)=2,D3-C3,"")</f>
        <v>-3.194935922473885</v>
      </c>
      <c r="H3" s="1">
        <v>1</v>
      </c>
      <c r="I3" s="1">
        <v>0</v>
      </c>
      <c r="J3" s="1">
        <f>IF(215009&gt;0,100*58251/215009,"")</f>
        <v>27.09235427354204</v>
      </c>
      <c r="K3" s="1">
        <f>IF(300829&gt;0,100*19656/300829,"")</f>
        <v>6.533944533273055</v>
      </c>
      <c r="L3" s="1">
        <f>IF(COUNT(J3:K3)=2,K3-J3,"")</f>
        <v>-20.558409740268985</v>
      </c>
      <c r="O3" s="1">
        <v>1</v>
      </c>
      <c r="P3" s="1">
        <v>0</v>
      </c>
      <c r="Q3" s="1">
        <f>IF(558995&gt;0,100*195788/558995,"")</f>
        <v>35.0250002236156</v>
      </c>
      <c r="R3" s="1">
        <f>IF(329482&gt;0,100*44969/329482,"")</f>
        <v>13.648393538949017</v>
      </c>
      <c r="S3" s="1">
        <f>IF(COUNT(Q3:R3)=2,R3-Q3,"")</f>
        <v>-21.376606684666584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IF(109995&gt;0,100*32368/109995,"")</f>
        <v>29.426792126914858</v>
      </c>
      <c r="E4" s="1">
        <f>IF(COUNT(C4:D4)=2,D4-C4,"")</f>
        <v>-18.38877422537627</v>
      </c>
      <c r="H4" s="1">
        <v>2</v>
      </c>
      <c r="I4" s="1">
        <v>1</v>
      </c>
      <c r="J4" s="1">
        <f>IF(296332&gt;0,100*64971/296332,"")</f>
        <v>21.925070529001257</v>
      </c>
      <c r="K4" s="1">
        <f>IF(332243&gt;0,100*49731/332243,"")</f>
        <v>14.968261182327392</v>
      </c>
      <c r="L4" s="1">
        <f>IF(COUNT(J4:K4)=2,K4-J4,"")</f>
        <v>-6.9568093466738645</v>
      </c>
      <c r="O4" s="1">
        <v>2</v>
      </c>
      <c r="P4" s="1">
        <v>1</v>
      </c>
      <c r="Q4" s="1">
        <f>IF(348213&gt;0,100*131600/348213,"")</f>
        <v>37.792960056057645</v>
      </c>
      <c r="R4" s="1">
        <f>IF(425957&gt;0,100*85739/425957,"")</f>
        <v>20.12855757740805</v>
      </c>
      <c r="S4" s="1">
        <f>IF(COUNT(Q4:R4)=2,R4-Q4,"")</f>
        <v>-17.664402478649595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IF(382929&gt;0,100*100374/382929,"")</f>
        <v>26.212169880056095</v>
      </c>
      <c r="E5" s="1">
        <f>IF(COUNT(C5:D5)=2,D5-C5,"")</f>
        <v>-16.007603052908053</v>
      </c>
      <c r="H5" s="1">
        <v>3</v>
      </c>
      <c r="I5" s="1">
        <v>2</v>
      </c>
      <c r="J5" s="1">
        <f>IF(328831&gt;0,100*62705/328831,"")</f>
        <v>19.069065872743142</v>
      </c>
      <c r="K5" s="1">
        <f>IF(375319&gt;0,100*35809/375319,"")</f>
        <v>9.540950498109607</v>
      </c>
      <c r="L5" s="1">
        <f>IF(COUNT(J5:K5)=2,K5-J5,"")</f>
        <v>-9.528115374633535</v>
      </c>
      <c r="O5" s="1">
        <v>3</v>
      </c>
      <c r="P5" s="1">
        <v>2</v>
      </c>
      <c r="Q5" s="1">
        <f>IF(499604&gt;0,100*190955/499604,"")</f>
        <v>38.221271246827484</v>
      </c>
      <c r="R5" s="1">
        <f>IF(458821&gt;0,100*53971/458821,"")</f>
        <v>11.762975103580699</v>
      </c>
      <c r="S5" s="1">
        <f>IF(COUNT(Q5:R5)=2,R5-Q5,"")</f>
        <v>-26.458296143246784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IF(488374&gt;0,100*111776/488374,"")</f>
        <v>22.887377296907697</v>
      </c>
      <c r="E6" s="1">
        <f>IF(COUNT(C6:D6)=2,D6-C6,"")</f>
        <v>-15.838549826600282</v>
      </c>
      <c r="H6" s="1">
        <v>4</v>
      </c>
      <c r="I6" s="1">
        <v>3</v>
      </c>
      <c r="J6" s="1">
        <f>IF(464767&gt;0,100*69099/464767,"")</f>
        <v>14.867449711360747</v>
      </c>
      <c r="K6" s="1">
        <f>IF(403240&gt;0,100*15045/403240,"")</f>
        <v>3.731028667790894</v>
      </c>
      <c r="L6" s="1">
        <f>IF(COUNT(J6:K6)=2,K6-J6,"")</f>
        <v>-11.136421043569854</v>
      </c>
      <c r="O6" s="1">
        <v>4</v>
      </c>
      <c r="P6" s="1">
        <v>3</v>
      </c>
      <c r="Q6" s="1">
        <f>IF(332328&gt;0,100*11557/332328,"")</f>
        <v>3.477588406634409</v>
      </c>
      <c r="R6" s="1">
        <f>IF(260509&gt;0,100*16639/260509,"")</f>
        <v>6.387111385787056</v>
      </c>
      <c r="S6" s="1">
        <f>IF(COUNT(Q6:R6)=2,R6-Q6,"")</f>
        <v>2.9095229791526465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IF(299294&gt;0,100*48542/299294,"")</f>
        <v>16.21883499168042</v>
      </c>
      <c r="E7" s="1">
        <f>IF(COUNT(C7:D7)=2,D7-C7,"")</f>
        <v>-18.837086537203323</v>
      </c>
      <c r="H7" s="1">
        <v>5</v>
      </c>
      <c r="I7" s="1">
        <v>4</v>
      </c>
      <c r="J7" s="1">
        <f>IF(411240&gt;0,100*106457/411240,"")</f>
        <v>25.88683007489544</v>
      </c>
      <c r="K7" s="1">
        <f>IF(383120&gt;0,100*74330/383120,"")</f>
        <v>19.40123198997703</v>
      </c>
      <c r="L7" s="1">
        <f>IF(COUNT(J7:K7)=2,K7-J7,"")</f>
        <v>-6.485598084918408</v>
      </c>
      <c r="O7" s="1">
        <v>5</v>
      </c>
      <c r="P7" s="1">
        <v>4</v>
      </c>
      <c r="Q7" s="1">
        <f>IF(258766&gt;0,100*96546/258766,"")</f>
        <v>37.3101566666409</v>
      </c>
      <c r="R7" s="1">
        <f>IF(487763&gt;0,100*122951/487763,"")</f>
        <v>25.207119031168826</v>
      </c>
      <c r="S7" s="1">
        <f>IF(COUNT(Q7:R7)=2,R7-Q7,"")</f>
        <v>-12.103037635472074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IF(423396&gt;0,100*58139/423396,"")</f>
        <v>13.73158933953084</v>
      </c>
      <c r="E8" s="1">
        <f>IF(COUNT(C8:D8)=2,D8-C8,"")</f>
        <v>-9.758791210585938</v>
      </c>
      <c r="H8" s="1">
        <v>6</v>
      </c>
      <c r="I8" s="1">
        <v>5</v>
      </c>
      <c r="J8" s="1">
        <f>IF(324059&gt;0,100*91696/324059,"")</f>
        <v>28.29608188632317</v>
      </c>
      <c r="K8" s="1">
        <f>IF(339258&gt;0,100*76031/339258,"")</f>
        <v>22.410967464289715</v>
      </c>
      <c r="L8" s="1">
        <f>IF(COUNT(J8:K8)=2,K8-J8,"")</f>
        <v>-5.885114422033453</v>
      </c>
      <c r="O8" s="1">
        <v>6</v>
      </c>
      <c r="P8" s="1">
        <v>5</v>
      </c>
      <c r="Q8" s="1">
        <f>IF(371148&gt;0,100*77908/371148,"")</f>
        <v>20.9910871134965</v>
      </c>
      <c r="R8" s="1">
        <f>IF(405176&gt;0,100*76692/405176,"")</f>
        <v>18.92807076430983</v>
      </c>
      <c r="S8" s="1">
        <f>IF(COUNT(Q8:R8)=2,R8-Q8,"")</f>
        <v>-2.0630163491866718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IF(448380&gt;0,100*78894/448380,"")</f>
        <v>17.595343235648333</v>
      </c>
      <c r="E9" s="1">
        <f>IF(COUNT(C9:D9)=2,D9-C9,"")</f>
        <v>-26.869640639903604</v>
      </c>
      <c r="H9" s="1">
        <v>7</v>
      </c>
      <c r="I9" s="1">
        <v>6</v>
      </c>
      <c r="J9" s="1">
        <f>IF(325191&gt;0,100*2956/325191,"")</f>
        <v>0.9090042467349957</v>
      </c>
      <c r="K9" s="1">
        <f>IF(354464&gt;0,100*16044/354464,"")</f>
        <v>4.526270650898257</v>
      </c>
      <c r="L9" s="1">
        <f>IF(COUNT(J9:K9)=2,K9-J9,"")</f>
        <v>3.617266404163262</v>
      </c>
      <c r="O9" s="1">
        <v>7</v>
      </c>
      <c r="P9" s="1">
        <v>6</v>
      </c>
      <c r="Q9" s="1">
        <f>IF(434887&gt;0,100*93317/434887,"")</f>
        <v>21.457757992306046</v>
      </c>
      <c r="R9" s="1">
        <f>IF(407005&gt;0,100*25530/407005,"")</f>
        <v>6.272650213142344</v>
      </c>
      <c r="S9" s="1">
        <f>IF(COUNT(Q9:R9)=2,R9-Q9,"")</f>
        <v>-15.185107779163701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IF(328960&gt;0,100*85315/328960,"")</f>
        <v>25.934764105058367</v>
      </c>
      <c r="E10" s="1">
        <f>IF(COUNT(C10:D10)=2,D10-C10,"")</f>
        <v>-19.593354164935317</v>
      </c>
      <c r="H10" s="1">
        <v>8</v>
      </c>
      <c r="I10" s="1">
        <v>7</v>
      </c>
      <c r="J10" s="1">
        <f>IF(376958&gt;0,100*1179/376958,"")</f>
        <v>0.31276693955294754</v>
      </c>
      <c r="K10" s="1">
        <f>IF(325488&gt;0,100*14623/325488,"")</f>
        <v>4.492638745514427</v>
      </c>
      <c r="L10" s="1">
        <f>IF(COUNT(J10:K10)=2,K10-J10,"")</f>
        <v>4.17987180596148</v>
      </c>
      <c r="O10" s="1">
        <v>8</v>
      </c>
      <c r="P10" s="1">
        <v>7</v>
      </c>
      <c r="Q10" s="1">
        <f>IF(275738&gt;0,100*1113/275738,"")</f>
        <v>0.4036440389064982</v>
      </c>
      <c r="R10" s="1">
        <f>IF(327019&gt;0,100*14472/327019,"")</f>
        <v>4.425430938263526</v>
      </c>
      <c r="S10" s="1">
        <f>IF(COUNT(Q10:R10)=2,R10-Q10,"")</f>
        <v>4.021786899357028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IF(223861&gt;0,100*67558/223861,"")</f>
        <v>30.17854829559414</v>
      </c>
      <c r="E11" s="1">
        <f>IF(COUNT(C11:D11)=2,D11-C11,"")</f>
        <v>-16.37028145822635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IF(480247&gt;0,100*125612/480247,"")</f>
        <v>26.15570737557965</v>
      </c>
      <c r="L11" s="1">
        <f>IF(COUNT(J11:K11)=2,K11-J11,"")</f>
        <v>-7.974699093831543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IF(494442&gt;0,100*128872/494442,"")</f>
        <v>26.06412885636738</v>
      </c>
      <c r="S11" s="1">
        <f>IF(COUNT(Q11:R11)=2,R11-Q11,"")</f>
        <v>-12.440664485841385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IF(365125&gt;0,100*4518/365125,"")</f>
        <v>1.2373844573776105</v>
      </c>
      <c r="E12" s="1">
        <f>IF(COUNT(C12:D12)=2,D12-C12,"")</f>
        <v>-29.685203424781214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IF(488153&gt;0,100*53737/488153,"")</f>
        <v>11.008228977390285</v>
      </c>
      <c r="L12" s="1">
        <f>IF(COUNT(J12:K12)=2,K12-J12,"")</f>
        <v>-5.729399293337231</v>
      </c>
      <c r="O12" s="1">
        <v>10</v>
      </c>
      <c r="P12" s="1">
        <v>9</v>
      </c>
      <c r="Q12" s="1">
        <f>IF(412598&gt;0,100*74901/412598,"")</f>
        <v>18.15350534903223</v>
      </c>
      <c r="R12" s="1">
        <f>IF(285434&gt;0,100*9729/285434,"")</f>
        <v>3.408493732351437</v>
      </c>
      <c r="S12" s="1">
        <f>IF(COUNT(Q12:R12)=2,R12-Q12,"")</f>
        <v>-14.745011616680793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IF(504664&gt;0,100*109645/504664,"")</f>
        <v>21.72633673097348</v>
      </c>
      <c r="E13" s="1">
        <f>IF(COUNT(C13:D13)=2,D13-C13,"")</f>
        <v>-10.726862155380566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IF(542213&gt;0,100*33478/542213,"")</f>
        <v>6.174326325632178</v>
      </c>
      <c r="L13" s="1">
        <f>IF(COUNT(J13:K13)=2,K13-J13,"")</f>
        <v>0.9775925709387421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IF(502163&gt;0,100*11252/502163,"")</f>
        <v>2.240706702803671</v>
      </c>
      <c r="S13" s="1">
        <f>IF(COUNT(Q13:R13)=2,R13-Q13,"")</f>
        <v>1.5137305140758601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IF(381401&gt;0,100*121292/381401,"")</f>
        <v>31.801699523598522</v>
      </c>
      <c r="E14" s="1">
        <f>IF(COUNT(C14:D14)=2,D14-C14,"")</f>
        <v>-12.172031511280082</v>
      </c>
      <c r="H14" s="1">
        <v>12</v>
      </c>
      <c r="I14" s="1">
        <v>11</v>
      </c>
      <c r="J14" s="1">
        <f>IF(461148&gt;0,100*18702/461148,"")</f>
        <v>4.05553097920841</v>
      </c>
      <c r="K14" s="1">
        <f>IF(561338&gt;0,100*70230/561338,"")</f>
        <v>12.511178648158507</v>
      </c>
      <c r="L14" s="1">
        <f>IF(COUNT(J14:K14)=2,K14-J14,"")</f>
        <v>8.455647668950096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IF(493541&gt;0,100*26110/493541,"")</f>
        <v>5.29034062013085</v>
      </c>
      <c r="S14" s="1">
        <f>IF(COUNT(Q14:R14)=2,R14-Q14,"")</f>
        <v>-32.955510272976035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IF(468703&gt;0,100*39181/468703,"")</f>
        <v>8.359451507671169</v>
      </c>
      <c r="E15" s="1">
        <f>IF(COUNT(C15:D15)=2,D15-C15,"")</f>
        <v>-23.677862690970017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IF(291460&gt;0,100*18135/291460,"")</f>
        <v>6.222123104371097</v>
      </c>
      <c r="L15" s="1">
        <f>IF(COUNT(J15:K15)=2,K15-J15,"")</f>
        <v>-36.03494727368016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IF(377708&gt;0,100*33470/377708,"")</f>
        <v>8.861342624461225</v>
      </c>
      <c r="S15" s="1">
        <f>IF(COUNT(Q15:R15)=2,R15-Q15,"")</f>
        <v>1.0820765792819884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IF(476829&gt;0,100*17011/476829,"")</f>
        <v>3.5675263039789944</v>
      </c>
      <c r="E16" s="1">
        <f>IF(COUNT(C16:D16)=2,D16-C16,"")</f>
        <v>-12.978929003307439</v>
      </c>
      <c r="H16" s="1">
        <v>14</v>
      </c>
      <c r="I16" s="1">
        <v>13</v>
      </c>
      <c r="J16" s="1">
        <f>IF(265308&gt;0,100*44978/265308,"")</f>
        <v>16.95312617787628</v>
      </c>
      <c r="K16" s="1">
        <f>IF(316084&gt;0,100*63973/316084,"")</f>
        <v>20.23924020197163</v>
      </c>
      <c r="L16" s="1">
        <f>IF(COUNT(J16:K16)=2,K16-J16,"")</f>
        <v>3.286114024095351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IF(266199&gt;0,100*15402/266199,"")</f>
        <v>5.785897016893377</v>
      </c>
      <c r="S16" s="1">
        <f>IF(COUNT(Q16:R16)=2,R16-Q16,"")</f>
        <v>4.315432763296254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IF(289402&gt;0,100*84172/289402,"")</f>
        <v>29.084802454716968</v>
      </c>
      <c r="E17" s="1">
        <f>IF(COUNT(C17:D17)=2,D17-C17,"")</f>
        <v>-12.906549859016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IF(444456&gt;0,100*72805/444456,"")</f>
        <v>16.380699101823353</v>
      </c>
      <c r="L17" s="1">
        <f>IF(COUNT(J17:K17)=2,K17-J17,"")</f>
        <v>-29.54913128814831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IF(466575&gt;0,100*75836/466575,"")</f>
        <v>16.25376413224026</v>
      </c>
      <c r="S17" s="1">
        <f>IF(COUNT(Q17:R17)=2,R17-Q17,"")</f>
        <v>-16.77676727965734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IF(423464&gt;0,100*124579/423464,"")</f>
        <v>29.419029716811817</v>
      </c>
      <c r="E18" s="1">
        <f>IF(COUNT(C18:D18)=2,D18-C18,"")</f>
        <v>-9.589701511643401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IF(354597&gt;0,100*23690/354597,"")</f>
        <v>6.68082358282783</v>
      </c>
      <c r="L18" s="1">
        <f>IF(COUNT(J18:K18)=2,K18-J18,"")</f>
        <v>-17.905399803644393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IF(353472&gt;0,100*11522/353472,"")</f>
        <v>3.259664131812421</v>
      </c>
      <c r="S18" s="1">
        <f>IF(COUNT(Q18:R18)=2,R18-Q18,"")</f>
        <v>-29.110416653530336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IF(287545&gt;0,100*4130/287545,"")</f>
        <v>1.4362969274374446</v>
      </c>
      <c r="E19" s="1">
        <f>IF(COUNT(C19:D19)=2,D19-C19,"")</f>
        <v>-5.222468089759896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IF(456255&gt;0,100*88284/456255,"")</f>
        <v>19.349705756649243</v>
      </c>
      <c r="L19" s="1">
        <f>IF(COUNT(J19:K19)=2,K19-J19,"")</f>
        <v>-18.326664341776855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IF(245449&gt;0,100*35444/245449,"")</f>
        <v>14.440474395903019</v>
      </c>
      <c r="S19" s="1">
        <f>IF(COUNT(Q19:R19)=2,R19-Q19,"")</f>
        <v>-7.733359808817584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IF(292773&gt;0,100*2028/292773,"")</f>
        <v>0.6926868256294125</v>
      </c>
      <c r="E20" s="1">
        <f>IF(COUNT(C20:D20)=2,D20-C20,"")</f>
        <v>0.18400852030657378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IF(412934&gt;0,100*17412/412934,"")</f>
        <v>4.216654477470976</v>
      </c>
      <c r="L20" s="1">
        <f>IF(COUNT(J20:K20)=2,K20-J20,"")</f>
        <v>-17.572456310857685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IF(539886&gt;0,100*66219/539886,"")</f>
        <v>12.265367133061424</v>
      </c>
      <c r="S20" s="1">
        <f>IF(COUNT(Q20:R20)=2,R20-Q20,"")</f>
        <v>-21.103354503436158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IF(530259&gt;0,100*184188/530259,"")</f>
        <v>34.73547832285732</v>
      </c>
      <c r="E21" s="1">
        <f>IF(COUNT(C21:D21)=2,D21-C21,"")</f>
        <v>-5.11339238227356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IF(386790&gt;0,100*51709/386790,"")</f>
        <v>13.36875307014142</v>
      </c>
      <c r="L21" s="1">
        <f>IF(COUNT(J21:K21)=2,K21-J21,"")</f>
        <v>-0.525841624551278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IF(440296&gt;0,100*60250/440296,"")</f>
        <v>13.68397623416974</v>
      </c>
      <c r="S21" s="1">
        <f>IF(COUNT(Q21:R21)=2,R21-Q21,"")</f>
        <v>-4.486249457289745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IF(425483&gt;0,100*15551/425483,"")</f>
        <v>3.654905131344848</v>
      </c>
      <c r="E22" s="1">
        <f>IF(COUNT(C22:D22)=2,D22-C22,"")</f>
        <v>-31.182913916725106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IF(454745&gt;0,100*40906/454745,"")</f>
        <v>8.9953710321169</v>
      </c>
      <c r="L22" s="1">
        <f>IF(COUNT(J22:K22)=2,K22-J22,"")</f>
        <v>-3.375632914421443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IF(389811&gt;0,100*65241/389811,"")</f>
        <v>16.7365723389027</v>
      </c>
      <c r="S22" s="1">
        <f>IF(COUNT(Q22:R22)=2,R22-Q22,"")</f>
        <v>-3.960124015400279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IF(414908&gt;0,100*92029/414908,"")</f>
        <v>22.180579791182623</v>
      </c>
      <c r="E23" s="1">
        <f>IF(COUNT(C23:D23)=2,D23-C23,"")</f>
        <v>7.312104937700273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IF(279263&gt;0,100*31685/279263,"")</f>
        <v>11.34593555179168</v>
      </c>
      <c r="L23" s="1">
        <f>IF(COUNT(J23:K23)=2,K23-J23,"")</f>
        <v>-31.288549527515134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IF(416267&gt;0,100*70148/416267,"")</f>
        <v>16.851684135422698</v>
      </c>
      <c r="S23" s="1">
        <f>IF(COUNT(Q23:R23)=2,R23-Q23,"")</f>
        <v>-9.838484463045177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IF(215028&gt;0,100*63445/215028,"")</f>
        <v>29.50545975407854</v>
      </c>
      <c r="E24" s="1">
        <f>IF(COUNT(C24:D24)=2,D24-C24,"")</f>
        <v>-13.352766821682199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IF(248963&gt;0,100*58919/248963,"")</f>
        <v>23.665765595690925</v>
      </c>
      <c r="L24" s="1">
        <f>IF(COUNT(J24:K24)=2,K24-J24,"")</f>
        <v>-2.668313176648148</v>
      </c>
      <c r="O24" s="1">
        <v>22</v>
      </c>
      <c r="P24" s="1">
        <v>21</v>
      </c>
      <c r="Q24" s="1">
        <f>IF(97184&gt;0,100*37074/97184,"")</f>
        <v>38.14825485676655</v>
      </c>
      <c r="R24" s="1">
        <f>IF(231402&gt;0,100*70482/231402,"")</f>
        <v>30.458682293152176</v>
      </c>
      <c r="S24" s="1">
        <f>IF(COUNT(Q24:R24)=2,R24-Q24,"")</f>
        <v>-7.689572563614373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IF(264314&gt;0,100*2475/264314,"")</f>
        <v>0.9363862678480898</v>
      </c>
      <c r="E25" s="1">
        <f>IF(COUNT(C25:D25)=2,D25-C25,"")</f>
        <v>0.6712286283978068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IF(361846&gt;0,100*44743/361846,"")</f>
        <v>12.36520508724706</v>
      </c>
      <c r="L25" s="1">
        <f>IF(COUNT(J25:K25)=2,K25-J25,"")</f>
        <v>-4.140010784377035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IF(389894&gt;0,100*30040/389894,"")</f>
        <v>7.704658189148845</v>
      </c>
      <c r="S25" s="1">
        <f>IF(COUNT(Q25:R25)=2,R25-Q25,"")</f>
        <v>-26.12656951415706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IF(285141&gt;0,100*29083/285141,"")</f>
        <v>10.199515327504638</v>
      </c>
      <c r="E26" s="1">
        <f>IF(COUNT(C26:D26)=2,D26-C26,"")</f>
        <v>-5.401292629757128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IF(435466&gt;0,100*17591/435466,"")</f>
        <v>4.0395805872329875</v>
      </c>
      <c r="L26" s="1">
        <f>IF(COUNT(J26:K26)=2,K26-J26,"")</f>
        <v>-25.93201921877955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IF(431033&gt;0,100*10308/431033,"")</f>
        <v>2.3914642266369395</v>
      </c>
      <c r="S26" s="1">
        <f>IF(COUNT(Q26:R26)=2,R26-Q26,"")</f>
        <v>-22.061118430669396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IF(490239&gt;0,100*146542/490239,"")</f>
        <v>29.89195066080014</v>
      </c>
      <c r="E27" s="1">
        <f>IF(COUNT(C27:D27)=2,D27-C27,"")</f>
        <v>-15.637800270980321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IF(441625&gt;0,100*33875/441625,"")</f>
        <v>7.670534956127937</v>
      </c>
      <c r="S27" s="1">
        <f>IF(COUNT(Q27:R27)=2,R27-Q27,"")</f>
        <v>2.4047475270619545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IF(478917&gt;0,100*108886/478917,"")</f>
        <v>22.735881165212344</v>
      </c>
      <c r="E28" s="1">
        <f>IF(COUNT(C28:D28)=2,D28-C28,"")</f>
        <v>-19.51015296278251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IF(624485&gt;0,100*93685/624485,"")</f>
        <v>15.00196161637189</v>
      </c>
      <c r="L28" s="1">
        <f>IF(COUNT(J28:K28)=2,K28-J28,"")</f>
        <v>-16.467320672806547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IF(607167&gt;0,100*100194/607167,"")</f>
        <v>16.5018849838677</v>
      </c>
      <c r="S28" s="1">
        <f>IF(COUNT(Q28:R28)=2,R28-Q28,"")</f>
        <v>-7.403317210808179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IF(405755&gt;0,100*109853/405755,"")</f>
        <v>27.073726756293823</v>
      </c>
      <c r="E29" s="1">
        <f>IF(COUNT(C29:D29)=2,D29-C29,"")</f>
        <v>-2.5454311874695748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IF(463591&gt;0,100*83195/463591,"")</f>
        <v>17.945775478816458</v>
      </c>
      <c r="L29" s="1">
        <f>IF(COUNT(J29:K29)=2,K29-J29,"")</f>
        <v>9.87205823390356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IF(435269&gt;0,100*49777/435269,"")</f>
        <v>11.43591664005477</v>
      </c>
      <c r="S29" s="1">
        <f>IF(COUNT(Q29:R29)=2,R29-Q29,"")</f>
        <v>-33.18031109032358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IF(359147&gt;0,100*73706/359147,"")</f>
        <v>20.522515850055825</v>
      </c>
      <c r="L30" s="1">
        <f>IF(COUNT(J30:K30)=2,K30-J30,"")</f>
        <v>-14.634649504274883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IF(299030&gt;0,100*57827/299030,"")</f>
        <v>19.338193492291744</v>
      </c>
      <c r="S30" s="1">
        <f>IF(COUNT(Q30:R30)=2,R30-Q30,"")</f>
        <v>-3.7404352547788413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IF(335837&gt;0,100*104717/335837,"")</f>
        <v>31.180900258160953</v>
      </c>
      <c r="E31" s="1">
        <f>IF(COUNT(C31:D31)=2,D31-C31,"")</f>
        <v>-11.070066093781257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IF(368513&gt;0,100*80099/368513,"")</f>
        <v>21.735732525039822</v>
      </c>
      <c r="L31" s="1">
        <f>IF(COUNT(J31:K31)=2,K31-J31,"")</f>
        <v>-21.73495760168094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IF(399688&gt;0,100*81391/399688,"")</f>
        <v>20.363633634234702</v>
      </c>
      <c r="S31" s="1">
        <f>IF(COUNT(Q31:R31)=2,R31-Q31,"")</f>
        <v>-26.21623909085492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IF(420907&gt;0,100*76713/420907,"")</f>
        <v>18.225641293682454</v>
      </c>
      <c r="E32" s="1">
        <f>IF(COUNT(C32:D32)=2,D32-C32,"")</f>
        <v>-27.54537683765125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IF(441325&gt;0,100*66211/441325,"")</f>
        <v>15.00277573217017</v>
      </c>
      <c r="L32" s="1">
        <f>IF(COUNT(J32:K32)=2,K32-J32,"")</f>
        <v>-9.252554933152341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IF(389142&gt;0,100*13064/389142,"")</f>
        <v>3.3571292741467125</v>
      </c>
      <c r="S32" s="1">
        <f>IF(COUNT(Q32:R32)=2,R32-Q32,"")</f>
        <v>-15.95589785636606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IF(296369&gt;0,100*17065/296369,"")</f>
        <v>5.758024624707712</v>
      </c>
      <c r="E33" s="1">
        <f>IF(COUNT(C33:D33)=2,D33-C33,"")</f>
        <v>4.30580463567062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IF(375202&gt;0,100*74195/375202,"")</f>
        <v>19.77468137163448</v>
      </c>
      <c r="L33" s="1">
        <f>IF(COUNT(J33:K33)=2,K33-J33,"")</f>
        <v>1.824371766975812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IF(296673&gt;0,100*69255/296673,"")</f>
        <v>23.34388366989918</v>
      </c>
      <c r="S33" s="1">
        <f>IF(COUNT(Q33:R33)=2,R33-Q33,"")</f>
        <v>-2.2544212641991095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18.005994809256006</v>
      </c>
      <c r="E34" s="1">
        <f>IF(COUNT(E3:E33)&gt;0,AVERAGE(E3:E33),"")</f>
        <v>-12.27926351840258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12.864477180391612</v>
      </c>
      <c r="L34" s="1">
        <f>IF(COUNT(L3:L33)&gt;0,AVERAGE(L3:L33),"")</f>
        <v>-10.009483442153906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12.724796837635168</v>
      </c>
      <c r="S34" s="1">
        <f>IF(COUNT(S3:S33)&gt;0,AVERAGE(S3:S33),"")</f>
        <v>-12.141322407761484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IF(379659&gt;0,100*9409/379659,"")</f>
        <v>2.478276558701361</v>
      </c>
      <c r="E39" s="1">
        <f>IF(COUNT(C39:D39)=2,D39-C39,"")</f>
        <v>-5.528088643587059</v>
      </c>
      <c r="H39" s="1">
        <v>1</v>
      </c>
      <c r="I39" s="1">
        <v>0</v>
      </c>
      <c r="J39" s="1">
        <f>IF(713250&gt;0,100*211130/713250,"")</f>
        <v>29.601121626358218</v>
      </c>
      <c r="K39" s="1">
        <f>IF(332041&gt;0,100*108614/332041,"")</f>
        <v>32.711020626970765</v>
      </c>
      <c r="L39" s="1">
        <f>IF(COUNT(J39:K39)=2,K39-J39,"")</f>
        <v>3.109899000612547</v>
      </c>
      <c r="O39" s="1">
        <v>1</v>
      </c>
      <c r="P39" s="1">
        <v>0</v>
      </c>
      <c r="Q39" s="1">
        <f>IF(523211&gt;0,100*80163/523211,"")</f>
        <v>15.321352188696338</v>
      </c>
      <c r="R39" s="1">
        <f>IF(517631&gt;0,100*37707/517631,"")</f>
        <v>7.2845328042563136</v>
      </c>
      <c r="S39" s="1">
        <f>IF(COUNT(Q39:R39)=2,R39-Q39,"")</f>
        <v>-8.036819384440024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IF(177643&gt;0,100*51116/177643,"")</f>
        <v>28.774564716875982</v>
      </c>
      <c r="E40" s="1">
        <f>IF(COUNT(C40:D40)=2,D40-C40,"")</f>
        <v>-11.110477975429877</v>
      </c>
      <c r="H40" s="1">
        <v>2</v>
      </c>
      <c r="I40" s="1">
        <v>1</v>
      </c>
      <c r="J40" s="1">
        <f>IF(594344&gt;0,100*221110/594344,"")</f>
        <v>37.20236092229416</v>
      </c>
      <c r="K40" s="1">
        <f>IF(550405&gt;0,100*70267/550405,"")</f>
        <v>12.766417456236772</v>
      </c>
      <c r="L40" s="1">
        <f>IF(COUNT(J40:K40)=2,K40-J40,"")</f>
        <v>-24.435943466057388</v>
      </c>
      <c r="O40" s="1">
        <v>2</v>
      </c>
      <c r="P40" s="1">
        <v>1</v>
      </c>
      <c r="Q40" s="1">
        <f>IF(421884&gt;0,100*204846/421884,"")</f>
        <v>48.555053047757205</v>
      </c>
      <c r="R40" s="1">
        <f>IF(598510&gt;0,100*198303/598510,"")</f>
        <v>33.132779736345256</v>
      </c>
      <c r="S40" s="1">
        <f>IF(COUNT(Q40:R40)=2,R40-Q40,"")</f>
        <v>-15.42227331141195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IF(137732&gt;0,100*28859/137732,"")</f>
        <v>20.953010193709524</v>
      </c>
      <c r="E41" s="1">
        <f>IF(COUNT(C41:D41)=2,D41-C41,"")</f>
        <v>-30.646570898070024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IF(801232&gt;0,100*159427/801232,"")</f>
        <v>19.89773249196238</v>
      </c>
      <c r="S41" s="1">
        <f>IF(COUNT(Q41:R41)=2,R41-Q41,"")</f>
        <v>-21.3265292754461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IF(432181&gt;0,100*19844/432181,"")</f>
        <v>4.591594725358125</v>
      </c>
      <c r="L42" s="1">
        <f>IF(COUNT(J42:K42)=2,K42-J42,"")</f>
        <v>-1.963878346315047</v>
      </c>
      <c r="O42" s="1">
        <v>4</v>
      </c>
      <c r="P42" s="1">
        <v>3</v>
      </c>
      <c r="Q42" s="1">
        <f>IF(646087&gt;0,100*38069/646087,"")</f>
        <v>5.8922405186917555</v>
      </c>
      <c r="R42" s="1">
        <f>IF(697765&gt;0,100*67994/697765,"")</f>
        <v>9.74454150036187</v>
      </c>
      <c r="S42" s="1">
        <f>IF(COUNT(Q42:R42)=2,R42-Q42,"")</f>
        <v>3.8523009816701137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IF(541331&gt;0,100*53559/541331,"")</f>
        <v>9.893946587208196</v>
      </c>
      <c r="E43" s="1">
        <f>IF(COUNT(C43:D43)=2,D43-C43,"")</f>
        <v>-7.187760037905074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IF(643978&gt;0,100*186599/643978,"")</f>
        <v>28.975989863007744</v>
      </c>
      <c r="L43" s="1">
        <f>IF(COUNT(J43:K43)=2,K43-J43,"")</f>
        <v>-14.095475771222322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IF(525387&gt;0,100*148436/525387,"")</f>
        <v>28.252697535340616</v>
      </c>
      <c r="S43" s="1">
        <f>IF(COUNT(Q43:R43)=2,R43-Q43,"")</f>
        <v>-13.1233867377426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IF(675581&gt;0,100*104599/675581,"")</f>
        <v>15.482821452941986</v>
      </c>
      <c r="E44" s="1">
        <f>IF(COUNT(C44:D44)=2,D44-C44,"")</f>
        <v>-32.5719139876045</v>
      </c>
      <c r="H44" s="1">
        <v>6</v>
      </c>
      <c r="I44" s="1">
        <v>5</v>
      </c>
      <c r="J44" s="1">
        <f>IF(458928&gt;0,100*143171/458928,"")</f>
        <v>31.19683261862427</v>
      </c>
      <c r="K44" s="1">
        <f>IF(618806&gt;0,100*193619/618806,"")</f>
        <v>31.289127771870344</v>
      </c>
      <c r="L44" s="1">
        <f>IF(COUNT(J44:K44)=2,K44-J44,"")</f>
        <v>0.09229515324607362</v>
      </c>
      <c r="O44" s="1">
        <v>6</v>
      </c>
      <c r="P44" s="1">
        <v>5</v>
      </c>
      <c r="Q44" s="1">
        <f>IF(652890&gt;0,100*52664/652890,"")</f>
        <v>8.066289880378012</v>
      </c>
      <c r="R44" s="1">
        <f>IF(639039&gt;0,100*139818/639039,"")</f>
        <v>21.879415810302657</v>
      </c>
      <c r="S44" s="1">
        <f>IF(COUNT(Q44:R44)=2,R44-Q44,"")</f>
        <v>13.813125929924645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IF(556776&gt;0,100*163927/556776,"")</f>
        <v>29.442181415865626</v>
      </c>
      <c r="E45" s="1">
        <f>IF(COUNT(C45:D45)=2,D45-C45,"")</f>
        <v>-25.678207424636717</v>
      </c>
      <c r="H45" s="1">
        <v>7</v>
      </c>
      <c r="I45" s="1">
        <v>6</v>
      </c>
      <c r="J45" s="1">
        <f>IF(516628&gt;0,100*1474/516628,"")</f>
        <v>0.28531167493825343</v>
      </c>
      <c r="K45" s="1">
        <f>IF(580341&gt;0,100*12311/580341,"")</f>
        <v>2.1213390058603476</v>
      </c>
      <c r="L45" s="1">
        <f>IF(COUNT(J45:K45)=2,K45-J45,"")</f>
        <v>1.8360273309220942</v>
      </c>
      <c r="O45" s="1">
        <v>7</v>
      </c>
      <c r="P45" s="1">
        <v>6</v>
      </c>
      <c r="Q45" s="1">
        <f>IF(639485&gt;0,100*13388/639485,"")</f>
        <v>2.093559661289944</v>
      </c>
      <c r="R45" s="1">
        <f>IF(463317&gt;0,100*8153/463317,"")</f>
        <v>1.7597023204415119</v>
      </c>
      <c r="S45" s="1">
        <f>IF(COUNT(Q45:R45)=2,R45-Q45,"")</f>
        <v>-0.3338573408484322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IF(453287&gt;0,100*135523/453287,"")</f>
        <v>29.897835146386285</v>
      </c>
      <c r="E46" s="1">
        <f>IF(COUNT(C46:D46)=2,D46-C46,"")</f>
        <v>-13.739587572943321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IF(566861&gt;0,100*6341/566861,"")</f>
        <v>1.1186163803824924</v>
      </c>
      <c r="S46" s="1">
        <f>IF(COUNT(Q46:R46)=2,R46-Q46,"")</f>
        <v>-1.0981131571984015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IF(311369&gt;0,100*119285/311369,"")</f>
        <v>38.30985101278547</v>
      </c>
      <c r="E47" s="1">
        <f>IF(COUNT(C47:D47)=2,D47-C47,"")</f>
        <v>-22.298029707626497</v>
      </c>
      <c r="H47" s="1">
        <v>9</v>
      </c>
      <c r="I47" s="1">
        <v>8</v>
      </c>
      <c r="J47" s="1">
        <f>IF(433696&gt;0,100*195875/433696,"")</f>
        <v>45.16412417914853</v>
      </c>
      <c r="K47" s="1">
        <f>IF(567081&gt;0,100*132310/567081,"")</f>
        <v>23.33176389263615</v>
      </c>
      <c r="L47" s="1">
        <f>IF(COUNT(J47:K47)=2,K47-J47,"")</f>
        <v>-21.83236028651238</v>
      </c>
      <c r="O47" s="1">
        <v>9</v>
      </c>
      <c r="P47" s="1">
        <v>8</v>
      </c>
      <c r="Q47" s="1">
        <f>IF(341160&gt;0,100*196686/341160,"")</f>
        <v>57.65212803376715</v>
      </c>
      <c r="R47" s="1">
        <f>IF(487581&gt;0,100*157319/487581,"")</f>
        <v>32.265203114969616</v>
      </c>
      <c r="S47" s="1">
        <f>IF(COUNT(Q47:R47)=2,R47-Q47,"")</f>
        <v>-25.386924918797533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IF(436914&gt;0,100*2708/436914,"")</f>
        <v>0.6198016085545439</v>
      </c>
      <c r="E48" s="1">
        <f>IF(COUNT(C48:D48)=2,D48-C48,"")</f>
        <v>-21.23418856299118</v>
      </c>
      <c r="H48" s="1">
        <v>10</v>
      </c>
      <c r="I48" s="1">
        <v>9</v>
      </c>
      <c r="J48" s="1">
        <f>IF(716304&gt;0,100*319115/716304,"")</f>
        <v>44.550218901472</v>
      </c>
      <c r="K48" s="1">
        <f>IF(673915&gt;0,100*121573/673915,"")</f>
        <v>18.039812142480876</v>
      </c>
      <c r="L48" s="1">
        <f>IF(COUNT(J48:K48)=2,K48-J48,"")</f>
        <v>-26.510406758991124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IF(671188&gt;0,100*18323/671188,"")</f>
        <v>2.7299355769173466</v>
      </c>
      <c r="S48" s="1">
        <f>IF(COUNT(Q48:R48)=2,R48-Q48,"")</f>
        <v>-19.229370044882316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IF(747417&gt;0,100*233941/747417,"")</f>
        <v>31.299930293263333</v>
      </c>
      <c r="E49" s="1">
        <f>IF(COUNT(C49:D49)=2,D49-C49,"")</f>
        <v>-15.369215320849644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IF(815952&gt;0,100*27754/815952,"")</f>
        <v>3.4014255740533756</v>
      </c>
      <c r="L49" s="1">
        <f>IF(COUNT(J49:K49)=2,K49-J49,"")</f>
        <v>-29.951474233300708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IF(832240&gt;0,100*113737/832240,"")</f>
        <v>13.666370277804479</v>
      </c>
      <c r="S49" s="1">
        <f>IF(COUNT(Q49:R49)=2,R49-Q49,"")</f>
        <v>-30.961349743589377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IF(377592&gt;0,100*126906/377592,"")</f>
        <v>33.609292569757834</v>
      </c>
      <c r="E50" s="1">
        <f>IF(COUNT(C50:D50)=2,D50-C50,"")</f>
        <v>-14.062680337740808</v>
      </c>
      <c r="H50" s="1">
        <v>12</v>
      </c>
      <c r="I50" s="1">
        <v>11</v>
      </c>
      <c r="J50" s="4">
        <f>IF(0&gt;0,100*0/0,"")</f>
        <v/>
      </c>
      <c r="K50" s="1">
        <f>IF(822764&gt;0,100*17371/822764,"")</f>
        <v>2.1112980149836407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IF(752223&gt;0,100*46702/752223,"")</f>
        <v>6.208531246718061</v>
      </c>
      <c r="S50" s="1">
        <f>IF(COUNT(Q50:R50)=2,R50-Q50,"")</f>
        <v>-36.30641728718725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IF(640042&gt;0,100*106952/640042,"")</f>
        <v>16.710153396183376</v>
      </c>
      <c r="E51" s="1">
        <f>IF(COUNT(C51:D51)=2,D51-C51,"")</f>
        <v>-30.761961884904483</v>
      </c>
      <c r="H51" s="1">
        <v>13</v>
      </c>
      <c r="I51" s="1">
        <v>12</v>
      </c>
      <c r="J51" s="1">
        <f>IF(654587&gt;0,100*63849/654587,"")</f>
        <v>9.75408921961481</v>
      </c>
      <c r="K51" s="1">
        <f>IF(605669&gt;0,100*47977/605669,"")</f>
        <v>7.921323363091061</v>
      </c>
      <c r="L51" s="1">
        <f>IF(COUNT(J51:K51)=2,K51-J51,"")</f>
        <v>-1.832765856523749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IF(553272&gt;0,100*12378/553272,"")</f>
        <v>2.23723593458552</v>
      </c>
      <c r="S51" s="1">
        <f>IF(COUNT(Q51:R51)=2,R51-Q51,"")</f>
        <v>0.08617760389441065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IF(331689&gt;0,100*8037/331689,"")</f>
        <v>2.4230529200546296</v>
      </c>
      <c r="E52" s="1">
        <f>IF(COUNT(C52:D52)=2,D52-C52,"")</f>
        <v>2.0493018093115545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IF(340282&gt;0,100*55242/340282,"")</f>
        <v>16.23418223708571</v>
      </c>
      <c r="L52" s="1">
        <f>IF(COUNT(J52:K52)=2,K52-J52,"")</f>
        <v>-1.8658547271756838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IF(392120&gt;0,100*6709/392120,"")</f>
        <v>1.7109558298480056</v>
      </c>
      <c r="S52" s="1">
        <f>IF(COUNT(Q52:R52)=2,R52-Q52,"")</f>
        <v>-10.73010414138744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IF(384940&gt;0,100*129681/384940,"")</f>
        <v>33.68862679898166</v>
      </c>
      <c r="E53" s="1">
        <f>IF(COUNT(C53:D53)=2,D53-C53,"")</f>
        <v>-7.184311717139828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IF(532964&gt;0,100*38349/532964,"")</f>
        <v>7.19542032857754</v>
      </c>
      <c r="L53" s="1">
        <f>IF(COUNT(J53:K53)=2,K53-J53,"")</f>
        <v>-21.12689750327421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IF(535599&gt;0,100*108354/535599,"")</f>
        <v>20.23043358930842</v>
      </c>
      <c r="S53" s="1">
        <f>IF(COUNT(Q53:R53)=2,R53-Q53,"")</f>
        <v>-33.69710895717243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IF(391775&gt;0,100*120507/391775,"")</f>
        <v>30.75923680684066</v>
      </c>
      <c r="E54" s="1">
        <f>IF(COUNT(C54:D54)=2,D54-C54,"")</f>
        <v>-15.359096393337389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IF(617917&gt;0,100*79121/617917,"")</f>
        <v>12.804470503320026</v>
      </c>
      <c r="L54" s="1">
        <f>IF(COUNT(J54:K54)=2,K54-J54,"")</f>
        <v>-36.75312841907019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IF(615708&gt;0,100*30719/615708,"")</f>
        <v>4.989215667166904</v>
      </c>
      <c r="S54" s="1">
        <f>IF(COUNT(Q54:R54)=2,R54-Q54,"")</f>
        <v>-46.46851832298088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IF(367539&gt;0,100*12420/367539,"")</f>
        <v>3.3792332242292655</v>
      </c>
      <c r="E55" s="1">
        <f>IF(COUNT(C55:D55)=2,D55-C55,"")</f>
        <v>0.9393363545865769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IF(639331&gt;0,100*146725/639331,"")</f>
        <v>22.949770932427803</v>
      </c>
      <c r="L55" s="1">
        <f>IF(COUNT(J55:K55)=2,K55-J55,"")</f>
        <v>-19.598309551985594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IF(543274&gt;0,100*124142/543274,"")</f>
        <v>22.850716213181563</v>
      </c>
      <c r="S55" s="1">
        <f>IF(COUNT(Q55:R55)=2,R55-Q55,"")</f>
        <v>-7.606153678951056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IF(376796&gt;0,100*3594/376796,"")</f>
        <v>0.9538317816537331</v>
      </c>
      <c r="E56" s="1">
        <f>IF(COUNT(C56:D56)=2,D56-C56,"")</f>
        <v>-8.84946675479534</v>
      </c>
      <c r="H56" s="1">
        <v>18</v>
      </c>
      <c r="I56" s="1">
        <v>17</v>
      </c>
      <c r="J56" s="4">
        <f>IF(0&gt;0,100*0/0,"")</f>
        <v/>
      </c>
      <c r="K56" s="1">
        <f>IF(658185&gt;0,100*36495/658185,"")</f>
        <v>5.544793637047334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IF(732446&gt;0,100*25867/732446,"")</f>
        <v>3.5315914074211614</v>
      </c>
      <c r="S56" s="1">
        <f>IF(COUNT(Q56:R56)=2,R56-Q56,"")</f>
        <v>-45.929227128809146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IF(461265&gt;0,100*124678/461265,"")</f>
        <v>27.029581693820255</v>
      </c>
      <c r="E57" s="1">
        <f>IF(COUNT(C57:D57)=2,D57-C57,"")</f>
        <v>-16.911521682025267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IF(624578&gt;0,100*110411/624578,"")</f>
        <v>17.677695980325915</v>
      </c>
      <c r="L57" s="1">
        <f>IF(COUNT(J57:K57)=2,K57-J57,"")</f>
        <v>-12.889396985207089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IF(693160&gt;0,100*60696/693160,"")</f>
        <v>8.756419874199318</v>
      </c>
      <c r="S57" s="1">
        <f>IF(COUNT(Q57:R57)=2,R57-Q57,"")</f>
        <v>-29.962312161370434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IF(385686&gt;0,100*31592/385686,"")</f>
        <v>8.191119200593228</v>
      </c>
      <c r="E58" s="1">
        <f>IF(COUNT(C58:D58)=2,D58-C58,"")</f>
        <v>-36.216404844553615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IF(713107&gt;0,100*63344/713107,"")</f>
        <v>8.882818426968182</v>
      </c>
      <c r="L58" s="1">
        <f>IF(COUNT(J58:K58)=2,K58-J58,"")</f>
        <v>-39.538277164343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IF(657405&gt;0,100*77190/657405,"")</f>
        <v>11.741620462272115</v>
      </c>
      <c r="S58" s="1">
        <f>IF(COUNT(Q58:R58)=2,R58-Q58,"")</f>
        <v>-29.684875102928864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IF(303888&gt;0,100*35038/303888,"")</f>
        <v>11.52990575475175</v>
      </c>
      <c r="E59" s="1">
        <f>IF(COUNT(C59:D59)=2,D59-C59,"")</f>
        <v>-13.240951265339449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IF(749052&gt;0,100*83613/749052,"")</f>
        <v>11.162509411896638</v>
      </c>
      <c r="L59" s="1">
        <f>IF(COUNT(J59:K59)=2,K59-J59,"")</f>
        <v>-31.721261073075325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IF(677209&gt;0,100*85465/677209,"")</f>
        <v>12.62018077137191</v>
      </c>
      <c r="S59" s="1">
        <f>IF(COUNT(Q59:R59)=2,R59-Q59,"")</f>
        <v>-34.367861186183305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IF(199611&gt;0,100*57453/199611,"")</f>
        <v>28.782481927348694</v>
      </c>
      <c r="E60" s="1">
        <f>IF(COUNT(C60:D60)=2,D60-C60,"")</f>
        <v>-23.792985520274645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IF(234046&gt;0,100*82169/234046,"")</f>
        <v>35.10805568136178</v>
      </c>
      <c r="L60" s="1">
        <f>IF(COUNT(J60:K60)=2,K60-J60,"")</f>
        <v>-17.186714916503597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IF(697910&gt;0,100*43578/697910,"")</f>
        <v>6.244071585161411</v>
      </c>
      <c r="L61" s="1">
        <f>IF(COUNT(J61:K61)=2,K61-J61,"")</f>
        <v>-49.92848965864029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IF(906360&gt;0,100*193951/906360,"")</f>
        <v>21.39889227238625</v>
      </c>
      <c r="S61" s="1">
        <f>IF(COUNT(Q61:R61)=2,R61-Q61,"")</f>
        <v>-24.858764327138253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IF(700412&gt;0,100*40779/700412,"")</f>
        <v>5.822144680559442</v>
      </c>
      <c r="E62" s="1">
        <f>IF(COUNT(C62:D62)=2,D62-C62,"")</f>
        <v>-12.83690798409653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IF(804986&gt;0,100*54625/804986,"")</f>
        <v>6.785832300189072</v>
      </c>
      <c r="S62" s="1">
        <f>IF(COUNT(Q62:R62)=2,R62-Q62,"")</f>
        <v>-14.811829585102782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IF(494260&gt;0,100*179691/494260,"")</f>
        <v>36.35556185003844</v>
      </c>
      <c r="E63" s="1">
        <f>IF(COUNT(C63:D63)=2,D63-C63,"")</f>
        <v>-9.913184641259981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IF(635322&gt;0,100*23512/635322,"")</f>
        <v>3.7008005389393097</v>
      </c>
      <c r="L63" s="1">
        <f>IF(COUNT(J63:K63)=2,K63-J63,"")</f>
        <v>-36.46605432495805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IF(530927&gt;0,100*43735/530927,"")</f>
        <v>8.237478975452369</v>
      </c>
      <c r="S63" s="1">
        <f>IF(COUNT(Q63:R63)=2,R63-Q63,"")</f>
        <v>-36.51329921841143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IF(567343&gt;0,100*193959/567343,"")</f>
        <v>34.187255328786996</v>
      </c>
      <c r="E64" s="1">
        <f>IF(COUNT(C64:D64)=2,D64-C64,"")</f>
        <v>-16.507503944225085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IF(578791&gt;0,100*75810/578791,"")</f>
        <v>13.097992194073509</v>
      </c>
      <c r="L64" s="1">
        <f>IF(COUNT(J64:K64)=2,K64-J64,"")</f>
        <v>-5.541118470707367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IF(744494&gt;0,100*184023/744494,"")</f>
        <v>24.71786206470435</v>
      </c>
      <c r="S64" s="1">
        <f>IF(COUNT(Q64:R64)=2,R64-Q64,"")</f>
        <v>-21.476006876891226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IF(580170&gt;0,100*168647/580170,"")</f>
        <v>29.068548873606012</v>
      </c>
      <c r="E65" s="1">
        <f>IF(COUNT(C65:D65)=2,D65-C65,"")</f>
        <v>3.4016944478771123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IF(736368&gt;0,100*119074/736368,"")</f>
        <v>16.17044738500315</v>
      </c>
      <c r="L65" s="1">
        <f>IF(COUNT(J65:K65)=2,K65-J65,"")</f>
        <v>-21.022891357797967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IF(743215&gt;0,100*81020/743215,"")</f>
        <v>10.901286976177822</v>
      </c>
      <c r="S65" s="1">
        <f>IF(COUNT(Q65:R65)=2,R65-Q65,"")</f>
        <v>-14.364249263763448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IF(488193&gt;0,100*65865/488193,"")</f>
        <v>13.491590416085442</v>
      </c>
      <c r="L66" s="1">
        <f>IF(COUNT(J66:K66)=2,K66-J66,"")</f>
        <v>-26.441339961728573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IF(423378&gt;0,100*83625/423378,"")</f>
        <v>19.751852954097757</v>
      </c>
      <c r="S66" s="1">
        <f>IF(COUNT(Q66:R66)=2,R66-Q66,"")</f>
        <v>-6.317874810424545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IF(626443&gt;0,100*228920/626443,"")</f>
        <v>36.542829914293876</v>
      </c>
      <c r="E67" s="1">
        <f>IF(COUNT(C67:D67)=2,D67-C67,"")</f>
        <v>-4.520476767843441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IF(611673&gt;0,100*140531/611673,"")</f>
        <v>22.974857481039706</v>
      </c>
      <c r="L67" s="1">
        <f>IF(COUNT(J67:K67)=2,K67-J67,"")</f>
        <v>-28.578631664677708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IF(655794&gt;0,100*118368/655794,"")</f>
        <v>18.049570444377352</v>
      </c>
      <c r="S67" s="1">
        <f>IF(COUNT(Q67:R67)=2,R67-Q67,"")</f>
        <v>-26.904215862792412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IF(666454&gt;0,100*162590/666454,"")</f>
        <v>24.396282414090095</v>
      </c>
      <c r="E68" s="1">
        <f>IF(COUNT(C68:D68)=2,D68-C68,"")</f>
        <v>-20.809845612392834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IF(560235&gt;0,100*51620/560235,"")</f>
        <v>9.213990557533892</v>
      </c>
      <c r="L68" s="1">
        <f>IF(COUNT(J68:K68)=2,K68-J68,"")</f>
        <v>-9.217734600988871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IF(503494&gt;0,100*82589/503494,"")</f>
        <v>16.403174615784895</v>
      </c>
      <c r="S68" s="1">
        <f>IF(COUNT(Q68:R68)=2,R68-Q68,"")</f>
        <v>12.54418253014356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IF(555633&gt;0,100*7255/555633,"")</f>
        <v>1.305717982913182</v>
      </c>
      <c r="E69" s="1">
        <f>IF(COUNT(C69:D69)=2,D69-C69,"")</f>
        <v>0.6599383466862921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IF(754040&gt;0,100*118058/754040,"")</f>
        <v>15.656729085990133</v>
      </c>
      <c r="L69" s="1">
        <f>IF(COUNT(J69:K69)=2,K69-J69,"")</f>
        <v>-16.60345206472864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IF(552224&gt;0,100*81827/552224,"")</f>
        <v>14.817718896679608</v>
      </c>
      <c r="S69" s="1">
        <f>IF(COUNT(Q69:R69)=2,R69-Q69,"")</f>
        <v>-10.764817393304106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20.43357061903339</v>
      </c>
      <c r="E70" s="1">
        <f>IF(COUNT(E39:E69)&gt;0,AVERAGE(E39:E69),"")</f>
        <v>-12.63307910070422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13.244230775642235</v>
      </c>
      <c r="L70" s="1">
        <f>IF(COUNT(L39:L69)&gt;0,AVERAGE(L39:L69),"")</f>
        <v>-19.520594508589202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15.128801701999617</v>
      </c>
      <c r="S70" s="1">
        <f>IF(COUNT(S39:S69)&gt;0,AVERAGE(S39:S69),"")</f>
        <v>-16.714025998709932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IF(533853&gt;0,100*90436/533853,"")</f>
        <v>16.940243849898756</v>
      </c>
      <c r="E75" s="1">
        <f>IF(COUNT(C75:D75)=2,D75-C75,"")</f>
        <v>13.316375267111212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IF(642376&gt;0,100*120399/642376,"")</f>
        <v>18.742761248863594</v>
      </c>
      <c r="L75" s="1">
        <f>IF(COUNT(J75:K75)=2,K75-J75,"")</f>
        <v>-35.5744840086247</v>
      </c>
      <c r="O75" s="1">
        <v>1</v>
      </c>
      <c r="P75" s="1">
        <v>0</v>
      </c>
      <c r="Q75" s="1">
        <f>IF(517487&gt;0,100*261929/517487,"")</f>
        <v>50.61557101917536</v>
      </c>
      <c r="R75" s="1">
        <f>IF(549732&gt;0,100*139352/549732,"")</f>
        <v>25.349079187676903</v>
      </c>
      <c r="S75" s="1">
        <f>IF(COUNT(Q75:R75)=2,R75-Q75,"")</f>
        <v>-25.26649183149846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IF(315268&gt;0,100*91380/315268,"")</f>
        <v>28.984863671542943</v>
      </c>
      <c r="E76" s="1">
        <f>IF(COUNT(C76:D76)=2,D76-C76,"")</f>
        <v>-14.374562847305437</v>
      </c>
      <c r="H76" s="1">
        <v>2</v>
      </c>
      <c r="I76" s="1">
        <v>1</v>
      </c>
      <c r="J76" s="1">
        <f>IF(591060&gt;0,100*305577/591060,"")</f>
        <v>51.69982742868744</v>
      </c>
      <c r="K76" s="1">
        <f>IF(836504&gt;0,100*317090/836504,"")</f>
        <v>37.9065730707803</v>
      </c>
      <c r="L76" s="1">
        <f>IF(COUNT(J76:K76)=2,K76-J76,"")</f>
        <v>-13.793254357907145</v>
      </c>
      <c r="O76" s="1">
        <v>2</v>
      </c>
      <c r="P76" s="1">
        <v>1</v>
      </c>
      <c r="Q76" s="1">
        <f>IF(548205&gt;0,100*279421/548205,"")</f>
        <v>50.97016626991728</v>
      </c>
      <c r="R76" s="1">
        <f>IF(627999&gt;0,100*150180/627999,"")</f>
        <v>23.91405081855226</v>
      </c>
      <c r="S76" s="1">
        <f>IF(COUNT(Q76:R76)=2,R76-Q76,"")</f>
        <v>-27.05611545136502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IF(385534&gt;0,100*114806/385534,"")</f>
        <v>29.778437180637766</v>
      </c>
      <c r="E77" s="1">
        <f>IF(COUNT(C77:D77)=2,D77-C77,"")</f>
        <v>-17.61692025188485</v>
      </c>
      <c r="H77" s="1">
        <v>3</v>
      </c>
      <c r="I77" s="1">
        <v>2</v>
      </c>
      <c r="J77" s="1">
        <f>IF(584205&gt;0,100*244646/584205,"")</f>
        <v>41.87673847365223</v>
      </c>
      <c r="K77" s="1">
        <f>IF(1039326&gt;0,100*275852/1039326,"")</f>
        <v>26.541431658594128</v>
      </c>
      <c r="L77" s="1">
        <f>IF(COUNT(J77:K77)=2,K77-J77,"")</f>
        <v>-15.335306815058104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IF(1028975&gt;0,100*214054/1028975,"")</f>
        <v>20.80264340727423</v>
      </c>
      <c r="S77" s="1">
        <f>IF(COUNT(Q77:R77)=2,R77-Q77,"")</f>
        <v>16.55121061093337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IF(678009&gt;0,100*187590/678009,"")</f>
        <v>27.667774321579802</v>
      </c>
      <c r="E78" s="1">
        <f>IF(COUNT(C78:D78)=2,D78-C78,"")</f>
        <v>-21.39565422882912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IF(708155&gt;0,100*45125/708155,"")</f>
        <v>6.372192528471874</v>
      </c>
      <c r="L78" s="1">
        <f>IF(COUNT(J78:K78)=2,K78-J78,"")</f>
        <v>-36.909015624263475</v>
      </c>
      <c r="O78" s="1">
        <v>4</v>
      </c>
      <c r="P78" s="1">
        <v>3</v>
      </c>
      <c r="Q78" s="1">
        <f>IF(663228&gt;0,100*363210/663228,"")</f>
        <v>54.76397257051874</v>
      </c>
      <c r="R78" s="1">
        <f>IF(667460&gt;0,100*54859/667460,"")</f>
        <v>8.219069307524046</v>
      </c>
      <c r="S78" s="1">
        <f>IF(COUNT(Q78:R78)=2,R78-Q78,"")</f>
        <v>-46.544903262994694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IF(466096&gt;0,100*42819/466096,"")</f>
        <v>9.18673406336892</v>
      </c>
      <c r="E79" s="1">
        <f>IF(COUNT(C79:D79)=2,D79-C79,"")</f>
        <v>-39.71096462986465</v>
      </c>
      <c r="H79" s="1">
        <v>5</v>
      </c>
      <c r="I79" s="1">
        <v>4</v>
      </c>
      <c r="J79" s="1">
        <f>IF(383201&gt;0,100*174388/383201,"")</f>
        <v>45.50823197225477</v>
      </c>
      <c r="K79" s="1">
        <f>IF(539380&gt;0,100*81318/539380,"")</f>
        <v>15.076198598390745</v>
      </c>
      <c r="L79" s="1">
        <f>IF(COUNT(J79:K79)=2,K79-J79,"")</f>
        <v>-30.432033373864023</v>
      </c>
      <c r="O79" s="1">
        <v>5</v>
      </c>
      <c r="P79" s="1">
        <v>4</v>
      </c>
      <c r="Q79" s="1">
        <f>IF(322593&gt;0,100*116626/322593,"")</f>
        <v>36.152675352534</v>
      </c>
      <c r="R79" s="1">
        <f>IF(638625&gt;0,100*132725/638625,"")</f>
        <v>20.782932080642006</v>
      </c>
      <c r="S79" s="1">
        <f>IF(COUNT(Q79:R79)=2,R79-Q79,"")</f>
        <v>-15.369743271891991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IF(875760&gt;0,100*118262/875760,"")</f>
        <v>13.503928016808258</v>
      </c>
      <c r="E80" s="1">
        <f>IF(COUNT(C80:D80)=2,D80-C80,"")</f>
        <v>-25.34894388614157</v>
      </c>
      <c r="H80" s="1">
        <v>6</v>
      </c>
      <c r="I80" s="1">
        <v>5</v>
      </c>
      <c r="J80" s="1">
        <f>IF(417286&gt;0,100*124193/417286,"")</f>
        <v>29.76208164184756</v>
      </c>
      <c r="K80" s="1">
        <f>IF(835138&gt;0,100*125252/835138,"")</f>
        <v>14.997760849105179</v>
      </c>
      <c r="L80" s="1">
        <f>IF(COUNT(J80:K80)=2,K80-J80,"")</f>
        <v>-14.76432079274238</v>
      </c>
      <c r="O80" s="1">
        <v>6</v>
      </c>
      <c r="P80" s="1">
        <v>5</v>
      </c>
      <c r="Q80" s="1">
        <f>IF(460762&gt;0,100*159245/460762,"")</f>
        <v>34.56122683728259</v>
      </c>
      <c r="R80" s="1">
        <f>IF(674424&gt;0,100*134533/674424,"")</f>
        <v>19.947836969028387</v>
      </c>
      <c r="S80" s="1">
        <f>IF(COUNT(Q80:R80)=2,R80-Q80,"")</f>
        <v>-14.613389868254202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IF(770431&gt;0,100*215023/770431,"")</f>
        <v>27.909442896248983</v>
      </c>
      <c r="E81" s="1">
        <f>IF(COUNT(C81:D81)=2,D81-C81,"")</f>
        <v>-23.912469324012164</v>
      </c>
      <c r="H81" s="1">
        <v>7</v>
      </c>
      <c r="I81" s="1">
        <v>6</v>
      </c>
      <c r="J81" s="1">
        <f>IF(667678&gt;0,100*4575/667678,"")</f>
        <v>0.6852105356174683</v>
      </c>
      <c r="K81" s="1">
        <f>IF(957591&gt;0,100*18307/957591,"")</f>
        <v>1.911776530898891</v>
      </c>
      <c r="L81" s="1">
        <f>IF(COUNT(J81:K81)=2,K81-J81,"")</f>
        <v>1.2265659952814227</v>
      </c>
      <c r="O81" s="1">
        <v>7</v>
      </c>
      <c r="P81" s="1">
        <v>6</v>
      </c>
      <c r="Q81" s="1">
        <f>IF(457006&gt;0,100*8837/457006,"")</f>
        <v>1.9336726432475722</v>
      </c>
      <c r="R81" s="1">
        <f>IF(77330&gt;0,100*15227/77330,"")</f>
        <v>19.69093495409285</v>
      </c>
      <c r="S81" s="1">
        <f>IF(COUNT(Q81:R81)=2,R81-Q81,"")</f>
        <v>17.757262310845277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IF(595521&gt;0,100*184882/595521,"")</f>
        <v>31.045420732434287</v>
      </c>
      <c r="E82" s="1">
        <f>IF(COUNT(C82:D82)=2,D82-C82,"")</f>
        <v>-16.34503050613857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IF(251634&gt;0,100*76864/251634,"")</f>
        <v>30.545951659950564</v>
      </c>
      <c r="E83" s="1">
        <f>IF(COUNT(C83:D83)=2,D83-C83,"")</f>
        <v>-16.482363650237257</v>
      </c>
      <c r="H83" s="1">
        <v>9</v>
      </c>
      <c r="I83" s="1">
        <v>8</v>
      </c>
      <c r="J83" s="1">
        <f>IF(408350&gt;0,100*224416/408350,"")</f>
        <v>54.95677727439696</v>
      </c>
      <c r="K83" s="1">
        <f>IF(695447&gt;0,100*179947/695447,"")</f>
        <v>25.875012761576368</v>
      </c>
      <c r="L83" s="1">
        <f>IF(COUNT(J83:K83)=2,K83-J83,"")</f>
        <v>-29.081764512820595</v>
      </c>
      <c r="O83" s="1">
        <v>9</v>
      </c>
      <c r="P83" s="1">
        <v>8</v>
      </c>
      <c r="Q83" s="1">
        <f>IF(401424&gt;0,100*207750/401424,"")</f>
        <v>51.75325840009566</v>
      </c>
      <c r="R83" s="1">
        <f>IF(502162&gt;0,100*156321/502162,"")</f>
        <v>31.129595628502354</v>
      </c>
      <c r="S83" s="1">
        <f>IF(COUNT(Q83:R83)=2,R83-Q83,"")</f>
        <v>-20.623662771593306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IF(36440&gt;0,100*2555/36440,"")</f>
        <v>7.01152579582876</v>
      </c>
      <c r="E84" s="1">
        <f>IF(COUNT(C84:D84)=2,D84-C84,"")</f>
        <v>5.863512430842157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IF(478966&gt;0,100*35224/478966,"")</f>
        <v>7.354175452954907</v>
      </c>
      <c r="L84" s="1">
        <f>IF(COUNT(J84:K84)=2,K84-J84,"")</f>
        <v>-46.03489682240044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IF(633881&gt;0,100*39505/633881,"")</f>
        <v>6.232242329396212</v>
      </c>
      <c r="S84" s="1">
        <f>IF(COUNT(Q84:R84)=2,R84-Q84,"")</f>
        <v>-9.16476591405669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IF(2874&gt;0,100*984/2874,"")</f>
        <v>34.23799582463466</v>
      </c>
      <c r="E85" s="1">
        <f>IF(COUNT(C85:D85)=2,D85-C85,"")</f>
        <v>-20.472051744267624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IF(968619&gt;0,100*36602/968619,"")</f>
        <v>3.7787819565794187</v>
      </c>
      <c r="L85" s="1">
        <f>IF(COUNT(J85:K85)=2,K85-J85,"")</f>
        <v>-56.00504862241351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IF(936575&gt;0,100*172296/936575,"")</f>
        <v>18.396391105891144</v>
      </c>
      <c r="S85" s="1">
        <f>IF(COUNT(Q85:R85)=2,R85-Q85,"")</f>
        <v>-32.86260554758297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IF(393733&gt;0,100*104977/393733,"")</f>
        <v>26.66197651708137</v>
      </c>
      <c r="E86" s="1">
        <f>IF(COUNT(C86:D86)=2,D86-C86,"")</f>
        <v>-18.5942169245098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IF(841483&gt;0,100*25371/841483,"")</f>
        <v>3.015034171813334</v>
      </c>
      <c r="L86" s="1">
        <f>IF(COUNT(J86:K86)=2,K86-J86,"")</f>
        <v>-52.77990017455276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IF(732513&gt;0,100*61621/732513,"")</f>
        <v>8.412273911862314</v>
      </c>
      <c r="S86" s="1">
        <f>IF(COUNT(Q86:R86)=2,R86-Q86,"")</f>
        <v>-45.20594005045065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IF(828430&gt;0,100*81140/828430,"")</f>
        <v>9.79443042864213</v>
      </c>
      <c r="E87" s="1">
        <f>IF(COUNT(C87:D87)=2,D87-C87,"")</f>
        <v>-14.50861514979951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IF(888580&gt;0,100*189715/888580,"")</f>
        <v>21.350356748970267</v>
      </c>
      <c r="L87" s="1">
        <f>IF(COUNT(J87:K87)=2,K87-J87,"")</f>
        <v>-23.71529283045162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IF(588517&gt;0,100*35156/588517,"")</f>
        <v>5.973659214602127</v>
      </c>
      <c r="S87" s="1">
        <f>IF(COUNT(Q87:R87)=2,R87-Q87,"")</f>
        <v>4.414640375893846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IF(450791&gt;0,100*1725/450791,"")</f>
        <v>0.38266070085693815</v>
      </c>
      <c r="E88" s="1">
        <f>IF(COUNT(C88:D88)=2,D88-C88,"")</f>
        <v>-12.56175172383898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IF(379719&gt;0,100*7497/379719,"")</f>
        <v>1.9743547202009908</v>
      </c>
      <c r="S88" s="1">
        <f>IF(COUNT(Q88:R88)=2,R88-Q88,"")</f>
        <v>-4.097006879730326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IF(652034&gt;0,100*222941/652034,"")</f>
        <v>34.19162190928694</v>
      </c>
      <c r="E89" s="1">
        <f>IF(COUNT(C89:D89)=2,D89-C89,"")</f>
        <v>-16.823622019755064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IF(760298&gt;0,100*141688/760298,"")</f>
        <v>18.635850679601944</v>
      </c>
      <c r="L89" s="1">
        <f>IF(COUNT(J89:K89)=2,K89-J89,"")</f>
        <v>2.030368239891299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IF(1262241&gt;0,100*295915/1262241,"")</f>
        <v>23.44362130528164</v>
      </c>
      <c r="S89" s="1">
        <f>IF(COUNT(Q89:R89)=2,R89-Q89,"")</f>
        <v>2.890485695373812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IF(659454&gt;0,100*231042/659454,"")</f>
        <v>35.03534742377785</v>
      </c>
      <c r="E90" s="1">
        <f>IF(COUNT(C90:D90)=2,D90-C90,"")</f>
        <v>-7.059551874952248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IF(817082&gt;0,100*44248/817082,"")</f>
        <v>5.415368347362933</v>
      </c>
      <c r="L90" s="1">
        <f>IF(COUNT(J90:K90)=2,K90-J90,"")</f>
        <v>-46.61279132887306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IF(708023&gt;0,100*105547/708023,"")</f>
        <v>14.907284085404005</v>
      </c>
      <c r="S90" s="1">
        <f>IF(COUNT(Q90:R90)=2,R90-Q90,"")</f>
        <v>-42.67868564042857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IF(419531&gt;0,100*20443/419531,"")</f>
        <v>4.872822270583104</v>
      </c>
      <c r="E91" s="1">
        <f>IF(COUNT(C91:D91)=2,D91-C91,"")</f>
        <v>0.17728786902170235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IF(579511&gt;0,100*124538/579511,"")</f>
        <v>21.4901874166323</v>
      </c>
      <c r="L91" s="1">
        <f>IF(COUNT(J91:K91)=2,K91-J91,"")</f>
        <v>19.10245650774505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IF(543794&gt;0,100*78375/543794,"")</f>
        <v>14.412626840310853</v>
      </c>
      <c r="S91" s="1">
        <f>IF(COUNT(Q91:R91)=2,R91-Q91,"")</f>
        <v>-26.719388110313364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IF(695192&gt;0,100*55458/695192,"")</f>
        <v>7.977364526634369</v>
      </c>
      <c r="E92" s="1">
        <f>IF(COUNT(C92:D92)=2,D92-C92,"")</f>
        <v>-10.03655852108529</v>
      </c>
      <c r="H92" s="1">
        <v>18</v>
      </c>
      <c r="I92" s="1">
        <v>17</v>
      </c>
      <c r="J92" s="4"/>
      <c r="K92" s="1">
        <f>IF(705670&gt;0,100*95159/705670,"")</f>
        <v>13.48491504527612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IF(719884&gt;0,100*81132/719884,"")</f>
        <v>11.270149079573931</v>
      </c>
      <c r="S92" s="1">
        <f>IF(COUNT(Q92:R92)=2,R92-Q92,"")</f>
        <v>-40.24417850250852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IF(653742&gt;0,100*161411/653742,"")</f>
        <v>24.69032125823337</v>
      </c>
      <c r="E93" s="1">
        <f>IF(COUNT(C93:D93)=2,D93-C93,"")</f>
        <v>-26.829827721036796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IF(881153&gt;0,100*32275/881153,"")</f>
        <v>3.6628145168886674</v>
      </c>
      <c r="L93" s="1">
        <f>IF(COUNT(J93:K93)=2,K93-J93,"")</f>
        <v>-12.08015403865767</v>
      </c>
      <c r="O93" s="1">
        <v>19</v>
      </c>
      <c r="P93" s="1">
        <v>18</v>
      </c>
      <c r="Q93" s="1">
        <f>IF(725510&gt;0,100*356287/725510,"")</f>
        <v>49.1084892007002</v>
      </c>
      <c r="R93" s="1">
        <f>IF(790794&gt;0,100*92013/790794,"")</f>
        <v>11.635520755089189</v>
      </c>
      <c r="S93" s="1">
        <f>IF(COUNT(Q93:R93)=2,R93-Q93,"")</f>
        <v>-37.47296844561101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IF(951447&gt;0,100*219140/951447,"")</f>
        <v>23.032286611865928</v>
      </c>
      <c r="E94" s="1">
        <f>IF(COUNT(C94:D94)=2,D94-C94,"")</f>
        <v>-22.533043062898017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IF(749318&gt;0,100*132401/749318,"")</f>
        <v>17.669534163065613</v>
      </c>
      <c r="L94" s="1">
        <f>IF(COUNT(J94:K94)=2,K94-J94,"")</f>
        <v>-3.9368022127769535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IF(736459&gt;0,100*93704/736459,"")</f>
        <v>12.723586784871934</v>
      </c>
      <c r="S94" s="1">
        <f>IF(COUNT(Q94:R94)=2,R94-Q94,"")</f>
        <v>-37.458289143638915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IF(579940&gt;0,100*151326/579940,"")</f>
        <v>26.09338897127289</v>
      </c>
      <c r="E95" s="1">
        <f>IF(COUNT(C95:D95)=2,D95-C95,"")</f>
        <v>-22.856137822529707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IF(835600&gt;0,100*206480/835600,"")</f>
        <v>24.710387745332696</v>
      </c>
      <c r="L95" s="1">
        <f>IF(COUNT(J95:K95)=2,K95-J95,"")</f>
        <v>-31.584504211311952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IF(54816&gt;0,100*11809/54816,"")</f>
        <v>21.5429801517805</v>
      </c>
      <c r="S95" s="1">
        <f>IF(COUNT(Q95:R95)=2,R95-Q95,"")</f>
        <v>-33.16272134789497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IF(264673&gt;0,100*87834/264673,"")</f>
        <v>33.18585575408145</v>
      </c>
      <c r="E96" s="1">
        <f>IF(COUNT(C96:D96)=2,D96-C96,"")</f>
        <v>-3.395380407479159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IF(136676&gt;0,100*33267/136676,"")</f>
        <v>24.340045070092774</v>
      </c>
      <c r="L96" s="1">
        <f>IF(COUNT(J96:K96)=2,K96-J96,"")</f>
        <v>-25.54098888429726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IF(152699&gt;0,100*37976/152699,"")</f>
        <v>24.86984197669926</v>
      </c>
      <c r="S96" s="1">
        <f>IF(COUNT(Q96:R96)=2,R96-Q96,"")</f>
        <v>-16.186955993968727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IF(359101&gt;0,100*4062/359101,"")</f>
        <v>1.1311580864436468</v>
      </c>
      <c r="E97" s="1">
        <f>IF(COUNT(C97:D97)=2,D97-C97,"")</f>
        <v>0.9393702115562739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IF(1101726&gt;0,100*264746/1101726,"")</f>
        <v>24.030112750357166</v>
      </c>
      <c r="L97" s="1">
        <f>IF(COUNT(J97:K97)=2,K97-J97,"")</f>
        <v>-30.26065619632467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IF(897531&gt;0,100*187031/897531,"")</f>
        <v>20.838388869019568</v>
      </c>
      <c r="S97" s="1">
        <f>IF(COUNT(Q97:R97)=2,R97-Q97,"")</f>
        <v>-22.644913402981203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IF(845130&gt;0,100*118213/845130,"")</f>
        <v>13.987552210902464</v>
      </c>
      <c r="E98" s="1">
        <f>IF(COUNT(C98:D98)=2,D98-C98,"")</f>
        <v>-26.524195517999082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IF(724486&gt;0,100*9583/724486,"")</f>
        <v>1.3227308740265513</v>
      </c>
      <c r="L98" s="1">
        <f>IF(COUNT(J98:K98)=2,K98-J98,"")</f>
        <v>-46.05686528521347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IF(886540&gt;0,100*172395/886540,"")</f>
        <v>19.445823087508742</v>
      </c>
      <c r="S98" s="1">
        <f>IF(COUNT(Q98:R98)=2,R98-Q98,"")</f>
        <v>-6.834946927918768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IF(335336&gt;0,100*116737/335336,"")</f>
        <v>34.81194980556815</v>
      </c>
      <c r="E99" s="1">
        <f>IF(COUNT(C99:D99)=2,D99-C99,"")</f>
        <v>-9.878387922111173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IF(878045&gt;0,100*116237/878045,"")</f>
        <v>13.238159775410145</v>
      </c>
      <c r="L99" s="1">
        <f>IF(COUNT(J99:K99)=2,K99-J99,"")</f>
        <v>-38.033991872308604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IF(739289&gt;0,100*127648/739289,"")</f>
        <v>17.266319396068386</v>
      </c>
      <c r="S99" s="1">
        <f>IF(COUNT(Q99:R99)=2,R99-Q99,"")</f>
        <v>-25.301751701661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IF(520985&gt;0,100*157893/520985,"")</f>
        <v>30.3066307091375</v>
      </c>
      <c r="E100" s="1">
        <f>IF(COUNT(C100:D100)=2,D100-C100,"")</f>
        <v>-20.885822691707787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IF(185956&gt;0,100*6051/185956,"")</f>
        <v>3.2539955688442426</v>
      </c>
      <c r="L100" s="1">
        <f>IF(COUNT(J100:K100)=2,K100-J100,"")</f>
        <v>-2.822180391591253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IF(770695&gt;0,100*140767/770695,"")</f>
        <v>18.264942681605564</v>
      </c>
      <c r="S100" s="1">
        <f>IF(COUNT(Q100:R100)=2,R100-Q100,"")</f>
        <v>-41.323021605475006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IF(558196&gt;0,100*153014/558196,"")</f>
        <v>27.412235128879463</v>
      </c>
      <c r="E101" s="1">
        <f>IF(COUNT(C101:D101)=2,D101-C101,"")</f>
        <v>-30.402655193621104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IF(528737&gt;0,100*93697/528737,"")</f>
        <v>17.72090850460626</v>
      </c>
      <c r="L101" s="1">
        <f>IF(COUNT(J101:K101)=2,K101-J101,"")</f>
        <v>-2.109152228842177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IF(401395&gt;0,100*43763/401395,"")</f>
        <v>10.902726740492533</v>
      </c>
      <c r="S101" s="1">
        <f>IF(COUNT(Q101:R101)=2,R101-Q101,"")</f>
        <v>-7.547187410836024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IF(666455&gt;0,100*148732/666455,"")</f>
        <v>22.31688561118155</v>
      </c>
      <c r="L102" s="1">
        <f>IF(COUNT(J102:K102)=2,K102-J102,"")</f>
        <v>-12.33082204060975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IF(718215&gt;0,100*149183/718215,"")</f>
        <v>20.771356766427882</v>
      </c>
      <c r="S102" s="1">
        <f>IF(COUNT(Q102:R102)=2,R102-Q102,"")</f>
        <v>-7.822821987002147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IF(571766&gt;0,100*199994/571766,"")</f>
        <v>34.97829531661554</v>
      </c>
      <c r="E103" s="1">
        <f>IF(COUNT(C103:D103)=2,D103-C103,"")</f>
        <v>-21.16985006597514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IF(764778&gt;0,100*215495/764778,"")</f>
        <v>28.177458033573142</v>
      </c>
      <c r="L103" s="1">
        <f>IF(COUNT(J103:K103)=2,K103-J103,"")</f>
        <v>-28.002314612146787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IF(781321&gt;0,100*177906/781321,"")</f>
        <v>22.769898671608725</v>
      </c>
      <c r="S103" s="1">
        <f>IF(COUNT(Q103:R103)=2,R103-Q103,"")</f>
        <v>-28.39659297400811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IF(592106&gt;0,100*125754/592106,"")</f>
        <v>21.238426903290964</v>
      </c>
      <c r="E104" s="1">
        <f>IF(COUNT(C104:D104)=2,D104-C104,"")</f>
        <v>-31.269405576607433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IF(684211&gt;0,100*13412/684211,"")</f>
        <v>1.9602140275441349</v>
      </c>
      <c r="L104" s="1">
        <f>IF(COUNT(J104:K104)=2,K104-J104,"")</f>
        <v>-26.15095944014023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IF(811997&gt;0,100*13420/811997,"")</f>
        <v>1.6527154656975334</v>
      </c>
      <c r="E105" s="1">
        <f>IF(COUNT(C105:D105)=2,D105-C105,"")</f>
        <v>-20.814990547665495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IF(516334&gt;0,100*128206/516334,"")</f>
        <v>24.83005186565285</v>
      </c>
      <c r="L105" s="1">
        <f>IF(COUNT(J105:K105)=2,K105-J105,"")</f>
        <v>7.486451868629654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IF(613923&gt;0,100*64238/613923,"")</f>
        <v>10.463527185005285</v>
      </c>
      <c r="S105" s="1">
        <f>IF(COUNT(Q105:R105)=2,R105-Q105,"")</f>
        <v>-29.029630787173865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20.916281385454486</v>
      </c>
      <c r="E106" s="1">
        <f>IF(COUNT(E75:E105)&gt;0,AVERAGE(E75:E105),"")</f>
        <v>-15.85744539788795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14.525047909317923</v>
      </c>
      <c r="L106" s="1">
        <f>IF(COUNT(L75:L105)&gt;0,AVERAGE(L75:L105),"")</f>
        <v>-21.803700591261588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15.721565932450542</v>
      </c>
      <c r="S106" s="1">
        <f>IF(COUNT(S75:S105)&gt;0,AVERAGE(S75:S105),"")</f>
        <v>-19.460771806563656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IF(350579&gt;0,100*33929/350579,"")</f>
        <v>9.677989839665239</v>
      </c>
      <c r="E3" s="1">
        <f>IF(COUNT(C3:D3)=2,D3-C3,"")</f>
        <v>-5.9609827060490765</v>
      </c>
      <c r="H3" s="1">
        <v>1</v>
      </c>
      <c r="I3" s="1">
        <v>0</v>
      </c>
      <c r="J3" s="1">
        <f>IF(215009&gt;0,100*58251/215009,"")</f>
        <v>27.09235427354204</v>
      </c>
      <c r="K3" s="1">
        <f>IF(412426&gt;0,100*54711/412426,"")</f>
        <v>13.265652504934218</v>
      </c>
      <c r="L3" s="1">
        <f>IF(COUNT(J3:K3)=2,K3-J3,"")</f>
        <v>-13.82670176860782</v>
      </c>
      <c r="O3" s="1">
        <v>1</v>
      </c>
      <c r="P3" s="1">
        <v>0</v>
      </c>
      <c r="Q3" s="1">
        <f>IF(558995&gt;0,100*195788/558995,"")</f>
        <v>35.0250002236156</v>
      </c>
      <c r="R3" s="1">
        <f>IF(402433&gt;0,100*68601/402433,"")</f>
        <v>17.04656427281063</v>
      </c>
      <c r="S3" s="1">
        <f>IF(COUNT(Q3:R3)=2,R3-Q3,"")</f>
        <v>-17.97843595080497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IF(196103&gt;0,100*51956/196103,"")</f>
        <v>26.494240271693958</v>
      </c>
      <c r="E4" s="1">
        <f>IF(COUNT(C4:D4)=2,D4-C4,"")</f>
        <v>-21.32132608059717</v>
      </c>
      <c r="H4" s="1">
        <v>2</v>
      </c>
      <c r="I4" s="1">
        <v>1</v>
      </c>
      <c r="J4" s="1">
        <f>IF(296332&gt;0,100*64971/296332,"")</f>
        <v>21.925070529001257</v>
      </c>
      <c r="K4" s="1">
        <f>IF(284293&gt;0,100*54788/284293,"")</f>
        <v>19.271666907029015</v>
      </c>
      <c r="L4" s="1">
        <f>IF(COUNT(J4:K4)=2,K4-J4,"")</f>
        <v>-2.6534036219722417</v>
      </c>
      <c r="O4" s="1">
        <v>2</v>
      </c>
      <c r="P4" s="1">
        <v>1</v>
      </c>
      <c r="Q4" s="1">
        <f>IF(348213&gt;0,100*131600/348213,"")</f>
        <v>37.792960056057645</v>
      </c>
      <c r="R4" s="1">
        <f>IF(494333&gt;0,100*101666/494333,"")</f>
        <v>20.566298426364416</v>
      </c>
      <c r="S4" s="1">
        <f>IF(COUNT(Q4:R4)=2,R4-Q4,"")</f>
        <v>-17.22666162969323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IF(279566&gt;0,100*35556/279566,"")</f>
        <v>12.718284769964875</v>
      </c>
      <c r="E5" s="1">
        <f>IF(COUNT(C5:D5)=2,D5-C5,"")</f>
        <v>-29.501488162999273</v>
      </c>
      <c r="H5" s="1">
        <v>3</v>
      </c>
      <c r="I5" s="1">
        <v>2</v>
      </c>
      <c r="J5" s="1">
        <f>IF(328831&gt;0,100*62705/328831,"")</f>
        <v>19.069065872743142</v>
      </c>
      <c r="K5" s="1">
        <f>IF(470720&gt;0,100*43051/470720,"")</f>
        <v>9.145776682528892</v>
      </c>
      <c r="L5" s="1">
        <f>IF(COUNT(J5:K5)=2,K5-J5,"")</f>
        <v>-9.92328919021425</v>
      </c>
      <c r="O5" s="1">
        <v>3</v>
      </c>
      <c r="P5" s="1">
        <v>2</v>
      </c>
      <c r="Q5" s="1">
        <f>IF(499604&gt;0,100*190955/499604,"")</f>
        <v>38.221271246827484</v>
      </c>
      <c r="R5" s="1">
        <f>IF(439770&gt;0,100*60553/439770,"")</f>
        <v>13.769243013393364</v>
      </c>
      <c r="S5" s="1">
        <f>IF(COUNT(Q5:R5)=2,R5-Q5,"")</f>
        <v>-24.45202823343412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IF(507704&gt;0,100*71181/507704,"")</f>
        <v>14.020177111072593</v>
      </c>
      <c r="E6" s="1">
        <f>IF(COUNT(C6:D6)=2,D6-C6,"")</f>
        <v>-24.705750012435388</v>
      </c>
      <c r="H6" s="1">
        <v>4</v>
      </c>
      <c r="I6" s="1">
        <v>3</v>
      </c>
      <c r="J6" s="1">
        <f>IF(464767&gt;0,100*69099/464767,"")</f>
        <v>14.867449711360747</v>
      </c>
      <c r="K6" s="1">
        <f>IF(394381&gt;0,100*19090/394381,"")</f>
        <v>4.840496879920686</v>
      </c>
      <c r="L6" s="1">
        <f>IF(COUNT(J6:K6)=2,K6-J6,"")</f>
        <v>-10.026952831440061</v>
      </c>
      <c r="O6" s="1">
        <v>4</v>
      </c>
      <c r="P6" s="1">
        <v>3</v>
      </c>
      <c r="Q6" s="1">
        <f>IF(332328&gt;0,100*11557/332328,"")</f>
        <v>3.477588406634409</v>
      </c>
      <c r="R6" s="1">
        <f>IF(366106&gt;0,100*29396/366106,"")</f>
        <v>8.029368543536572</v>
      </c>
      <c r="S6" s="1">
        <f>IF(COUNT(Q6:R6)=2,R6-Q6,"")</f>
        <v>4.551780136902163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IF(395559&gt;0,100*13287/395559,"")</f>
        <v>3.359043783607502</v>
      </c>
      <c r="E7" s="1">
        <f>IF(COUNT(C7:D7)=2,D7-C7,"")</f>
        <v>-31.69687774527624</v>
      </c>
      <c r="H7" s="1">
        <v>5</v>
      </c>
      <c r="I7" s="1">
        <v>4</v>
      </c>
      <c r="J7" s="1">
        <f>IF(411240&gt;0,100*106457/411240,"")</f>
        <v>25.88683007489544</v>
      </c>
      <c r="K7" s="1">
        <f>IF(542877&gt;0,100*82103/542877,"")</f>
        <v>15.12368363367761</v>
      </c>
      <c r="L7" s="1">
        <f>IF(COUNT(J7:K7)=2,K7-J7,"")</f>
        <v>-10.76314644121783</v>
      </c>
      <c r="O7" s="1">
        <v>5</v>
      </c>
      <c r="P7" s="1">
        <v>4</v>
      </c>
      <c r="Q7" s="1">
        <f>IF(258766&gt;0,100*96546/258766,"")</f>
        <v>37.3101566666409</v>
      </c>
      <c r="R7" s="1">
        <f>IF(409322&gt;0,100*77701/409322,"")</f>
        <v>18.982854574149446</v>
      </c>
      <c r="S7" s="1">
        <f>IF(COUNT(Q7:R7)=2,R7-Q7,"")</f>
        <v>-18.327302092491454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IF(554896&gt;0,100*85801/554896,"")</f>
        <v>15.4625371240737</v>
      </c>
      <c r="E8" s="1">
        <f>IF(COUNT(C8:D8)=2,D8-C8,"")</f>
        <v>-8.027843426043079</v>
      </c>
      <c r="H8" s="1">
        <v>6</v>
      </c>
      <c r="I8" s="1">
        <v>5</v>
      </c>
      <c r="J8" s="1">
        <f>IF(324059&gt;0,100*91696/324059,"")</f>
        <v>28.29608188632317</v>
      </c>
      <c r="K8" s="1">
        <f>IF(299466&gt;0,100*43589/299466,"")</f>
        <v>14.555575591219037</v>
      </c>
      <c r="L8" s="1">
        <f>IF(COUNT(J8:K8)=2,K8-J8,"")</f>
        <v>-13.740506295104131</v>
      </c>
      <c r="O8" s="1">
        <v>6</v>
      </c>
      <c r="P8" s="1">
        <v>5</v>
      </c>
      <c r="Q8" s="1">
        <f>IF(371148&gt;0,100*77908/371148,"")</f>
        <v>20.9910871134965</v>
      </c>
      <c r="R8" s="1">
        <f>IF(304017&gt;0,100*36322/304017,"")</f>
        <v>11.947358206942376</v>
      </c>
      <c r="S8" s="1">
        <f>IF(COUNT(Q8:R8)=2,R8-Q8,"")</f>
        <v>-9.043728906554126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IF(483063&gt;0,100*80647/483063,"")</f>
        <v>16.694923850512254</v>
      </c>
      <c r="E9" s="1">
        <f>IF(COUNT(C9:D9)=2,D9-C9,"")</f>
        <v>-27.770060025039683</v>
      </c>
      <c r="H9" s="1">
        <v>7</v>
      </c>
      <c r="I9" s="1">
        <v>6</v>
      </c>
      <c r="J9" s="1">
        <f>IF(325191&gt;0,100*2956/325191,"")</f>
        <v>0.9090042467349957</v>
      </c>
      <c r="K9" s="1">
        <f>IF(298397&gt;0,100*1998/298397,"")</f>
        <v>0.6695777772564737</v>
      </c>
      <c r="L9" s="1">
        <f>IF(COUNT(J9:K9)=2,K9-J9,"")</f>
        <v>-0.23942646947852197</v>
      </c>
      <c r="O9" s="1">
        <v>7</v>
      </c>
      <c r="P9" s="1">
        <v>6</v>
      </c>
      <c r="Q9" s="1">
        <f>IF(434887&gt;0,100*93317/434887,"")</f>
        <v>21.457757992306046</v>
      </c>
      <c r="R9" s="1">
        <f>IF(389648&gt;0,100*9648/389648,"")</f>
        <v>2.4760809756498174</v>
      </c>
      <c r="S9" s="1">
        <f>IF(COUNT(Q9:R9)=2,R9-Q9,"")</f>
        <v>-18.981677016656228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IF(265542&gt;0,100*59849/265542,"")</f>
        <v>22.538430832034106</v>
      </c>
      <c r="E10" s="1">
        <f>IF(COUNT(C10:D10)=2,D10-C10,"")</f>
        <v>-22.989687437959578</v>
      </c>
      <c r="H10" s="1">
        <v>8</v>
      </c>
      <c r="I10" s="1">
        <v>7</v>
      </c>
      <c r="J10" s="1">
        <f>IF(376958&gt;0,100*1179/376958,"")</f>
        <v>0.31276693955294754</v>
      </c>
      <c r="K10" s="1">
        <f>IF(553842&gt;0,100*9579/553842,"")</f>
        <v>1.7295546383264542</v>
      </c>
      <c r="L10" s="1">
        <f>IF(COUNT(J10:K10)=2,K10-J10,"")</f>
        <v>1.4167876987735066</v>
      </c>
      <c r="O10" s="1">
        <v>8</v>
      </c>
      <c r="P10" s="1">
        <v>7</v>
      </c>
      <c r="Q10" s="1">
        <f>IF(275738&gt;0,100*1113/275738,"")</f>
        <v>0.4036440389064982</v>
      </c>
      <c r="R10" s="1">
        <f>IF(280616&gt;0,100*2595/280616,"")</f>
        <v>0.9247512615103914</v>
      </c>
      <c r="S10" s="1">
        <f>IF(COUNT(Q10:R10)=2,R10-Q10,"")</f>
        <v>0.5211072226038933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IF(265100&gt;0,100*82920/265100,"")</f>
        <v>31.27876273104489</v>
      </c>
      <c r="E11" s="1">
        <f>IF(COUNT(C11:D11)=2,D11-C11,"")</f>
        <v>-15.270067022775603</v>
      </c>
      <c r="H11" s="1">
        <v>9</v>
      </c>
      <c r="I11" s="1">
        <v>8</v>
      </c>
      <c r="J11" s="1">
        <f>IF(422295&gt;0,100*144131/422295,"")</f>
        <v>34.13040646941119</v>
      </c>
      <c r="K11" s="1">
        <f>IF(442043&gt;0,100*123109/442043,"")</f>
        <v>27.850005542447228</v>
      </c>
      <c r="L11" s="1">
        <f>IF(COUNT(J11:K11)=2,K11-J11,"")</f>
        <v>-6.280400926963964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IF(422224&gt;0,100*91126/422224,"")</f>
        <v>21.582382811019745</v>
      </c>
      <c r="S11" s="1">
        <f>IF(COUNT(Q11:R11)=2,R11-Q11,"")</f>
        <v>-16.92241053118902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IF(490839&gt;0,100*11104/490839,"")</f>
        <v>2.262248924800189</v>
      </c>
      <c r="E12" s="1">
        <f>IF(COUNT(C12:D12)=2,D12-C12,"")</f>
        <v>-28.660338957358636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IF(365406&gt;0,100*30951/365406,"")</f>
        <v>8.470304264297795</v>
      </c>
      <c r="L12" s="1">
        <f>IF(COUNT(J12:K12)=2,K12-J12,"")</f>
        <v>-8.267324006429721</v>
      </c>
      <c r="O12" s="1">
        <v>10</v>
      </c>
      <c r="P12" s="1">
        <v>9</v>
      </c>
      <c r="Q12" s="1">
        <f>IF(412598&gt;0,100*74901/412598,"")</f>
        <v>18.15350534903223</v>
      </c>
      <c r="R12" s="1">
        <f>IF(370237&gt;0,100*24746/370237,"")</f>
        <v>6.683826846047261</v>
      </c>
      <c r="S12" s="1">
        <f>IF(COUNT(Q12:R12)=2,R12-Q12,"")</f>
        <v>-11.46967850298497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IF(396711&gt;0,100*41999/396711,"")</f>
        <v>10.586799962693245</v>
      </c>
      <c r="E13" s="1">
        <f>IF(COUNT(C13:D13)=2,D13-C13,"")</f>
        <v>-21.8663989236608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IF(599762&gt;0,100*49505/599762,"")</f>
        <v>8.254107462626841</v>
      </c>
      <c r="L13" s="1">
        <f>IF(COUNT(J13:K13)=2,K13-J13,"")</f>
        <v>3.0573737079334053</v>
      </c>
      <c r="O13" s="1">
        <v>11</v>
      </c>
      <c r="P13" s="1">
        <v>10</v>
      </c>
      <c r="Q13" s="1">
        <f>IF(517486&gt;0,100*3762/517486,"")</f>
        <v>0.726976188727811</v>
      </c>
      <c r="R13" s="1">
        <f>IF(630142&gt;0,100*77539/630142,"")</f>
        <v>12.305004268879078</v>
      </c>
      <c r="S13" s="1">
        <f>IF(COUNT(Q13:R13)=2,R13-Q13,"")</f>
        <v>11.578028080151267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IF(290041&gt;0,100*77158/290041,"")</f>
        <v>26.602445861102396</v>
      </c>
      <c r="E14" s="1">
        <f>IF(COUNT(C14:D14)=2,D14-C14,"")</f>
        <v>-17.371285173776208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IF(522910&gt;0,100*8217/522910,"")</f>
        <v>1.5713985198217666</v>
      </c>
      <c r="L14" s="1">
        <f>IF(COUNT(J14:K14)=2,K14-J14,"")</f>
        <v>-2.484132459386644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IF(494599&gt;0,100*47725/494599,"")</f>
        <v>9.649230993188421</v>
      </c>
      <c r="S14" s="1">
        <f>IF(COUNT(Q14:R14)=2,R14-Q14,"")</f>
        <v>-28.596619899918462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IF(479655&gt;0,100*28174/479655,"")</f>
        <v>5.873805130771075</v>
      </c>
      <c r="E15" s="1">
        <f>IF(COUNT(C15:D15)=2,D15-C15,"")</f>
        <v>-26.16350906787011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IF(580249&gt;0,100*73691/580249,"")</f>
        <v>12.69989263230096</v>
      </c>
      <c r="L15" s="1">
        <f>IF(COUNT(J15:K15)=2,K15-J15,"")</f>
        <v>-29.5571777457503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IF(382978&gt;0,100*31916/382978,"")</f>
        <v>8.333637963538376</v>
      </c>
      <c r="S15" s="1">
        <f>IF(COUNT(Q15:R15)=2,R15-Q15,"")</f>
        <v>0.5543719183591396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IF(269275&gt;0,100*18096/269275,"")</f>
        <v>6.720267384643951</v>
      </c>
      <c r="S16" s="1">
        <f>IF(COUNT(Q16:R16)=2,R16-Q16,"")</f>
        <v>5.2498031310468285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IF(426566&gt;0,100*105008/426566,"")</f>
        <v>24.617058087142436</v>
      </c>
      <c r="E17" s="1">
        <f>IF(COUNT(C17:D17)=2,D17-C17,"")</f>
        <v>-17.374294226590532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IF(434512&gt;0,100*52159/434512,"")</f>
        <v>12.004041315314652</v>
      </c>
      <c r="L17" s="1">
        <f>IF(COUNT(J17:K17)=2,K17-J17,"")</f>
        <v>-33.92578907465701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IF(352610&gt;0,100*67570/352610,"")</f>
        <v>19.162814440883697</v>
      </c>
      <c r="S17" s="1">
        <f>IF(COUNT(Q17:R17)=2,R17-Q17,"")</f>
        <v>-13.867716971013902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IF(475406&gt;0,100*124839/475406,"")</f>
        <v>26.259449817629562</v>
      </c>
      <c r="E18" s="1">
        <f>IF(COUNT(C18:D18)=2,D18-C18,"")</f>
        <v>-12.749281410825656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IF(444795&gt;0,100*29018/444795,"")</f>
        <v>6.5239042705066375</v>
      </c>
      <c r="L18" s="1">
        <f>IF(COUNT(J18:K18)=2,K18-J18,"")</f>
        <v>-18.062319115965586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IF(453566&gt;0,100*67562/453566,"")</f>
        <v>14.895737334809047</v>
      </c>
      <c r="S18" s="1">
        <f>IF(COUNT(Q18:R18)=2,R18-Q18,"")</f>
        <v>-17.47434345053371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IF(293172&gt;0,100*14277/293172,"")</f>
        <v>4.869837501534935</v>
      </c>
      <c r="E19" s="1">
        <f>IF(COUNT(C19:D19)=2,D19-C19,"")</f>
        <v>-1.7889275156624054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IF(482639&gt;0,100*86947/482639,"")</f>
        <v>18.014913838293218</v>
      </c>
      <c r="L19" s="1">
        <f>IF(COUNT(J19:K19)=2,K19-J19,"")</f>
        <v>-19.66145626013288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IF(371209&gt;0,100*57552/371209,"")</f>
        <v>15.50393444124469</v>
      </c>
      <c r="S19" s="1">
        <f>IF(COUNT(Q19:R19)=2,R19-Q19,"")</f>
        <v>-6.669899763475913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IF(282207&gt;0,100*3524/282207,"")</f>
        <v>1.2487287700163354</v>
      </c>
      <c r="E20" s="1">
        <f>IF(COUNT(C20:D20)=2,D20-C20,"")</f>
        <v>0.7400504646934967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IF(406014&gt;0,100*19327/406014,"")</f>
        <v>4.76018068342471</v>
      </c>
      <c r="L20" s="1">
        <f>IF(COUNT(J20:K20)=2,K20-J20,"")</f>
        <v>-17.02893010490395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IF(394805&gt;0,100*28517/394805,"")</f>
        <v>7.223059485062246</v>
      </c>
      <c r="S20" s="1">
        <f>IF(COUNT(Q20:R20)=2,R20-Q20,"")</f>
        <v>-26.14566215143534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IF(321775&gt;0,100*81071/321775,"")</f>
        <v>25.19493434853547</v>
      </c>
      <c r="E21" s="1">
        <f>IF(COUNT(C21:D21)=2,D21-C21,"")</f>
        <v>-14.653936356595409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IF(423914&gt;0,100*44025/423914,"")</f>
        <v>10.38536118174913</v>
      </c>
      <c r="L21" s="1">
        <f>IF(COUNT(J21:K21)=2,K21-J21,"")</f>
        <v>-3.5092335129435686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IF(370120&gt;0,100*31611/370120,"")</f>
        <v>8.540743542634821</v>
      </c>
      <c r="S21" s="1">
        <f>IF(COUNT(Q21:R21)=2,R21-Q21,"")</f>
        <v>-9.629482148824664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IF(514435&gt;0,100*121359/514435,"")</f>
        <v>23.59073546706581</v>
      </c>
      <c r="E22" s="1">
        <f>IF(COUNT(C22:D22)=2,D22-C22,"")</f>
        <v>-11.247083581004144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IF(257011&gt;0,100*31178/257011,"")</f>
        <v>12.130998284120135</v>
      </c>
      <c r="L22" s="1">
        <f>IF(COUNT(J22:K22)=2,K22-J22,"")</f>
        <v>-0.24000566241820742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IF(369695&gt;0,100*11620/369695,"")</f>
        <v>3.1431315002907803</v>
      </c>
      <c r="S22" s="1">
        <f>IF(COUNT(Q22:R22)=2,R22-Q22,"")</f>
        <v>-17.553564854012198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IF(378321&gt;0,100*23356/378321,"")</f>
        <v>6.173593324187661</v>
      </c>
      <c r="E23" s="1">
        <f>IF(COUNT(C23:D23)=2,D23-C23,"")</f>
        <v>-8.69488152929469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IF(340922&gt;0,100*32750/340922,"")</f>
        <v>9.60630290799655</v>
      </c>
      <c r="L23" s="1">
        <f>IF(COUNT(J23:K23)=2,K23-J23,"")</f>
        <v>-33.02818217131026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IF(521895&gt;0,100*96059/521895,"")</f>
        <v>18.405809597716015</v>
      </c>
      <c r="S23" s="1">
        <f>IF(COUNT(Q23:R23)=2,R23-Q23,"")</f>
        <v>-8.28435900075186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IF(216268&gt;0,100*64709/216268,"")</f>
        <v>29.920746481217748</v>
      </c>
      <c r="E24" s="1">
        <f>IF(COUNT(C24:D24)=2,D24-C24,"")</f>
        <v>-12.937480094542991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IF(301175&gt;0,100*58696/301175,"")</f>
        <v>19.489001411139704</v>
      </c>
      <c r="L24" s="1">
        <f>IF(COUNT(J24:K24)=2,K24-J24,"")</f>
        <v>-6.845077361199369</v>
      </c>
      <c r="O24" s="1">
        <v>22</v>
      </c>
      <c r="P24" s="1">
        <v>21</v>
      </c>
      <c r="Q24" s="1">
        <f>IF(97184&gt;0,100*37074/97184,"")</f>
        <v>38.14825485676655</v>
      </c>
      <c r="R24" s="1">
        <f>IF(143375&gt;0,100*33632/143375,"")</f>
        <v>23.45736704446382</v>
      </c>
      <c r="S24" s="1">
        <f>IF(COUNT(Q24:R24)=2,R24-Q24,"")</f>
        <v>-14.69088781230273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IF(404020&gt;0,100*19766/404020,"")</f>
        <v>4.89233206276917</v>
      </c>
      <c r="L25" s="1">
        <f>IF(COUNT(J25:K25)=2,K25-J25,"")</f>
        <v>-11.612883808854924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IF(448542&gt;0,100*46740/448542,"")</f>
        <v>10.420428856160628</v>
      </c>
      <c r="S25" s="1">
        <f>IF(COUNT(Q25:R25)=2,R25-Q25,"")</f>
        <v>-23.41079884714528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IF(366750&gt;0,100*14288/366750,"")</f>
        <v>3.895841854124063</v>
      </c>
      <c r="E26" s="1">
        <f>IF(COUNT(C26:D26)=2,D26-C26,"")</f>
        <v>-11.704966103137703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IF(580671&gt;0,100*50667/580671,"")</f>
        <v>8.72559504435386</v>
      </c>
      <c r="L26" s="1">
        <f>IF(COUNT(J26:K26)=2,K26-J26,"")</f>
        <v>-21.24600476165868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IF(535386&gt;0,100*35305/535386,"")</f>
        <v>6.594307658399734</v>
      </c>
      <c r="S26" s="1">
        <f>IF(COUNT(Q26:R26)=2,R26-Q26,"")</f>
        <v>-17.8582749989066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IF(245777&gt;0,100*41007/245777,"")</f>
        <v>16.684636886283094</v>
      </c>
      <c r="E27" s="1">
        <f>IF(COUNT(C27:D27)=2,D27-C27,"")</f>
        <v>-28.84511404549737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IF(393466&gt;0,100*57719/393466,"")</f>
        <v>14.669374228014618</v>
      </c>
      <c r="L27" s="1">
        <f>IF(COUNT(J27:K27)=2,K27-J27,"")</f>
        <v>-4.665277387938524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IF(384868&gt;0,100*30252/384868,"")</f>
        <v>7.860357317313988</v>
      </c>
      <c r="S27" s="1">
        <f>IF(COUNT(Q27:R27)=2,R27-Q27,"")</f>
        <v>2.5945698882480057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IF(514077&gt;0,100*101617/514077,"")</f>
        <v>19.76688317119809</v>
      </c>
      <c r="E28" s="1">
        <f>IF(COUNT(C28:D28)=2,D28-C28,"")</f>
        <v>-22.479150956796765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IF(457971&gt;0,100*37743/457971,"")</f>
        <v>8.241351526625047</v>
      </c>
      <c r="L28" s="1">
        <f>IF(COUNT(J28:K28)=2,K28-J28,"")</f>
        <v>-23.22793076255339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IF(375466&gt;0,100*45371/375466,"")</f>
        <v>12.08391705240954</v>
      </c>
      <c r="S28" s="1">
        <f>IF(COUNT(Q28:R28)=2,R28-Q28,"")</f>
        <v>-11.82128514226634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IF(431218&gt;0,100*81415/431218,"")</f>
        <v>18.88024154835837</v>
      </c>
      <c r="E29" s="1">
        <f>IF(COUNT(C29:D29)=2,D29-C29,"")</f>
        <v>-10.738916395405028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IF(479552&gt;0,100*48015/479552,"")</f>
        <v>10.012469971973843</v>
      </c>
      <c r="L29" s="1">
        <f>IF(COUNT(J29:K29)=2,K29-J29,"")</f>
        <v>1.9387527270609457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IF(415841&gt;0,100*46517/415841,"")</f>
        <v>11.186246666394126</v>
      </c>
      <c r="S29" s="1">
        <f>IF(COUNT(Q29:R29)=2,R29-Q29,"")</f>
        <v>-33.42998106398422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IF(311703&gt;0,100*47296/311703,"")</f>
        <v>15.173418285996606</v>
      </c>
      <c r="L30" s="1">
        <f>IF(COUNT(J30:K30)=2,K30-J30,"")</f>
        <v>-19.983747068334104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IF(258278&gt;0,100*31288/258278,"")</f>
        <v>12.11407862845461</v>
      </c>
      <c r="S30" s="1">
        <f>IF(COUNT(Q30:R30)=2,R30-Q30,"")</f>
        <v>-10.964550118615975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IF(298724&gt;0,100*74177/298724,"")</f>
        <v>24.831282387755923</v>
      </c>
      <c r="E31" s="1">
        <f>IF(COUNT(C31:D31)=2,D31-C31,"")</f>
        <v>-17.419683964186287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IF(363092&gt;0,100*82022/363092,"")</f>
        <v>22.589867030945324</v>
      </c>
      <c r="L31" s="1">
        <f>IF(COUNT(J31:K31)=2,K31-J31,"")</f>
        <v>-20.880823095775437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IF(377202&gt;0,100*51910/377202,"")</f>
        <v>13.761857042115365</v>
      </c>
      <c r="S31" s="1">
        <f>IF(COUNT(Q31:R31)=2,R31-Q31,"")</f>
        <v>-32.818015682974256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IF(439198&gt;0,100*72867/439198,"")</f>
        <v>16.590922545184632</v>
      </c>
      <c r="E32" s="1">
        <f>IF(COUNT(C32:D32)=2,D32-C32,"")</f>
        <v>-29.180095586149072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IF(290496&gt;0,100*41265/290496,"")</f>
        <v>14.205014871116987</v>
      </c>
      <c r="L32" s="1">
        <f>IF(COUNT(J32:K32)=2,K32-J32,"")</f>
        <v>-10.050315794205524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IF(268528&gt;0,100*22170/268528,"")</f>
        <v>8.256122266579277</v>
      </c>
      <c r="S32" s="1">
        <f>IF(COUNT(Q32:R32)=2,R32-Q32,"")</f>
        <v>-11.056904863933495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IF(383683&gt;0,100*79527/383683,"")</f>
        <v>20.72726704076021</v>
      </c>
      <c r="L33" s="1">
        <f>IF(COUNT(J33:K33)=2,K33-J33,"")</f>
        <v>2.7769574361015437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IF(311592&gt;0,100*64540/311592,"")</f>
        <v>20.712983645279724</v>
      </c>
      <c r="S33" s="1">
        <f>IF(COUNT(Q33:R33)=2,R33-Q33,"")</f>
        <v>-4.885321288818567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14.240011919207184</v>
      </c>
      <c r="E34" s="1">
        <f>IF(COUNT(E3:E33)&gt;0,AVERAGE(E3:E33),"")</f>
        <v>-16.0452464084514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11.288327170534268</v>
      </c>
      <c r="L34" s="1">
        <f>IF(COUNT(L3:L33)&gt;0,AVERAGE(L3:L33),"")</f>
        <v>-11.585633452011255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12.010960195544708</v>
      </c>
      <c r="S34" s="1">
        <f>IF(COUNT(S3:S33)&gt;0,AVERAGE(S3:S33),"")</f>
        <v>-12.855159049851942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IF(449485&gt;0,100*9906/449485,"")</f>
        <v>2.203855523543611</v>
      </c>
      <c r="E39" s="1">
        <f>IF(COUNT(C39:D39)=2,D39-C39,"")</f>
        <v>-5.8025096787448085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IF(465095&gt;0,100*40598/465095,"")</f>
        <v>8.728969350347779</v>
      </c>
      <c r="L39" s="1">
        <f>IF(COUNT(J39:K39)=2,K39-J39,"")</f>
        <v>-20.87215227601044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IF(244375&gt;0,100*66534/244375,"")</f>
        <v>27.226189258312022</v>
      </c>
      <c r="E40" s="1">
        <f>IF(COUNT(C40:D40)=2,D40-C40,"")</f>
        <v>-12.658853433993837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IF(427549&gt;0,100*69557/427549,"")</f>
        <v>16.268778549359254</v>
      </c>
      <c r="L40" s="1">
        <f>IF(COUNT(J40:K40)=2,K40-J40,"")</f>
        <v>-20.933582372934907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IF(474174&gt;0,100*117455/474174,"")</f>
        <v>24.77044291757878</v>
      </c>
      <c r="E41" s="1">
        <f>IF(COUNT(C41:D41)=2,D41-C41,"")</f>
        <v>-26.829138174200768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IF(860352&gt;0,100*145331/860352,"")</f>
        <v>16.89203953730566</v>
      </c>
      <c r="L41" s="1">
        <f>IF(COUNT(J41:K41)=2,K41-J41,"")</f>
        <v>-15.920953429862475</v>
      </c>
      <c r="O41" s="1">
        <v>3</v>
      </c>
      <c r="P41" s="1">
        <v>2</v>
      </c>
      <c r="Q41" s="1">
        <f>IF(735676&gt;0,100*303277/735676,"")</f>
        <v>41.22426176740848</v>
      </c>
      <c r="R41" s="1">
        <f>IF(681449&gt;0,100*50597/681449,"")</f>
        <v>7.424913676592086</v>
      </c>
      <c r="S41" s="1">
        <f>IF(COUNT(Q41:R41)=2,R41-Q41,"")</f>
        <v>-33.799348090816395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IF(661840&gt;0,100*126900/661840,"")</f>
        <v>19.173818445545752</v>
      </c>
      <c r="E42" s="1">
        <f>IF(COUNT(C42:D42)=2,D42-C42,"")</f>
        <v>-24.203551389178497</v>
      </c>
      <c r="H42" s="1">
        <v>4</v>
      </c>
      <c r="I42" s="1">
        <v>3</v>
      </c>
      <c r="J42" s="1">
        <f>IF(584626&gt;0,100*38325/584626,"")</f>
        <v>6.555473071673172</v>
      </c>
      <c r="K42" s="1">
        <f>IF(451072&gt;0,100*44512/451072,"")</f>
        <v>9.86804767309875</v>
      </c>
      <c r="L42" s="1">
        <f>IF(COUNT(J42:K42)=2,K42-J42,"")</f>
        <v>3.3125746014255784</v>
      </c>
      <c r="O42" s="1">
        <v>4</v>
      </c>
      <c r="P42" s="1">
        <v>3</v>
      </c>
      <c r="Q42" s="1">
        <f>IF(646087&gt;0,100*38069/646087,"")</f>
        <v>5.8922405186917555</v>
      </c>
      <c r="R42" s="1">
        <f>IF(618176&gt;0,100*8739/618176,"")</f>
        <v>1.4136750698830107</v>
      </c>
      <c r="S42" s="1">
        <f>IF(COUNT(Q42:R42)=2,R42-Q42,"")</f>
        <v>-4.4785654488087445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IF(556078&gt;0,100*16552/556078,"")</f>
        <v>2.97656084218401</v>
      </c>
      <c r="E43" s="1">
        <f>IF(COUNT(C43:D43)=2,D43-C43,"")</f>
        <v>-14.10514578292926</v>
      </c>
      <c r="H43" s="1">
        <v>5</v>
      </c>
      <c r="I43" s="1">
        <v>4</v>
      </c>
      <c r="J43" s="1">
        <f>IF(200432&gt;0,100*86329/200432,"")</f>
        <v>43.071465634230066</v>
      </c>
      <c r="K43" s="1">
        <f>IF(600991&gt;0,100*160085/600991,"")</f>
        <v>26.636838155646256</v>
      </c>
      <c r="L43" s="1">
        <f>IF(COUNT(J43:K43)=2,K43-J43,"")</f>
        <v>-16.43462747858381</v>
      </c>
      <c r="O43" s="1">
        <v>5</v>
      </c>
      <c r="P43" s="1">
        <v>4</v>
      </c>
      <c r="Q43" s="1">
        <f>IF(358074&gt;0,100*148157/358074,"")</f>
        <v>41.376084273083215</v>
      </c>
      <c r="R43" s="1">
        <f>IF(670191&gt;0,100*152299/670191,"")</f>
        <v>22.72471578997629</v>
      </c>
      <c r="S43" s="1">
        <f>IF(COUNT(Q43:R43)=2,R43-Q43,"")</f>
        <v>-18.651368483106925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IF(145998&gt;0,100*34066/145998,"")</f>
        <v>23.333196345155415</v>
      </c>
      <c r="E44" s="1">
        <f>IF(COUNT(C44:D44)=2,D44-C44,"")</f>
        <v>-24.721539095391073</v>
      </c>
      <c r="H44" s="1">
        <v>6</v>
      </c>
      <c r="I44" s="1">
        <v>5</v>
      </c>
      <c r="J44" s="1">
        <f>IF(458928&gt;0,100*143171/458928,"")</f>
        <v>31.19683261862427</v>
      </c>
      <c r="K44" s="1">
        <f>IF(548900&gt;0,100*135910/548900,"")</f>
        <v>24.760429950810714</v>
      </c>
      <c r="L44" s="1">
        <f>IF(COUNT(J44:K44)=2,K44-J44,"")</f>
        <v>-6.436402667813557</v>
      </c>
      <c r="O44" s="1">
        <v>6</v>
      </c>
      <c r="P44" s="1">
        <v>5</v>
      </c>
      <c r="Q44" s="1">
        <f>IF(652890&gt;0,100*52664/652890,"")</f>
        <v>8.066289880378012</v>
      </c>
      <c r="R44" s="1">
        <f>IF(567976&gt;0,100*43752/567976,"")</f>
        <v>7.703142386298013</v>
      </c>
      <c r="S44" s="1">
        <f>IF(COUNT(Q44:R44)=2,R44-Q44,"")</f>
        <v>-0.3631474940799988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IF(539255&gt;0,100*112069/539255,"")</f>
        <v>20.782190243947667</v>
      </c>
      <c r="E45" s="1">
        <f>IF(COUNT(C45:D45)=2,D45-C45,"")</f>
        <v>-34.338198596554676</v>
      </c>
      <c r="H45" s="1">
        <v>7</v>
      </c>
      <c r="I45" s="1">
        <v>6</v>
      </c>
      <c r="J45" s="1">
        <f>IF(516628&gt;0,100*1474/516628,"")</f>
        <v>0.28531167493825343</v>
      </c>
      <c r="K45" s="1">
        <f>IF(446244&gt;0,100*14352/446244,"")</f>
        <v>3.216177696506844</v>
      </c>
      <c r="L45" s="1">
        <f>IF(COUNT(J45:K45)=2,K45-J45,"")</f>
        <v>2.9308660215685904</v>
      </c>
      <c r="O45" s="1">
        <v>7</v>
      </c>
      <c r="P45" s="1">
        <v>6</v>
      </c>
      <c r="Q45" s="1">
        <f>IF(639485&gt;0,100*13388/639485,"")</f>
        <v>2.093559661289944</v>
      </c>
      <c r="R45" s="1">
        <f>IF(637256&gt;0,100*19904/637256,"")</f>
        <v>3.123391541233037</v>
      </c>
      <c r="S45" s="1">
        <f>IF(COUNT(Q45:R45)=2,R45-Q45,"")</f>
        <v>1.0298318799430928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IF(397369&gt;0,100*64780/397369,"")</f>
        <v>16.302227904038816</v>
      </c>
      <c r="E46" s="1">
        <f>IF(COUNT(C46:D46)=2,D46-C46,"")</f>
        <v>-27.33519481529079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IF(784425&gt;0,100*15973/784425,"")</f>
        <v>2.036268604391752</v>
      </c>
      <c r="S46" s="1">
        <f>IF(COUNT(Q46:R46)=2,R46-Q46,"")</f>
        <v>-0.18046093318914203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IF(368566&gt;0,100*101577/368566,"")</f>
        <v>27.56005708611212</v>
      </c>
      <c r="E47" s="1">
        <f>IF(COUNT(C47:D47)=2,D47-C47,"")</f>
        <v>-33.047823634299846</v>
      </c>
      <c r="H47" s="1">
        <v>9</v>
      </c>
      <c r="I47" s="1">
        <v>8</v>
      </c>
      <c r="J47" s="1">
        <f>IF(433696&gt;0,100*195875/433696,"")</f>
        <v>45.16412417914853</v>
      </c>
      <c r="K47" s="1">
        <f>IF(479176&gt;0,100*103530/479176,"")</f>
        <v>21.605840025376896</v>
      </c>
      <c r="L47" s="1">
        <f>IF(COUNT(J47:K47)=2,K47-J47,"")</f>
        <v>-23.558284153771634</v>
      </c>
      <c r="O47" s="1">
        <v>9</v>
      </c>
      <c r="P47" s="1">
        <v>8</v>
      </c>
      <c r="Q47" s="1">
        <f>IF(341160&gt;0,100*196686/341160,"")</f>
        <v>57.65212803376715</v>
      </c>
      <c r="R47" s="1">
        <f>IF(458278&gt;0,100*121940/458278,"")</f>
        <v>26.608303256975024</v>
      </c>
      <c r="S47" s="1">
        <f>IF(COUNT(Q47:R47)=2,R47-Q47,"")</f>
        <v>-31.043824776792125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IF(444510&gt;0,100*7564/444510,"")</f>
        <v>1.701649006771501</v>
      </c>
      <c r="E48" s="1">
        <f>IF(COUNT(C48:D48)=2,D48-C48,"")</f>
        <v>-20.15234116477422</v>
      </c>
      <c r="H48" s="1">
        <v>10</v>
      </c>
      <c r="I48" s="1">
        <v>9</v>
      </c>
      <c r="J48" s="1">
        <f>IF(716304&gt;0,100*319115/716304,"")</f>
        <v>44.550218901472</v>
      </c>
      <c r="K48" s="1">
        <f>IF(596042&gt;0,100*35957/596042,"")</f>
        <v>6.03262857315424</v>
      </c>
      <c r="L48" s="1">
        <f>IF(COUNT(J48:K48)=2,K48-J48,"")</f>
        <v>-38.51759032831776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IF(632549&gt;0,100*17202/632549,"")</f>
        <v>2.7194731159167116</v>
      </c>
      <c r="S48" s="1">
        <f>IF(COUNT(Q48:R48)=2,R48-Q48,"")</f>
        <v>-19.23983250588295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IF(831153&gt;0,100*247504/831153,"")</f>
        <v>29.778392185313656</v>
      </c>
      <c r="E49" s="1">
        <f>IF(COUNT(C49:D49)=2,D49-C49,"")</f>
        <v>-16.89075342879932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IF(612292&gt;0,100*23729/612292,"")</f>
        <v>3.875438516263482</v>
      </c>
      <c r="L49" s="1">
        <f>IF(COUNT(J49:K49)=2,K49-J49,"")</f>
        <v>-29.477461291090602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IF(741610&gt;0,100*120238/741610,"")</f>
        <v>16.213103922546892</v>
      </c>
      <c r="S49" s="1">
        <f>IF(COUNT(Q49:R49)=2,R49-Q49,"")</f>
        <v>-28.414616098846963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IF(452257&gt;0,100*125145/452257,"")</f>
        <v>27.671213491444025</v>
      </c>
      <c r="E50" s="1">
        <f>IF(COUNT(C50:D50)=2,D50-C50,"")</f>
        <v>-20.000759416054617</v>
      </c>
      <c r="H50" s="1">
        <v>12</v>
      </c>
      <c r="I50" s="1">
        <v>11</v>
      </c>
      <c r="J50" s="4">
        <f>IF(0&gt;0,100*0/0,"")</f>
        <v/>
      </c>
      <c r="K50" s="1">
        <f>IF(5804&gt;0,100*1710/5804,"")</f>
        <v>29.462439696760853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IF(729387&gt;0,100*31142/729387,"")</f>
        <v>4.269612702173195</v>
      </c>
      <c r="S50" s="1">
        <f>IF(COUNT(Q50:R50)=2,R50-Q50,"")</f>
        <v>-38.24533583173212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IF(644842&gt;0,100*16057/644842,"")</f>
        <v>2.490067334323757</v>
      </c>
      <c r="E51" s="1">
        <f>IF(COUNT(C51:D51)=2,D51-C51,"")</f>
        <v>-44.982047946764105</v>
      </c>
      <c r="H51" s="1">
        <v>13</v>
      </c>
      <c r="I51" s="1">
        <v>12</v>
      </c>
      <c r="J51" s="1">
        <f>IF(654587&gt;0,100*63849/654587,"")</f>
        <v>9.75408921961481</v>
      </c>
      <c r="K51" s="1">
        <f>IF(588735&gt;0,100*35558/588735,"")</f>
        <v>6.039729250002123</v>
      </c>
      <c r="L51" s="1">
        <f>IF(COUNT(J51:K51)=2,K51-J51,"")</f>
        <v>-3.714359969612687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IF(663014&gt;0,100*17551/663014,"")</f>
        <v>2.647153755425979</v>
      </c>
      <c r="S51" s="1">
        <f>IF(COUNT(Q51:R51)=2,R51-Q51,"")</f>
        <v>0.49609542473486945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IF(411959&gt;0,100*66386/411959,"")</f>
        <v>16.11471044448598</v>
      </c>
      <c r="L52" s="1">
        <f>IF(COUNT(J52:K52)=2,K52-J52,"")</f>
        <v>-1.9853265197754162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IF(388579&gt;0,100*2693/388579,"")</f>
        <v>0.6930379665396226</v>
      </c>
      <c r="S52" s="1">
        <f>IF(COUNT(Q52:R52)=2,R52-Q52,"")</f>
        <v>-11.748022004695823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IF(474052&gt;0,100*60725/474052,"")</f>
        <v>12.809776142701644</v>
      </c>
      <c r="E53" s="1">
        <f>IF(COUNT(C53:D53)=2,D53-C53,"")</f>
        <v>-28.063162373419843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IF(542648&gt;0,100*101270/542648,"")</f>
        <v>18.66218985419646</v>
      </c>
      <c r="L53" s="1">
        <f>IF(COUNT(J53:K53)=2,K53-J53,"")</f>
        <v>-9.660127977655293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IF(494603&gt;0,100*66273/494603,"")</f>
        <v>13.399231302681141</v>
      </c>
      <c r="S53" s="1">
        <f>IF(COUNT(Q53:R53)=2,R53-Q53,"")</f>
        <v>-40.528311243799706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IF(596796&gt;0,100*167830/596796,"")</f>
        <v>28.121837277729743</v>
      </c>
      <c r="E54" s="1">
        <f>IF(COUNT(C54:D54)=2,D54-C54,"")</f>
        <v>-17.996495922448307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IF(537721&gt;0,100*16081/537721,"")</f>
        <v>2.9905843364867652</v>
      </c>
      <c r="L54" s="1">
        <f>IF(COUNT(J54:K54)=2,K54-J54,"")</f>
        <v>-46.56701458590345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IF(598885&gt;0,100*75651/598885,"")</f>
        <v>12.63197441912888</v>
      </c>
      <c r="S54" s="1">
        <f>IF(COUNT(Q54:R54)=2,R54-Q54,"")</f>
        <v>-38.8257595710189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IF(405707&gt;0,100*14367/405707,"")</f>
        <v>3.5412255642618935</v>
      </c>
      <c r="E55" s="1">
        <f>IF(COUNT(C55:D55)=2,D55-C55,"")</f>
        <v>1.101328694619205</v>
      </c>
      <c r="H55" s="1">
        <v>17</v>
      </c>
      <c r="I55" s="1">
        <v>16</v>
      </c>
      <c r="J55" s="1">
        <f>IF(472489&gt;0,100*201035/472489,"")</f>
        <v>42.5480804844134</v>
      </c>
      <c r="K55" s="1">
        <f>IF(390945&gt;0,100*47160/390945,"")</f>
        <v>12.06307792656256</v>
      </c>
      <c r="L55" s="1">
        <f>IF(COUNT(J55:K55)=2,K55-J55,"")</f>
        <v>-30.485002557850837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IF(646809&gt;0,100*139986/646809,"")</f>
        <v>21.64255599411882</v>
      </c>
      <c r="S55" s="1">
        <f>IF(COUNT(Q55:R55)=2,R55-Q55,"")</f>
        <v>-8.8143138980138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IF(336039&gt;0,100*5781/336039,"")</f>
        <v>1.7203360324248078</v>
      </c>
      <c r="E56" s="1">
        <f>IF(COUNT(C56:D56)=2,D56-C56,"")</f>
        <v>-8.082962504024266</v>
      </c>
      <c r="H56" s="1">
        <v>18</v>
      </c>
      <c r="I56" s="1">
        <v>17</v>
      </c>
      <c r="J56" s="4">
        <f>IF(0&gt;0,100*0/0,"")</f>
        <v/>
      </c>
      <c r="K56" s="1">
        <f>IF(727147&gt;0,100*7873/727147,"")</f>
        <v>1.0827246760283684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IF(636733&gt;0,100*27875/636733,"")</f>
        <v>4.377816133292919</v>
      </c>
      <c r="S56" s="1">
        <f>IF(COUNT(Q56:R56)=2,R56-Q56,"")</f>
        <v>-45.08300240293739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IF(180494&gt;0,100*57277/180494,"")</f>
        <v>31.73346482431549</v>
      </c>
      <c r="E57" s="1">
        <f>IF(COUNT(C57:D57)=2,D57-C57,"")</f>
        <v>-12.207638551530032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IF(66308&gt;0,100*12687/66308,"")</f>
        <v>19.133437895879833</v>
      </c>
      <c r="L57" s="1">
        <f>IF(COUNT(J57:K57)=2,K57-J57,"")</f>
        <v>-11.43365506965317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IF(437810&gt;0,100*36679/437810,"")</f>
        <v>8.377835133962222</v>
      </c>
      <c r="S57" s="1">
        <f>IF(COUNT(Q57:R57)=2,R57-Q57,"")</f>
        <v>-30.34089690160753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IF(787536&gt;0,100*220300/787536,"")</f>
        <v>27.973324394059446</v>
      </c>
      <c r="E58" s="1">
        <f>IF(COUNT(C58:D58)=2,D58-C58,"")</f>
        <v>-16.434199651087397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IF(540269&gt;0,100*87264/540269,"")</f>
        <v>16.151953934058774</v>
      </c>
      <c r="L58" s="1">
        <f>IF(COUNT(J58:K58)=2,K58-J58,"")</f>
        <v>-32.269141657252405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IF(772073&gt;0,100*56731/772073,"")</f>
        <v>7.347880317016656</v>
      </c>
      <c r="S58" s="1">
        <f>IF(COUNT(Q58:R58)=2,R58-Q58,"")</f>
        <v>-34.07861524818433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IF(528000&gt;0,100*94912/528000,"")</f>
        <v>17.975757575757576</v>
      </c>
      <c r="E59" s="1">
        <f>IF(COUNT(C59:D59)=2,D59-C59,"")</f>
        <v>-6.795099444333623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IF(550294&gt;0,100*23042/550294,"")</f>
        <v>4.187216288020585</v>
      </c>
      <c r="L59" s="1">
        <f>IF(COUNT(J59:K59)=2,K59-J59,"")</f>
        <v>-38.696554196951375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IF(642344&gt;0,100*102992/642344,"")</f>
        <v>16.033776294322045</v>
      </c>
      <c r="S59" s="1">
        <f>IF(COUNT(Q59:R59)=2,R59-Q59,"")</f>
        <v>-30.954265663233166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IF(256478&gt;0,100*64082/256478,"")</f>
        <v>24.98537886290442</v>
      </c>
      <c r="E60" s="1">
        <f>IF(COUNT(C60:D60)=2,D60-C60,"")</f>
        <v>-27.59008858471892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IF(457711&gt;0,100*153937/457711,"")</f>
        <v>33.631920578705774</v>
      </c>
      <c r="L60" s="1">
        <f>IF(COUNT(J60:K60)=2,K60-J60,"")</f>
        <v>-18.662850019159606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IF(174581&gt;0,100*43899/174581,"")</f>
        <v>25.145348004651137</v>
      </c>
      <c r="S60" s="1">
        <f>IF(COUNT(Q60:R60)=2,R60-Q60,"")</f>
        <v>-18.92374049881479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IF(331359&gt;0,100*573/331359,"")</f>
        <v>0.1729242302155668</v>
      </c>
      <c r="E61" s="1">
        <f>IF(COUNT(C61:D61)=2,D61-C61,"")</f>
        <v>-0.24433992738099164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IF(576955&gt;0,100*49783/576955,"")</f>
        <v>8.62857588546767</v>
      </c>
      <c r="L61" s="1">
        <f>IF(COUNT(J61:K61)=2,K61-J61,"")</f>
        <v>-47.543985358334034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IF(853739&gt;0,100*89750/853739,"")</f>
        <v>10.512580542765411</v>
      </c>
      <c r="S61" s="1">
        <f>IF(COUNT(Q61:R61)=2,R61-Q61,"")</f>
        <v>-35.74507605675909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IF(645191&gt;0,100*29549/645191,"")</f>
        <v>4.579884096337364</v>
      </c>
      <c r="E62" s="1">
        <f>IF(COUNT(C62:D62)=2,D62-C62,"")</f>
        <v>-14.079168568318611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IF(768814&gt;0,100*61960/768814,"")</f>
        <v>8.05916645638607</v>
      </c>
      <c r="L62" s="1">
        <f>IF(COUNT(J62:K62)=2,K62-J62,"")</f>
        <v>-39.7954552986062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IF(561571&gt;0,100*7391/561571,"")</f>
        <v>1.3161292160741918</v>
      </c>
      <c r="S62" s="1">
        <f>IF(COUNT(Q62:R62)=2,R62-Q62,"")</f>
        <v>-20.28153266921766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IF(266112&gt;0,100*74369/266112,"")</f>
        <v>27.94650372775373</v>
      </c>
      <c r="E63" s="1">
        <f>IF(COUNT(C63:D63)=2,D63-C63,"")</f>
        <v>-18.322242763544693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IF(495366&gt;0,100*45341/495366,"")</f>
        <v>9.1530302846784</v>
      </c>
      <c r="L63" s="1">
        <f>IF(COUNT(J63:K63)=2,K63-J63,"")</f>
        <v>-31.013824579218962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IF(677711&gt;0,100*50299/677711,"")</f>
        <v>7.4218951736064485</v>
      </c>
      <c r="S63" s="1">
        <f>IF(COUNT(Q63:R63)=2,R63-Q63,"")</f>
        <v>-37.32888302025735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IF(887106&gt;0,100*177497/887106,"")</f>
        <v>20.008544638408488</v>
      </c>
      <c r="L64" s="1">
        <f>IF(COUNT(J64:K64)=2,K64-J64,"")</f>
        <v>1.3694339736276113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IF(526706&gt;0,100*44551/526706,"")</f>
        <v>8.458418928206628</v>
      </c>
      <c r="S64" s="1">
        <f>IF(COUNT(Q64:R64)=2,R64-Q64,"")</f>
        <v>-37.73545001338895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IF(590390&gt;0,100*185429/590390,"")</f>
        <v>31.407882924846287</v>
      </c>
      <c r="E65" s="1">
        <f>IF(COUNT(C65:D65)=2,D65-C65,"")</f>
        <v>5.741028499117387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IF(774329&gt;0,100*177530/774329,"")</f>
        <v>22.92694707288504</v>
      </c>
      <c r="L65" s="1">
        <f>IF(COUNT(J65:K65)=2,K65-J65,"")</f>
        <v>-14.266391669916079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IF(706674&gt;0,100*107249/706674,"")</f>
        <v>15.176587790126707</v>
      </c>
      <c r="S65" s="1">
        <f>IF(COUNT(Q65:R65)=2,R65-Q65,"")</f>
        <v>-10.088948449814563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IF(361883&gt;0,100*6065/361883,"")</f>
        <v>1.675956041040889</v>
      </c>
      <c r="E66" s="1">
        <f>IF(COUNT(C66:D66)=2,D66-C66,"")</f>
        <v>1.572593349402126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IF(491344&gt;0,100*94236/491344,"")</f>
        <v>19.17923084437787</v>
      </c>
      <c r="L66" s="1">
        <f>IF(COUNT(J66:K66)=2,K66-J66,"")</f>
        <v>-20.753699533436148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IF(402264&gt;0,100*64042/402264,"")</f>
        <v>15.92039058926476</v>
      </c>
      <c r="S66" s="1">
        <f>IF(COUNT(Q66:R66)=2,R66-Q66,"")</f>
        <v>-10.149337175257541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IF(379414&gt;0,100*112231/379414,"")</f>
        <v>29.580089295597947</v>
      </c>
      <c r="E67" s="1">
        <f>IF(COUNT(C67:D67)=2,D67-C67,"")</f>
        <v>-11.48321738653937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IF(618922&gt;0,100*121447/618922,"")</f>
        <v>19.622343364753554</v>
      </c>
      <c r="L67" s="1">
        <f>IF(COUNT(J67:K67)=2,K67-J67,"")</f>
        <v>-31.93114578096386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IF(591473&gt;0,100*72196/591473,"")</f>
        <v>12.20613620571015</v>
      </c>
      <c r="S67" s="1">
        <f>IF(COUNT(Q67:R67)=2,R67-Q67,"")</f>
        <v>-32.74765010145961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IF(527337&gt;0,100*96048/527337,"")</f>
        <v>18.213779803048144</v>
      </c>
      <c r="E68" s="1">
        <f>IF(COUNT(C68:D68)=2,D68-C68,"")</f>
        <v>-26.992348223434785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IF(561275&gt;0,100*64783/561275,"")</f>
        <v>11.542113937018396</v>
      </c>
      <c r="L68" s="1">
        <f>IF(COUNT(J68:K68)=2,K68-J68,"")</f>
        <v>-6.889611221504367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IF(417032&gt;0,100*6248/417032,"")</f>
        <v>1.4982063726524584</v>
      </c>
      <c r="S68" s="1">
        <f>IF(COUNT(Q68:R68)=2,R68-Q68,"")</f>
        <v>-2.3607857129888763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IF(166651&gt;0,100*6883/166651,"")</f>
        <v>4.130188237694343</v>
      </c>
      <c r="E69" s="1">
        <f>IF(COUNT(C69:D69)=2,D69-C69,"")</f>
        <v>3.484408601467453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IF(563764&gt;0,100*66508/563764,"")</f>
        <v>11.797134971371</v>
      </c>
      <c r="L69" s="1">
        <f>IF(COUNT(J69:K69)=2,K69-J69,"")</f>
        <v>-20.46304617934777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IF(391546&gt;0,100*48080/391546,"")</f>
        <v>12.27952782048597</v>
      </c>
      <c r="S69" s="1">
        <f>IF(COUNT(Q69:R69)=2,R69-Q69,"")</f>
        <v>-13.303008469497744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17.194545143044515</v>
      </c>
      <c r="E70" s="1">
        <f>IF(COUNT(E39:E69)&gt;0,AVERAGE(E39:E69),"")</f>
        <v>-15.872104576693097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13.816959719961433</v>
      </c>
      <c r="L70" s="1">
        <f>IF(COUNT(L39:L69)&gt;0,AVERAGE(L39:L69),"")</f>
        <v>-19.697645386067236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11.684847161098249</v>
      </c>
      <c r="S70" s="1">
        <f>IF(COUNT(S39:S69)&gt;0,AVERAGE(S39:S69),"")</f>
        <v>-20.157980539611298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IF(629481&gt;0,100*88650/629481,"")</f>
        <v>14.083030305918685</v>
      </c>
      <c r="E75" s="1">
        <f>IF(COUNT(C75:D75)=2,D75-C75,"")</f>
        <v>10.459161723131139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IF(636837&gt;0,100*34439/636837,"")</f>
        <v>5.4078202114512814</v>
      </c>
      <c r="L75" s="1">
        <f>IF(COUNT(J75:K75)=2,K75-J75,"")</f>
        <v>-48.909425046037015</v>
      </c>
      <c r="O75" s="1">
        <v>1</v>
      </c>
      <c r="P75" s="1">
        <v>0</v>
      </c>
      <c r="Q75" s="1">
        <f>IF(517487&gt;0,100*261929/517487,"")</f>
        <v>50.61557101917536</v>
      </c>
      <c r="R75" s="1">
        <f>IF(598299&gt;0,100*19859/598299,"")</f>
        <v>3.319243388339275</v>
      </c>
      <c r="S75" s="1">
        <f>IF(COUNT(Q75:R75)=2,R75-Q75,"")</f>
        <v>-47.29632763083609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IF(247919&gt;0,100*54551/247919,"")</f>
        <v>22.003557613575403</v>
      </c>
      <c r="E76" s="1">
        <f>IF(COUNT(C76:D76)=2,D76-C76,"")</f>
        <v>-21.355868905272978</v>
      </c>
      <c r="H76" s="1">
        <v>2</v>
      </c>
      <c r="I76" s="1">
        <v>1</v>
      </c>
      <c r="J76" s="1">
        <f>IF(591060&gt;0,100*305577/591060,"")</f>
        <v>51.69982742868744</v>
      </c>
      <c r="K76" s="1">
        <f>IF(739981&gt;0,100*170640/739981,"")</f>
        <v>23.060051541863913</v>
      </c>
      <c r="L76" s="1">
        <f>IF(COUNT(J76:K76)=2,K76-J76,"")</f>
        <v>-28.63977588682353</v>
      </c>
      <c r="O76" s="1">
        <v>2</v>
      </c>
      <c r="P76" s="1">
        <v>1</v>
      </c>
      <c r="Q76" s="1">
        <f>IF(548205&gt;0,100*279421/548205,"")</f>
        <v>50.97016626991728</v>
      </c>
      <c r="R76" s="1">
        <f>IF(86964&gt;0,100*16426/86964,"")</f>
        <v>18.888275608297686</v>
      </c>
      <c r="S76" s="1">
        <f>IF(COUNT(Q76:R76)=2,R76-Q76,"")</f>
        <v>-32.081890661619596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IF(381574&gt;0,100*101260/381574,"")</f>
        <v>26.537447520009223</v>
      </c>
      <c r="E77" s="1">
        <f>IF(COUNT(C77:D77)=2,D77-C77,"")</f>
        <v>-20.857909912513392</v>
      </c>
      <c r="H77" s="1">
        <v>3</v>
      </c>
      <c r="I77" s="1">
        <v>2</v>
      </c>
      <c r="J77" s="1">
        <f>IF(584205&gt;0,100*244646/584205,"")</f>
        <v>41.87673847365223</v>
      </c>
      <c r="K77" s="1">
        <f>IF(1014339&gt;0,100*128803/1014339,"")</f>
        <v>12.698220220261668</v>
      </c>
      <c r="L77" s="1">
        <f>IF(COUNT(J77:K77)=2,K77-J77,"")</f>
        <v>-29.178518253390564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IF(1002062&gt;0,100*240732/1002062,"")</f>
        <v>24.023663206468264</v>
      </c>
      <c r="S77" s="1">
        <f>IF(COUNT(Q77:R77)=2,R77-Q77,"")</f>
        <v>19.772230410127406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IF(865675&gt;0,100*254213/865675,"")</f>
        <v>29.36587056343316</v>
      </c>
      <c r="E78" s="1">
        <f>IF(COUNT(C78:D78)=2,D78-C78,"")</f>
        <v>-19.697557986975763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IF(592115&gt;0,100*27918/592115,"")</f>
        <v>4.714962465061686</v>
      </c>
      <c r="L78" s="1">
        <f>IF(COUNT(J78:K78)=2,K78-J78,"")</f>
        <v>-38.56624568767366</v>
      </c>
      <c r="O78" s="1">
        <v>4</v>
      </c>
      <c r="P78" s="1">
        <v>3</v>
      </c>
      <c r="Q78" s="1">
        <f>IF(663228&gt;0,100*363210/663228,"")</f>
        <v>54.76397257051874</v>
      </c>
      <c r="R78" s="1">
        <f>IF(725806&gt;0,100*78415/725806,"")</f>
        <v>10.803851166840726</v>
      </c>
      <c r="S78" s="1">
        <f>IF(COUNT(Q78:R78)=2,R78-Q78,"")</f>
        <v>-43.960121403678016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IF(688457&gt;0,100*83542/688457,"")</f>
        <v>12.134672172699238</v>
      </c>
      <c r="E79" s="1">
        <f>IF(COUNT(C79:D79)=2,D79-C79,"")</f>
        <v>-36.76302652053433</v>
      </c>
      <c r="H79" s="1">
        <v>5</v>
      </c>
      <c r="I79" s="1">
        <v>4</v>
      </c>
      <c r="J79" s="1">
        <f>IF(383201&gt;0,100*174388/383201,"")</f>
        <v>45.50823197225477</v>
      </c>
      <c r="K79" s="1">
        <f>IF(778690&gt;0,100*217452/778690,"")</f>
        <v>27.925361825630226</v>
      </c>
      <c r="L79" s="1">
        <f>IF(COUNT(J79:K79)=2,K79-J79,"")</f>
        <v>-17.582870146624543</v>
      </c>
      <c r="O79" s="1">
        <v>5</v>
      </c>
      <c r="P79" s="1">
        <v>4</v>
      </c>
      <c r="Q79" s="1">
        <f>IF(322593&gt;0,100*116626/322593,"")</f>
        <v>36.152675352534</v>
      </c>
      <c r="R79" s="1">
        <f>IF(789736&gt;0,100*206471/789736,"")</f>
        <v>26.14430645177629</v>
      </c>
      <c r="S79" s="1">
        <f>IF(COUNT(Q79:R79)=2,R79-Q79,"")</f>
        <v>-10.008368900757706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IF(832499&gt;0,100*172657/832499,"")</f>
        <v>20.739604492017406</v>
      </c>
      <c r="E80" s="1">
        <f>IF(COUNT(C80:D80)=2,D80-C80,"")</f>
        <v>-18.113267410932423</v>
      </c>
      <c r="H80" s="1">
        <v>6</v>
      </c>
      <c r="I80" s="1">
        <v>5</v>
      </c>
      <c r="J80" s="1">
        <f>IF(417286&gt;0,100*124193/417286,"")</f>
        <v>29.76208164184756</v>
      </c>
      <c r="K80" s="1">
        <f>IF(831373&gt;0,100*213217/831373,"")</f>
        <v>25.64637052201599</v>
      </c>
      <c r="L80" s="1">
        <f>IF(COUNT(J80:K80)=2,K80-J80,"")</f>
        <v>-4.11571111983157</v>
      </c>
      <c r="O80" s="1">
        <v>6</v>
      </c>
      <c r="P80" s="1">
        <v>5</v>
      </c>
      <c r="Q80" s="1">
        <f>IF(460762&gt;0,100*159245/460762,"")</f>
        <v>34.56122683728259</v>
      </c>
      <c r="R80" s="1">
        <f>IF(711603&gt;0,100*130621/711603,"")</f>
        <v>18.355881017927132</v>
      </c>
      <c r="S80" s="1">
        <f>IF(COUNT(Q80:R80)=2,R80-Q80,"")</f>
        <v>-16.205345819355458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IF(800400&gt;0,100*224082/800400,"")</f>
        <v>27.996251874062967</v>
      </c>
      <c r="E81" s="1">
        <f>IF(COUNT(C81:D81)=2,D81-C81,"")</f>
        <v>-23.82566034619818</v>
      </c>
      <c r="H81" s="1">
        <v>7</v>
      </c>
      <c r="I81" s="1">
        <v>6</v>
      </c>
      <c r="J81" s="1">
        <f>IF(667678&gt;0,100*4575/667678,"")</f>
        <v>0.6852105356174683</v>
      </c>
      <c r="K81" s="1">
        <f>IF(606209&gt;0,100*21428/606209,"")</f>
        <v>3.534754515356915</v>
      </c>
      <c r="L81" s="1">
        <f>IF(COUNT(J81:K81)=2,K81-J81,"")</f>
        <v>2.8495439797394466</v>
      </c>
      <c r="O81" s="1">
        <v>7</v>
      </c>
      <c r="P81" s="1">
        <v>6</v>
      </c>
      <c r="Q81" s="1">
        <f>IF(457006&gt;0,100*8837/457006,"")</f>
        <v>1.9336726432475722</v>
      </c>
      <c r="R81" s="1">
        <f>IF(567617&gt;0,100*30002/567617,"")</f>
        <v>5.285606315526138</v>
      </c>
      <c r="S81" s="1">
        <f>IF(COUNT(Q81:R81)=2,R81-Q81,"")</f>
        <v>3.351933672278566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IF(248498&gt;0,100*75005/248498,"")</f>
        <v>30.183341515827088</v>
      </c>
      <c r="E82" s="1">
        <f>IF(COUNT(C82:D82)=2,D82-C82,"")</f>
        <v>-17.20710972274577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IF(474072&gt;0,100*7754/474072,"")</f>
        <v>1.6356165308223223</v>
      </c>
      <c r="S82" s="1">
        <f>IF(COUNT(Q82:R82)=2,R82-Q82,"")</f>
        <v>0.7549795050811554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IF(129852&gt;0,100*21254/129852,"")</f>
        <v>16.36786495394757</v>
      </c>
      <c r="E83" s="1">
        <f>IF(COUNT(C83:D83)=2,D83-C83,"")</f>
        <v>-30.66045035624025</v>
      </c>
      <c r="H83" s="1">
        <v>9</v>
      </c>
      <c r="I83" s="1">
        <v>8</v>
      </c>
      <c r="J83" s="1">
        <f>IF(408350&gt;0,100*224416/408350,"")</f>
        <v>54.95677727439696</v>
      </c>
      <c r="K83" s="1">
        <f>IF(650374&gt;0,100*118526/650374,"")</f>
        <v>18.224283258555847</v>
      </c>
      <c r="L83" s="1">
        <f>IF(COUNT(J83:K83)=2,K83-J83,"")</f>
        <v>-36.73249401584111</v>
      </c>
      <c r="O83" s="1">
        <v>9</v>
      </c>
      <c r="P83" s="1">
        <v>8</v>
      </c>
      <c r="Q83" s="1">
        <f>IF(401424&gt;0,100*207750/401424,"")</f>
        <v>51.75325840009566</v>
      </c>
      <c r="R83" s="1">
        <f>IF(618107&gt;0,100*155717/618107,"")</f>
        <v>25.192563747053505</v>
      </c>
      <c r="S83" s="1">
        <f>IF(COUNT(Q83:R83)=2,R83-Q83,"")</f>
        <v>-26.560694653042155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IF(559186&gt;0,100*6949/559186,"")</f>
        <v>1.2426992092076696</v>
      </c>
      <c r="E84" s="1">
        <f>IF(COUNT(C84:D84)=2,D84-C84,"")</f>
        <v>0.09468584422106585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IF(735173&gt;0,100*31461/735173,"")</f>
        <v>4.279400902916729</v>
      </c>
      <c r="L84" s="1">
        <f>IF(COUNT(J84:K84)=2,K84-J84,"")</f>
        <v>-49.10967137243862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IF(975876&gt;0,100*131278/975876,"")</f>
        <v>13.452323860818383</v>
      </c>
      <c r="S84" s="1">
        <f>IF(COUNT(Q84:R84)=2,R84-Q84,"")</f>
        <v>-1.9446843826345201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IF(672437&gt;0,100*156480/672437,"")</f>
        <v>23.2705814819827</v>
      </c>
      <c r="E85" s="1">
        <f>IF(COUNT(C85:D85)=2,D85-C85,"")</f>
        <v>-31.439466086919584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IF(716925&gt;0,100*47574/716925,"")</f>
        <v>6.635840569097186</v>
      </c>
      <c r="L85" s="1">
        <f>IF(COUNT(J85:K85)=2,K85-J85,"")</f>
        <v>-53.14799000989575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IF(703763&gt;0,100*29548/703763,"")</f>
        <v>4.198572530809377</v>
      </c>
      <c r="S85" s="1">
        <f>IF(COUNT(Q85:R85)=2,R85-Q85,"")</f>
        <v>-47.06042412266474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IF(193739&gt;0,100*46476/193739,"")</f>
        <v>23.988974857927417</v>
      </c>
      <c r="E86" s="1">
        <f>IF(COUNT(C86:D86)=2,D86-C86,"")</f>
        <v>-21.267218583663755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IF(688440&gt;0,100*20967/688440,"")</f>
        <v>3.0455813142757537</v>
      </c>
      <c r="L86" s="1">
        <f>IF(COUNT(J86:K86)=2,K86-J86,"")</f>
        <v>-52.74935303209034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IF(789989&gt;0,100*56826/789989,"")</f>
        <v>7.193264716344151</v>
      </c>
      <c r="S86" s="1">
        <f>IF(COUNT(Q86:R86)=2,R86-Q86,"")</f>
        <v>-46.42494924596881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IF(747940&gt;0,100*62852/747940,"")</f>
        <v>8.403347862127978</v>
      </c>
      <c r="E87" s="1">
        <f>IF(COUNT(C87:D87)=2,D87-C87,"")</f>
        <v>-15.899697716313662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IF(835058&gt;0,100*17107/835058,"")</f>
        <v>2.0486002169909154</v>
      </c>
      <c r="L87" s="1">
        <f>IF(COUNT(J87:K87)=2,K87-J87,"")</f>
        <v>-43.017049362430974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IF(682980&gt;0,100*13242/682980,"")</f>
        <v>1.9388561890538523</v>
      </c>
      <c r="S87" s="1">
        <f>IF(COUNT(Q87:R87)=2,R87-Q87,"")</f>
        <v>0.3798373503455721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IF(402880&gt;0,100*11369/402880,"")</f>
        <v>2.8219320889594917</v>
      </c>
      <c r="E88" s="1">
        <f>IF(COUNT(C88:D88)=2,D88-C88,"")</f>
        <v>-10.122480335736427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IF(590883&gt;0,100*107072/590883,"")</f>
        <v>18.120677020662296</v>
      </c>
      <c r="L88" s="1">
        <f>IF(COUNT(J88:K88)=2,K88-J88,"")</f>
        <v>-5.687602623919229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IF(461715&gt;0,100*40065/461715,"")</f>
        <v>8.677430882687371</v>
      </c>
      <c r="S88" s="1">
        <f>IF(COUNT(Q88:R88)=2,R88-Q88,"")</f>
        <v>2.606069282756054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IF(311032&gt;0,100*58408/311032,"")</f>
        <v>18.778775174258598</v>
      </c>
      <c r="E89" s="1">
        <f>IF(COUNT(C89:D89)=2,D89-C89,"")</f>
        <v>-32.2364687547834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IF(813523&gt;0,100*108742/813523,"")</f>
        <v>13.366800938633572</v>
      </c>
      <c r="L89" s="1">
        <f>IF(COUNT(J89:K89)=2,K89-J89,"")</f>
        <v>-3.238681501077073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IF(860048&gt;0,100*130907/860048,"")</f>
        <v>15.220894647740591</v>
      </c>
      <c r="S89" s="1">
        <f>IF(COUNT(Q89:R89)=2,R89-Q89,"")</f>
        <v>-5.332240962167235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IF(316524&gt;0,100*33491/316524,"")</f>
        <v>10.580872224539055</v>
      </c>
      <c r="E90" s="1">
        <f>IF(COUNT(C90:D90)=2,D90-C90,"")</f>
        <v>-31.51402707419104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IF(723516&gt;0,100*69855/723516,"")</f>
        <v>9.654935067089049</v>
      </c>
      <c r="L90" s="1">
        <f>IF(COUNT(J90:K90)=2,K90-J90,"")</f>
        <v>-42.373224609146945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IF(683759&gt;0,100*16971/683759,"")</f>
        <v>2.4820148619615976</v>
      </c>
      <c r="S90" s="1">
        <f>IF(COUNT(Q90:R90)=2,R90-Q90,"")</f>
        <v>-55.10395486387098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IF(395288&gt;0,100*4048/395288,"")</f>
        <v>1.024063467648904</v>
      </c>
      <c r="E91" s="1">
        <f>IF(COUNT(C91:D91)=2,D91-C91,"")</f>
        <v>-3.6714709339124973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IF(481075&gt;0,100*105442/481075,"")</f>
        <v>21.917996154445774</v>
      </c>
      <c r="L91" s="1">
        <f>IF(COUNT(J91:K91)=2,K91-J91,"")</f>
        <v>19.530265245558525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IF(574676&gt;0,100*132505/574676,"")</f>
        <v>23.05734013600707</v>
      </c>
      <c r="S91" s="1">
        <f>IF(COUNT(Q91:R91)=2,R91-Q91,"")</f>
        <v>-18.074674814617147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IF(476473&gt;0,100*6911/476473,"")</f>
        <v>1.4504494483422985</v>
      </c>
      <c r="E92" s="1">
        <f>IF(COUNT(C92:D92)=2,D92-C92,"")</f>
        <v>-16.56347359937736</v>
      </c>
      <c r="H92" s="1">
        <v>18</v>
      </c>
      <c r="I92" s="1">
        <v>17</v>
      </c>
      <c r="J92" s="4"/>
      <c r="K92" s="1">
        <f>IF(688524&gt;0,100*56790/688524,"")</f>
        <v>8.248078498353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IF(937476&gt;0,100*55798/937476,"")</f>
        <v>5.951939036305996</v>
      </c>
      <c r="S92" s="1">
        <f>IF(COUNT(Q92:R92)=2,R92-Q92,"")</f>
        <v>-45.56238854577646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IF(613839&gt;0,100*161679/613839,"")</f>
        <v>26.338991168694072</v>
      </c>
      <c r="E93" s="1">
        <f>IF(COUNT(C93:D93)=2,D93-C93,"")</f>
        <v>-25.181157810576096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IF(825679&gt;0,100*26649/825679,"")</f>
        <v>3.227525466918742</v>
      </c>
      <c r="L93" s="1">
        <f>IF(COUNT(J93:K93)=2,K93-J93,"")</f>
        <v>-12.515443088627595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IF(678008&gt;0,100*17942/678008,"")</f>
        <v>2.646281459805784</v>
      </c>
      <c r="S93" s="1">
        <f>IF(COUNT(Q93:R93)=2,R93-Q93,"")</f>
        <v>-46.462207740894414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IF(880527&gt;0,100*108801/880527,"")</f>
        <v>12.35635023116838</v>
      </c>
      <c r="E94" s="1">
        <f>IF(COUNT(C94:D94)=2,D94-C94,"")</f>
        <v>-33.20897944359557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IF(748442&gt;0,100*113444/748442,"")</f>
        <v>15.157353542425465</v>
      </c>
      <c r="L94" s="1">
        <f>IF(COUNT(J94:K94)=2,K94-J94,"")</f>
        <v>-6.4489828334171015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IF(1026235&gt;0,100*122904/1026235,"")</f>
        <v>11.976204280695942</v>
      </c>
      <c r="S94" s="1">
        <f>IF(COUNT(Q94:R94)=2,R94-Q94,"")</f>
        <v>-38.20567164781491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IF(409106&gt;0,100*16323/409106,"")</f>
        <v>3.989919482970184</v>
      </c>
      <c r="E95" s="1">
        <f>IF(COUNT(C95:D95)=2,D95-C95,"")</f>
        <v>-44.95960731083241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IF(583783&gt;0,100*40181/583783,"")</f>
        <v>6.882865722366017</v>
      </c>
      <c r="L95" s="1">
        <f>IF(COUNT(J95:K95)=2,K95-J95,"")</f>
        <v>-49.41202623427863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IF(901029&gt;0,100*252665/901029,"")</f>
        <v>28.041827732514715</v>
      </c>
      <c r="S95" s="1">
        <f>IF(COUNT(Q95:R95)=2,R95-Q95,"")</f>
        <v>-26.663873767160755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IF(366140&gt;0,100*109114/366140,"")</f>
        <v>29.801168951767085</v>
      </c>
      <c r="E96" s="1">
        <f>IF(COUNT(C96:D96)=2,D96-C96,"")</f>
        <v>-6.7800672097935255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IF(349030&gt;0,100*110744/349030,"")</f>
        <v>31.72907772970805</v>
      </c>
      <c r="L96" s="1">
        <f>IF(COUNT(J96:K96)=2,K96-J96,"")</f>
        <v>-18.151956224681985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IF(274242&gt;0,100*76374/274242,"")</f>
        <v>27.84912595444899</v>
      </c>
      <c r="S96" s="1">
        <f>IF(COUNT(Q96:R96)=2,R96-Q96,"")</f>
        <v>-13.207672016218996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IF(419354&gt;0,100*4606/419354,"")</f>
        <v>1.0983560428659318</v>
      </c>
      <c r="E97" s="1">
        <f>IF(COUNT(C97:D97)=2,D97-C97,"")</f>
        <v>0.9065681679785589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IF(776404&gt;0,100*78520/776404,"")</f>
        <v>10.11329153378911</v>
      </c>
      <c r="L97" s="1">
        <f>IF(COUNT(J97:K97)=2,K97-J97,"")</f>
        <v>-44.17747741289273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IF(688536&gt;0,100*178330/688536,"")</f>
        <v>25.899880325792697</v>
      </c>
      <c r="S97" s="1">
        <f>IF(COUNT(Q97:R97)=2,R97-Q97,"")</f>
        <v>-17.583421946208073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IF(770084&gt;0,100*30682/770084,"")</f>
        <v>3.984240680237481</v>
      </c>
      <c r="E98" s="1">
        <f>IF(COUNT(C98:D98)=2,D98-C98,"")</f>
        <v>-36.52750704866406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IF(421207&gt;0,100*20301/421207,"")</f>
        <v>4.819720469982693</v>
      </c>
      <c r="L98" s="1">
        <f>IF(COUNT(J98:K98)=2,K98-J98,"")</f>
        <v>-42.55987568925733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IF(733203&gt;0,100*35800/733203,"")</f>
        <v>4.882685968278908</v>
      </c>
      <c r="S98" s="1">
        <f>IF(COUNT(Q98:R98)=2,R98-Q98,"")</f>
        <v>-21.3980840471486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IF(495621&gt;0,100*164367/495621,"")</f>
        <v>33.1638489894496</v>
      </c>
      <c r="E99" s="1">
        <f>IF(COUNT(C99:D99)=2,D99-C99,"")</f>
        <v>-11.526488738229723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IF(778519&gt;0,100*37097/778519,"")</f>
        <v>4.7650731709823395</v>
      </c>
      <c r="L99" s="1">
        <f>IF(COUNT(J99:K99)=2,K99-J99,"")</f>
        <v>-46.50707847673641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IF(788289&gt;0,100*28527/788289,"")</f>
        <v>3.618850446980739</v>
      </c>
      <c r="S99" s="1">
        <f>IF(COUNT(Q99:R99)=2,R99-Q99,"")</f>
        <v>-38.94922065074865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IF(787680&gt;0,100*238745/787680,"")</f>
        <v>30.309897420272193</v>
      </c>
      <c r="E100" s="1">
        <f>IF(COUNT(C100:D100)=2,D100-C100,"")</f>
        <v>-20.882555980573095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IF(826408&gt;0,100*45875/826408,"")</f>
        <v>5.551132128440189</v>
      </c>
      <c r="L100" s="1">
        <f>IF(COUNT(J100:K100)=2,K100-J100,"")</f>
        <v>-0.5250438319953066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IF(584416&gt;0,100*103059/584416,"")</f>
        <v>17.634527459891583</v>
      </c>
      <c r="S100" s="1">
        <f>IF(COUNT(Q100:R100)=2,R100-Q100,"")</f>
        <v>-41.953436827188995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IF(586897&gt;0,100*164404/586897,"")</f>
        <v>28.012411036348798</v>
      </c>
      <c r="E101" s="1">
        <f>IF(COUNT(C101:D101)=2,D101-C101,"")</f>
        <v>-29.80247928615177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IF(841853&gt;0,100*113345/841853,"")</f>
        <v>13.463751985204068</v>
      </c>
      <c r="L101" s="1">
        <f>IF(COUNT(J101:K101)=2,K101-J101,"")</f>
        <v>-6.36630874824437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IF(893364&gt;0,100*111653/893364,"")</f>
        <v>12.498041112021527</v>
      </c>
      <c r="S101" s="1">
        <f>IF(COUNT(Q101:R101)=2,R101-Q101,"")</f>
        <v>-5.95187303930703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IF(550258&gt;0,100*84485/550258,"")</f>
        <v>15.353706806625256</v>
      </c>
      <c r="L102" s="1">
        <f>IF(COUNT(J102:K102)=2,K102-J102,"")</f>
        <v>-19.294000845166046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IF(455376&gt;0,100*63734/455376,"")</f>
        <v>13.995906679315555</v>
      </c>
      <c r="S102" s="1">
        <f>IF(COUNT(Q102:R102)=2,R102-Q102,"")</f>
        <v>-14.598272074114474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IF(601701&gt;0,100*170788/601701,"")</f>
        <v>28.384197466848153</v>
      </c>
      <c r="E103" s="1">
        <f>IF(COUNT(C103:D103)=2,D103-C103,"")</f>
        <v>-27.763947915742524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IF(819559&gt;0,100*284845/819559,"")</f>
        <v>34.75588700752478</v>
      </c>
      <c r="L103" s="1">
        <f>IF(COUNT(J103:K103)=2,K103-J103,"")</f>
        <v>-21.423885638195152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IF(783593&gt;0,100*254425/783593,"")</f>
        <v>32.469024097969225</v>
      </c>
      <c r="S103" s="1">
        <f>IF(COUNT(Q103:R103)=2,R103-Q103,"")</f>
        <v>-18.697467547647612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IF(726701&gt;0,100*119541/726701,"")</f>
        <v>16.449819114051035</v>
      </c>
      <c r="E104" s="1">
        <f>IF(COUNT(C104:D104)=2,D104-C104,"")</f>
        <v>-36.05801336584736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IF(553528&gt;0,100*14396/553528,"")</f>
        <v>2.600771776676157</v>
      </c>
      <c r="L104" s="1">
        <f>IF(COUNT(J104:K104)=2,K104-J104,"")</f>
        <v>-25.51040169100821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IF(551483&gt;0,100*5830/551483,"")</f>
        <v>1.0571495404210103</v>
      </c>
      <c r="S104" s="1">
        <f>IF(COUNT(Q104:R104)=2,R104-Q104,"")</f>
        <v>-0.3459454934918298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IF(528565&gt;0,100*14847/528565,"")</f>
        <v>2.808926054506068</v>
      </c>
      <c r="E105" s="1">
        <f>IF(COUNT(C105:D105)=2,D105-C105,"")</f>
        <v>-19.65877995885696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IF(428180&gt;0,100*78717/428180,"")</f>
        <v>18.384090802933347</v>
      </c>
      <c r="L105" s="1">
        <f>IF(COUNT(J105:K105)=2,K105-J105,"")</f>
        <v>1.0404908059101494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IF(629066&gt;0,100*103159/629066,"")</f>
        <v>16.39875625133134</v>
      </c>
      <c r="S105" s="1">
        <f>IF(COUNT(Q105:R105)=2,R105-Q105,"")</f>
        <v>-23.09440172084781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16.38623065157065</v>
      </c>
      <c r="E106" s="1">
        <f>IF(COUNT(E75:E105)&gt;0,AVERAGE(E75:E105),"")</f>
        <v>-20.387496131771783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12.123766472983528</v>
      </c>
      <c r="L106" s="1">
        <f>IF(COUNT(L75:L105)&gt;0,AVERAGE(L75:L105),"")</f>
        <v>-24.110463523909687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13.380319535620895</v>
      </c>
      <c r="S106" s="1">
        <f>IF(COUNT(S75:S105)&gt;0,AVERAGE(S75:S105),"")</f>
        <v>-21.802018203393303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IF(292327&gt;0,100*9664/292327,"")</f>
        <v>3.3058869006284057</v>
      </c>
      <c r="E3" s="1">
        <f>IF(COUNT(C3:D3)=2,D3-C3,"")</f>
        <v>-12.333085645085909</v>
      </c>
      <c r="H3" s="1">
        <v>1</v>
      </c>
      <c r="I3" s="1">
        <v>0</v>
      </c>
      <c r="J3" s="1">
        <f>IF(215009&gt;0,100*58251/215009,"")</f>
        <v>27.09235427354204</v>
      </c>
      <c r="K3" s="1">
        <f>IF(410103&gt;0,100*63316/410103,"")</f>
        <v>15.43904823910091</v>
      </c>
      <c r="L3" s="1">
        <f>IF(COUNT(J3:K3)=2,K3-J3,"")</f>
        <v>-11.65330603444113</v>
      </c>
      <c r="O3" s="1">
        <v>1</v>
      </c>
      <c r="P3" s="1">
        <v>0</v>
      </c>
      <c r="Q3" s="1">
        <f>IF(558995&gt;0,100*195788/558995,"")</f>
        <v>35.0250002236156</v>
      </c>
      <c r="R3" s="1">
        <f>IF(349056&gt;0,100*43950/349056,"")</f>
        <v>12.591102860286028</v>
      </c>
      <c r="S3" s="1">
        <f>IF(COUNT(Q3:R3)=2,R3-Q3,"")</f>
        <v>-22.43389736332957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IF(224007&gt;0,100*42200/224007,"")</f>
        <v>18.83869700500431</v>
      </c>
      <c r="E4" s="1">
        <f>IF(COUNT(C4:D4)=2,D4-C4,"")</f>
        <v>-28.97686934728682</v>
      </c>
      <c r="H4" s="1">
        <v>2</v>
      </c>
      <c r="I4" s="1">
        <v>1</v>
      </c>
      <c r="J4" s="1">
        <f>IF(296332&gt;0,100*64971/296332,"")</f>
        <v>21.925070529001257</v>
      </c>
      <c r="K4" s="1">
        <f>IF(398711&gt;0,100*60626/398711,"")</f>
        <v>15.205499722856906</v>
      </c>
      <c r="L4" s="1">
        <f>IF(COUNT(J4:K4)=2,K4-J4,"")</f>
        <v>-6.71957080614435</v>
      </c>
      <c r="O4" s="1">
        <v>2</v>
      </c>
      <c r="P4" s="1">
        <v>1</v>
      </c>
      <c r="Q4" s="1">
        <f>IF(348213&gt;0,100*131600/348213,"")</f>
        <v>37.792960056057645</v>
      </c>
      <c r="R4" s="1">
        <f>IF(370710&gt;0,100*52256/370710,"")</f>
        <v>14.0961937902943</v>
      </c>
      <c r="S4" s="1">
        <f>IF(COUNT(Q4:R4)=2,R4-Q4,"")</f>
        <v>-23.696766265763344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IF(217870&gt;0,100*45010/217870,"")</f>
        <v>20.659108642768622</v>
      </c>
      <c r="E5" s="1">
        <f>IF(COUNT(C5:D5)=2,D5-C5,"")</f>
        <v>-21.560664290195525</v>
      </c>
      <c r="H5" s="1">
        <v>3</v>
      </c>
      <c r="I5" s="1">
        <v>2</v>
      </c>
      <c r="J5" s="1">
        <f>IF(328831&gt;0,100*62705/328831,"")</f>
        <v>19.069065872743142</v>
      </c>
      <c r="K5" s="1">
        <f>IF(566521&gt;0,100*63167/566521,"")</f>
        <v>11.149983848789365</v>
      </c>
      <c r="L5" s="1">
        <f>IF(COUNT(J5:K5)=2,K5-J5,"")</f>
        <v>-7.919082023953777</v>
      </c>
      <c r="O5" s="1">
        <v>3</v>
      </c>
      <c r="P5" s="1">
        <v>2</v>
      </c>
      <c r="Q5" s="1">
        <f>IF(499604&gt;0,100*190955/499604,"")</f>
        <v>38.221271246827484</v>
      </c>
      <c r="R5" s="1">
        <f>IF(480461&gt;0,100*48885/480461,"")</f>
        <v>10.17460314156612</v>
      </c>
      <c r="S5" s="1">
        <f>IF(COUNT(Q5:R5)=2,R5-Q5,"")</f>
        <v>-28.046668105261364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IF(569290&gt;0,100*119405/569290,"")</f>
        <v>20.97437158565933</v>
      </c>
      <c r="E6" s="1">
        <f>IF(COUNT(C6:D6)=2,D6-C6,"")</f>
        <v>-17.75155553784865</v>
      </c>
      <c r="H6" s="1">
        <v>4</v>
      </c>
      <c r="I6" s="1">
        <v>3</v>
      </c>
      <c r="J6" s="1">
        <f>IF(464767&gt;0,100*69099/464767,"")</f>
        <v>14.867449711360747</v>
      </c>
      <c r="K6" s="1">
        <f>IF(273757&gt;0,100*14162/273757,"")</f>
        <v>5.173201050566743</v>
      </c>
      <c r="L6" s="1">
        <f>IF(COUNT(J6:K6)=2,K6-J6,"")</f>
        <v>-9.694248660794003</v>
      </c>
      <c r="O6" s="1">
        <v>4</v>
      </c>
      <c r="P6" s="1">
        <v>3</v>
      </c>
      <c r="Q6" s="1">
        <f>IF(332328&gt;0,100*11557/332328,"")</f>
        <v>3.477588406634409</v>
      </c>
      <c r="R6" s="1">
        <f>IF(351883&gt;0,100*29783/351883,"")</f>
        <v>8.463892828013856</v>
      </c>
      <c r="S6" s="1">
        <f>IF(COUNT(Q6:R6)=2,R6-Q6,"")</f>
        <v>4.986304421379447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IF(448597&gt;0,100*28454/448597,"")</f>
        <v>6.342886822693866</v>
      </c>
      <c r="E7" s="1">
        <f>IF(COUNT(C7:D7)=2,D7-C7,"")</f>
        <v>-28.713034706189877</v>
      </c>
      <c r="H7" s="1">
        <v>5</v>
      </c>
      <c r="I7" s="1">
        <v>4</v>
      </c>
      <c r="J7" s="1">
        <f>IF(411240&gt;0,100*106457/411240,"")</f>
        <v>25.88683007489544</v>
      </c>
      <c r="K7" s="1">
        <f>IF(541335&gt;0,100*112025/541335,"")</f>
        <v>20.69420968531501</v>
      </c>
      <c r="L7" s="1">
        <f>IF(COUNT(J7:K7)=2,K7-J7,"")</f>
        <v>-5.19262038958043</v>
      </c>
      <c r="O7" s="1">
        <v>5</v>
      </c>
      <c r="P7" s="1">
        <v>4</v>
      </c>
      <c r="Q7" s="1">
        <f>IF(258766&gt;0,100*96546/258766,"")</f>
        <v>37.3101566666409</v>
      </c>
      <c r="R7" s="1">
        <f>IF(460311&gt;0,100*116892/460311,"")</f>
        <v>25.394135703904535</v>
      </c>
      <c r="S7" s="1">
        <f>IF(COUNT(Q7:R7)=2,R7-Q7,"")</f>
        <v>-11.916020962736365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IF(502848&gt;0,100*72495/502848,"")</f>
        <v>14.41688144329897</v>
      </c>
      <c r="E8" s="1">
        <f>IF(COUNT(C8:D8)=2,D8-C8,"")</f>
        <v>-9.07349910681781</v>
      </c>
      <c r="H8" s="1">
        <v>6</v>
      </c>
      <c r="I8" s="1">
        <v>5</v>
      </c>
      <c r="J8" s="1">
        <f>IF(324059&gt;0,100*91696/324059,"")</f>
        <v>28.29608188632317</v>
      </c>
      <c r="K8" s="1">
        <f>IF(308485&gt;0,100*51565/308485,"")</f>
        <v>16.715561534596496</v>
      </c>
      <c r="L8" s="1">
        <f>IF(COUNT(J8:K8)=2,K8-J8,"")</f>
        <v>-11.580520351726673</v>
      </c>
      <c r="O8" s="1">
        <v>6</v>
      </c>
      <c r="P8" s="1">
        <v>5</v>
      </c>
      <c r="Q8" s="1">
        <f>IF(371148&gt;0,100*77908/371148,"")</f>
        <v>20.9910871134965</v>
      </c>
      <c r="R8" s="1">
        <f>IF(312628&gt;0,100*35983/312628,"")</f>
        <v>11.509845567255653</v>
      </c>
      <c r="S8" s="1">
        <f>IF(COUNT(Q8:R8)=2,R8-Q8,"")</f>
        <v>-9.481241546240849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IF(461297&gt;0,100*76935/461297,"")</f>
        <v>16.677975360776244</v>
      </c>
      <c r="E9" s="1">
        <f>IF(COUNT(C9:D9)=2,D9-C9,"")</f>
        <v>-27.787008514775692</v>
      </c>
      <c r="H9" s="1">
        <v>7</v>
      </c>
      <c r="I9" s="1">
        <v>6</v>
      </c>
      <c r="J9" s="1">
        <f>IF(325191&gt;0,100*2956/325191,"")</f>
        <v>0.9090042467349957</v>
      </c>
      <c r="K9" s="1">
        <f>IF(498213&gt;0,100*14139/498213,"")</f>
        <v>2.837942807594342</v>
      </c>
      <c r="L9" s="1">
        <f>IF(COUNT(J9:K9)=2,K9-J9,"")</f>
        <v>1.9289385608593463</v>
      </c>
      <c r="O9" s="1">
        <v>7</v>
      </c>
      <c r="P9" s="1">
        <v>6</v>
      </c>
      <c r="Q9" s="1">
        <f>IF(434887&gt;0,100*93317/434887,"")</f>
        <v>21.457757992306046</v>
      </c>
      <c r="R9" s="1">
        <f>IF(418174&gt;0,100*35256/418174,"")</f>
        <v>8.430940230621703</v>
      </c>
      <c r="S9" s="1">
        <f>IF(COUNT(Q9:R9)=2,R9-Q9,"")</f>
        <v>-13.026817761684343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IF(30062&gt;0,100*2871/30062,"")</f>
        <v>9.550262790233518</v>
      </c>
      <c r="E10" s="1">
        <f>IF(COUNT(C10:D10)=2,D10-C10,"")</f>
        <v>-35.977855479760166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IF(382008&gt;0,100*10984/382008,"")</f>
        <v>2.8753324537706018</v>
      </c>
      <c r="S10" s="1">
        <f>IF(COUNT(Q10:R10)=2,R10-Q10,"")</f>
        <v>2.4716884148641034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IF(183829&gt;0,100*36733/183829,"")</f>
        <v>19.98215733099783</v>
      </c>
      <c r="E11" s="1">
        <f>IF(COUNT(C11:D11)=2,D11-C11,"")</f>
        <v>-26.566672422822663</v>
      </c>
      <c r="H11" s="1">
        <v>9</v>
      </c>
      <c r="I11" s="1">
        <v>8</v>
      </c>
      <c r="J11" s="1">
        <f>IF(422295&gt;0,100*144131/422295,"")</f>
        <v>34.13040646941119</v>
      </c>
      <c r="K11" s="1">
        <f>IF(469490&gt;0,100*92608/469490,"")</f>
        <v>19.72523376429743</v>
      </c>
      <c r="L11" s="1">
        <f>IF(COUNT(J11:K11)=2,K11-J11,"")</f>
        <v>-14.405172705113763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IF(449070&gt;0,100*100698/449070,"")</f>
        <v>22.423675596232215</v>
      </c>
      <c r="S11" s="1">
        <f>IF(COUNT(Q11:R11)=2,R11-Q11,"")</f>
        <v>-16.08111774597655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IF(458701&gt;0,100*5996/458701,"")</f>
        <v>1.3071695941364854</v>
      </c>
      <c r="E12" s="1">
        <f>IF(COUNT(C12:D12)=2,D12-C12,"")</f>
        <v>-29.61541828802234</v>
      </c>
      <c r="H12" s="1">
        <v>10</v>
      </c>
      <c r="I12" s="1">
        <v>9</v>
      </c>
      <c r="J12" s="1">
        <f>IF(426052&gt;0,100*71311/426052,"")</f>
        <v>16.737628270727516</v>
      </c>
      <c r="K12" s="1">
        <f>IF(522871&gt;0,100*48047/522871,"")</f>
        <v>9.189073404338737</v>
      </c>
      <c r="L12" s="1">
        <f>IF(COUNT(J12:K12)=2,K12-J12,"")</f>
        <v>-7.548554866388779</v>
      </c>
      <c r="O12" s="1">
        <v>10</v>
      </c>
      <c r="P12" s="1">
        <v>9</v>
      </c>
      <c r="Q12" s="1">
        <f>IF(412598&gt;0,100*74901/412598,"")</f>
        <v>18.15350534903223</v>
      </c>
      <c r="R12" s="1">
        <f>IF(483890&gt;0,100*9317/483890,"")</f>
        <v>1.9254375994544215</v>
      </c>
      <c r="S12" s="1">
        <f>IF(COUNT(Q12:R12)=2,R12-Q12,"")</f>
        <v>-16.228067749577807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IF(362944&gt;0,100*55457/362944,"")</f>
        <v>15.279767677658262</v>
      </c>
      <c r="E13" s="1">
        <f>IF(COUNT(C13:D13)=2,D13-C13,"")</f>
        <v>-17.17343120869578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IF(444549&gt;0,100*17419/444549,"")</f>
        <v>3.9183532074079572</v>
      </c>
      <c r="L13" s="1">
        <f>IF(COUNT(J13:K13)=2,K13-J13,"")</f>
        <v>-1.2783805472854786</v>
      </c>
      <c r="O13" s="1">
        <v>11</v>
      </c>
      <c r="P13" s="1">
        <v>10</v>
      </c>
      <c r="Q13" s="1">
        <f>IF(517486&gt;0,100*3762/517486,"")</f>
        <v>0.726976188727811</v>
      </c>
      <c r="R13" s="1">
        <f>IF(438350&gt;0,100*42474/438350,"")</f>
        <v>9.689517508839968</v>
      </c>
      <c r="S13" s="1">
        <f>IF(COUNT(Q13:R13)=2,R13-Q13,"")</f>
        <v>8.962541320112157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IF(258939&gt;0,100*64776/258939,"")</f>
        <v>25.015930392872452</v>
      </c>
      <c r="E14" s="1">
        <f>IF(COUNT(C14:D14)=2,D14-C14,"")</f>
        <v>-18.957800642006152</v>
      </c>
      <c r="H14" s="1">
        <v>12</v>
      </c>
      <c r="I14" s="1">
        <v>11</v>
      </c>
      <c r="J14" s="1">
        <f>IF(461148&gt;0,100*18702/461148,"")</f>
        <v>4.05553097920841</v>
      </c>
      <c r="K14" s="1">
        <f>IF(556890&gt;0,100*69837/556890,"")</f>
        <v>12.540537628616065</v>
      </c>
      <c r="L14" s="1">
        <f>IF(COUNT(J14:K14)=2,K14-J14,"")</f>
        <v>8.485006649407655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IF(523694&gt;0,100*6939/523694,"")</f>
        <v>1.3250104068406359</v>
      </c>
      <c r="S14" s="1">
        <f>IF(COUNT(Q14:R14)=2,R14-Q14,"")</f>
        <v>-36.92084048626625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IF(428134&gt;0,100*16788/428134,"")</f>
        <v>3.9212022404200555</v>
      </c>
      <c r="E15" s="1">
        <f>IF(COUNT(C15:D15)=2,D15-C15,"")</f>
        <v>-28.11611195822113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IF(390195&gt;0,100*53721/390195,"")</f>
        <v>13.767731518855957</v>
      </c>
      <c r="L15" s="1">
        <f>IF(COUNT(J15:K15)=2,K15-J15,"")</f>
        <v>-28.489338859195303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IF(450422&gt;0,100*55331/450422,"")</f>
        <v>12.284257873727304</v>
      </c>
      <c r="S15" s="1">
        <f>IF(COUNT(Q15:R15)=2,R15-Q15,"")</f>
        <v>4.504991828548068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IF(313227&gt;0,100*15157/313227,"")</f>
        <v>4.838982590900529</v>
      </c>
      <c r="E16" s="1">
        <f>IF(COUNT(C16:D16)=2,D16-C16,"")</f>
        <v>-11.707472716385904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IF(275190&gt;0,100*35247/275190,"")</f>
        <v>12.808241578545733</v>
      </c>
      <c r="L16" s="1">
        <f>IF(COUNT(J16:K16)=2,K16-J16,"")</f>
        <v>-4.144884599330545</v>
      </c>
      <c r="O16" s="1">
        <v>14</v>
      </c>
      <c r="P16" s="1">
        <v>13</v>
      </c>
      <c r="Q16" s="1">
        <f>IF(284672&gt;0,100*4186/284672,"")</f>
        <v>1.4704642535971224</v>
      </c>
      <c r="R16" s="1">
        <f>IF(184234&gt;0,100*9519/184234,"")</f>
        <v>5.166798745074199</v>
      </c>
      <c r="S16" s="1">
        <f>IF(COUNT(Q16:R16)=2,R16-Q16,"")</f>
        <v>3.696334491477076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IF(344225&gt;0,100*94696/344225,"")</f>
        <v>27.509913573970515</v>
      </c>
      <c r="E17" s="1">
        <f>IF(COUNT(C17:D17)=2,D17-C17,"")</f>
        <v>-14.481438739762453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IF(393040&gt;0,100*38219/393040,"")</f>
        <v>9.723946672094444</v>
      </c>
      <c r="L17" s="1">
        <f>IF(COUNT(J17:K17)=2,K17-J17,"")</f>
        <v>-36.20588371787722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IF(373955&gt;0,100*55258/373955,"")</f>
        <v>14.776644248639542</v>
      </c>
      <c r="S17" s="1">
        <f>IF(COUNT(Q17:R17)=2,R17-Q17,"")</f>
        <v>-18.253887163258057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IF(336517&gt;0,100*64169/336517,"")</f>
        <v>19.068576030334278</v>
      </c>
      <c r="E18" s="1">
        <f>IF(COUNT(C18:D18)=2,D18-C18,"")</f>
        <v>-19.94015519812094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IF(273735&gt;0,100*16530/273735,"")</f>
        <v>6.0386870513452795</v>
      </c>
      <c r="L18" s="1">
        <f>IF(COUNT(J18:K18)=2,K18-J18,"")</f>
        <v>-18.547536335126942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IF(492646&gt;0,100*31408/492646,"")</f>
        <v>6.37536892616605</v>
      </c>
      <c r="S18" s="1">
        <f>IF(COUNT(Q18:R18)=2,R18-Q18,"")</f>
        <v>-25.994711859176707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IF(272146&gt;0,100*11287/272146,"")</f>
        <v>4.147406171687256</v>
      </c>
      <c r="E19" s="1">
        <f>IF(COUNT(C19:D19)=2,D19-C19,"")</f>
        <v>-2.5113588455100846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IF(369695&gt;0,100*64699/369695,"")</f>
        <v>17.500642421455524</v>
      </c>
      <c r="L19" s="1">
        <f>IF(COUNT(J19:K19)=2,K19-J19,"")</f>
        <v>-20.175727676970574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IF(353795&gt;0,100*50417/353795,"")</f>
        <v>14.250342712587798</v>
      </c>
      <c r="S19" s="1">
        <f>IF(COUNT(Q19:R19)=2,R19-Q19,"")</f>
        <v>-7.923491492132804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IF(502715&gt;0,100*53940/502715,"")</f>
        <v>10.729737525237958</v>
      </c>
      <c r="L20" s="1">
        <f>IF(COUNT(J20:K20)=2,K20-J20,"")</f>
        <v>-11.059373263090702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IF(440150&gt;0,100*28747/440150,"")</f>
        <v>6.531182551402931</v>
      </c>
      <c r="S20" s="1">
        <f>IF(COUNT(Q20:R20)=2,R20-Q20,"")</f>
        <v>-26.83753908509465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IF(431243&gt;0,100*105652/431243,"")</f>
        <v>24.499412164371364</v>
      </c>
      <c r="E21" s="1">
        <f>IF(COUNT(C21:D21)=2,D21-C21,"")</f>
        <v>-15.349458540759514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IF(485147&gt;0,100*17535/485147,"")</f>
        <v>3.6143684285381545</v>
      </c>
      <c r="L21" s="1">
        <f>IF(COUNT(J21:K21)=2,K21-J21,"")</f>
        <v>-10.280226266154543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IF(368867&gt;0,100*45191/368867,"")</f>
        <v>12.251299248780725</v>
      </c>
      <c r="S21" s="1">
        <f>IF(COUNT(Q21:R21)=2,R21-Q21,"")</f>
        <v>-5.91892644267876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IF(477977&gt;0,100*23373/477977,"")</f>
        <v>4.889984246103892</v>
      </c>
      <c r="E22" s="1">
        <f>IF(COUNT(C22:D22)=2,D22-C22,"")</f>
        <v>-29.94783480196606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IF(235918&gt;0,100*25102/235918,"")</f>
        <v>10.640137674954858</v>
      </c>
      <c r="L22" s="1">
        <f>IF(COUNT(J22:K22)=2,K22-J22,"")</f>
        <v>-1.7308662715834853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IF(467120&gt;0,100*51437/467120,"")</f>
        <v>11.011517383113548</v>
      </c>
      <c r="S22" s="1">
        <f>IF(COUNT(Q22:R22)=2,R22-Q22,"")</f>
        <v>-9.685178971189432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IF(306634&gt;0,100*42941/306634,"")</f>
        <v>14.0039917295538</v>
      </c>
      <c r="E23" s="1">
        <f>IF(COUNT(C23:D23)=2,D23-C23,"")</f>
        <v>-0.8644831239285509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IF(381269&gt;0,100*40834/381269,"")</f>
        <v>10.710023631609179</v>
      </c>
      <c r="L23" s="1">
        <f>IF(COUNT(J23:K23)=2,K23-J23,"")</f>
        <v>-31.924461447697634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IF(275116&gt;0,100*24643/275116,"")</f>
        <v>8.957312551796333</v>
      </c>
      <c r="S23" s="1">
        <f>IF(COUNT(Q23:R23)=2,R23-Q23,"")</f>
        <v>-17.732856046671543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IF(181704&gt;0,100*46834/181704,"")</f>
        <v>25.77488662880289</v>
      </c>
      <c r="E24" s="1">
        <f>IF(COUNT(C24:D24)=2,D24-C24,"")</f>
        <v>-17.08333994695785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IF(307488&gt;0,100*79348/307488,"")</f>
        <v>25.805234675824746</v>
      </c>
      <c r="L24" s="1">
        <f>IF(COUNT(J24:K24)=2,K24-J24,"")</f>
        <v>-0.5288440965143266</v>
      </c>
      <c r="O24" s="1">
        <v>22</v>
      </c>
      <c r="P24" s="1">
        <v>21</v>
      </c>
      <c r="Q24" s="1">
        <f>IF(97184&gt;0,100*37074/97184,"")</f>
        <v>38.14825485676655</v>
      </c>
      <c r="R24" s="1">
        <f>IF(195556&gt;0,100*52102/195556,"")</f>
        <v>26.643007629528114</v>
      </c>
      <c r="S24" s="1">
        <f>IF(COUNT(Q24:R24)=2,R24-Q24,"")</f>
        <v>-11.505247227238435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IF(527024&gt;0,100*41603/527024,"")</f>
        <v>7.89394790370078</v>
      </c>
      <c r="L25" s="1">
        <f>IF(COUNT(J25:K25)=2,K25-J25,"")</f>
        <v>-8.611267967923315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IF(438519&gt;0,100*38921/438519,"")</f>
        <v>8.875556133257623</v>
      </c>
      <c r="S25" s="1">
        <f>IF(COUNT(Q25:R25)=2,R25-Q25,"")</f>
        <v>-24.95567157004828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IF(512083&gt;0,100*3854/512083,"")</f>
        <v>0.7526123694791664</v>
      </c>
      <c r="E26" s="1">
        <f>IF(COUNT(C26:D26)=2,D26-C26,"")</f>
        <v>-14.8481955877826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IF(526646&gt;0,100*52453/526646,"")</f>
        <v>9.959821208173992</v>
      </c>
      <c r="L26" s="1">
        <f>IF(COUNT(J26:K26)=2,K26-J26,"")</f>
        <v>-20.011778597838546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IF(467372&gt;0,100*19848/467372,"")</f>
        <v>4.246724236796385</v>
      </c>
      <c r="S26" s="1">
        <f>IF(COUNT(Q26:R26)=2,R26-Q26,"")</f>
        <v>-20.20585842050995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IF(415489&gt;0,100*105822/415489,"")</f>
        <v>25.469266334367457</v>
      </c>
      <c r="E27" s="1">
        <f>IF(COUNT(C27:D27)=2,D27-C27,"")</f>
        <v>-20.060484597413005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IF(460863&gt;0,100*21345/460863,"")</f>
        <v>4.631528241581554</v>
      </c>
      <c r="L27" s="1">
        <f>IF(COUNT(J27:K27)=2,K27-J27,"")</f>
        <v>-14.703123374371588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IF(367931&gt;0,100*32692/367931,"")</f>
        <v>8.885361657484692</v>
      </c>
      <c r="S27" s="1">
        <f>IF(COUNT(Q27:R27)=2,R27-Q27,"")</f>
        <v>3.61957422841871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IF(565962&gt;0,100*138046/565962,"")</f>
        <v>24.391390234680067</v>
      </c>
      <c r="E28" s="1">
        <f>IF(COUNT(C28:D28)=2,D28-C28,"")</f>
        <v>-17.854643893314787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IF(384103&gt;0,100*45013/384103,"")</f>
        <v>11.718992041197284</v>
      </c>
      <c r="L28" s="1">
        <f>IF(COUNT(J28:K28)=2,K28-J28,"")</f>
        <v>-19.750290247981155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IF(552958&gt;0,100*76475/552958,"")</f>
        <v>13.830164316277186</v>
      </c>
      <c r="S28" s="1">
        <f>IF(COUNT(Q28:R28)=2,R28-Q28,"")</f>
        <v>-10.075037878398694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IF(377819&gt;0,100*78629/377819,"")</f>
        <v>20.811287944756618</v>
      </c>
      <c r="E29" s="1">
        <f>IF(COUNT(C29:D29)=2,D29-C29,"")</f>
        <v>-8.80786999900678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IF(433866&gt;0,100*55302/433866,"")</f>
        <v>12.746331816736044</v>
      </c>
      <c r="L29" s="1">
        <f>IF(COUNT(J29:K29)=2,K29-J29,"")</f>
        <v>4.672614571823146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IF(418643&gt;0,100*49557/418643,"")</f>
        <v>11.837532217187437</v>
      </c>
      <c r="S29" s="1">
        <f>IF(COUNT(Q29:R29)=2,R29-Q29,"")</f>
        <v>-32.77869551319091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IF(420503&gt;0,100*68307/420503,"")</f>
        <v>16.244117164443537</v>
      </c>
      <c r="L30" s="1">
        <f>IF(COUNT(J30:K30)=2,K30-J30,"")</f>
        <v>-18.91304818988717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IF(368007&gt;0,100*44661/368007,"")</f>
        <v>12.135910458224979</v>
      </c>
      <c r="S30" s="1">
        <f>IF(COUNT(Q30:R30)=2,R30-Q30,"")</f>
        <v>-10.942718288845606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IF(327147&gt;0,100*86375/327147,"")</f>
        <v>26.402504073092523</v>
      </c>
      <c r="E31" s="1">
        <f>IF(COUNT(C31:D31)=2,D31-C31,"")</f>
        <v>-15.848462278849688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IF(363705&gt;0,100*40999/363705,"")</f>
        <v>11.272597297260143</v>
      </c>
      <c r="L31" s="1">
        <f>IF(COUNT(J31:K31)=2,K31-J31,"")</f>
        <v>-32.19809282946062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IF(357812&gt;0,100*45560/357812,"")</f>
        <v>12.732943556951696</v>
      </c>
      <c r="S31" s="1">
        <f>IF(COUNT(Q31:R31)=2,R31-Q31,"")</f>
        <v>-33.846929168137926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IF(290820&gt;0,100*35192/290820,"")</f>
        <v>12.100955917749811</v>
      </c>
      <c r="E32" s="1">
        <f>IF(COUNT(C32:D32)=2,D32-C32,"")</f>
        <v>-33.67006221358389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IF(276202&gt;0,100*22652/276202,"")</f>
        <v>8.201244017059977</v>
      </c>
      <c r="L32" s="1">
        <f>IF(COUNT(J32:K32)=2,K32-J32,"")</f>
        <v>-16.054086648262533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IF(463913&gt;0,100*66039/463913,"")</f>
        <v>14.235212205736852</v>
      </c>
      <c r="S32" s="1">
        <f>IF(COUNT(Q32:R32)=2,R32-Q32,"")</f>
        <v>-5.07781492477592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IF(252890&gt;0,100*52736/252890,"")</f>
        <v>20.85333544228716</v>
      </c>
      <c r="L33" s="1">
        <f>IF(COUNT(J33:K33)=2,K33-J33,"")</f>
        <v>2.903025837628494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IF(328299&gt;0,100*30651/328299,"")</f>
        <v>9.336306233037567</v>
      </c>
      <c r="S33" s="1">
        <f>IF(COUNT(Q33:R33)=2,R33-Q33,"")</f>
        <v>-16.261998701060726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13.330064668745754</v>
      </c>
      <c r="E34" s="1">
        <f>IF(COUNT(E3:E33)&gt;0,AVERAGE(E3:E33),"")</f>
        <v>-16.955193658912822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11.53438351354269</v>
      </c>
      <c r="L34" s="1">
        <f>IF(COUNT(L3:L33)&gt;0,AVERAGE(L3:L33),"")</f>
        <v>-11.339577109002834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11.073004212027456</v>
      </c>
      <c r="S34" s="1">
        <f>IF(COUNT(S3:S33)&gt;0,AVERAGE(S3:S33),"")</f>
        <v>-13.793115033369201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IF(395818&gt;0,100*38276/395818,"")</f>
        <v>9.670100904961371</v>
      </c>
      <c r="E39" s="1">
        <f>IF(COUNT(C39:D39)=2,D39-C39,"")</f>
        <v>1.6637357026729518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IF(730577&gt;0,100*160176/730577,"")</f>
        <v>21.92458837329946</v>
      </c>
      <c r="L39" s="1">
        <f>IF(COUNT(J39:K39)=2,K39-J39,"")</f>
        <v>-7.676533253058757</v>
      </c>
      <c r="O39" s="1">
        <v>1</v>
      </c>
      <c r="P39" s="1">
        <v>0</v>
      </c>
      <c r="Q39" s="1">
        <f>IF(523211&gt;0,100*80163/523211,"")</f>
        <v>15.321352188696338</v>
      </c>
      <c r="R39" s="1">
        <f>IF(702328&gt;0,100*110959/702328,"")</f>
        <v>15.798743606975657</v>
      </c>
      <c r="S39" s="1">
        <f>IF(COUNT(Q39:R39)=2,R39-Q39,"")</f>
        <v>0.4773914182793195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IF(247969&gt;0,100*64142/247969,"")</f>
        <v>25.86694304530002</v>
      </c>
      <c r="E40" s="1">
        <f>IF(COUNT(C40:D40)=2,D40-C40,"")</f>
        <v>-14.01809964700584</v>
      </c>
      <c r="H40" s="1">
        <v>2</v>
      </c>
      <c r="I40" s="1">
        <v>1</v>
      </c>
      <c r="J40" s="1">
        <f>IF(594344&gt;0,100*221110/594344,"")</f>
        <v>37.20236092229416</v>
      </c>
      <c r="K40" s="1">
        <f>IF(641810&gt;0,100*89007/641810,"")</f>
        <v>13.868122964740344</v>
      </c>
      <c r="L40" s="1">
        <f>IF(COUNT(J40:K40)=2,K40-J40,"")</f>
        <v>-23.334237957553817</v>
      </c>
      <c r="O40" s="1">
        <v>2</v>
      </c>
      <c r="P40" s="1">
        <v>1</v>
      </c>
      <c r="Q40" s="1">
        <f>IF(421884&gt;0,100*204846/421884,"")</f>
        <v>48.555053047757205</v>
      </c>
      <c r="R40" s="1">
        <f>IF(386785&gt;0,100*56015/386785,"")</f>
        <v>14.482205876649818</v>
      </c>
      <c r="S40" s="1">
        <f>IF(COUNT(Q40:R40)=2,R40-Q40,"")</f>
        <v>-34.072847171107384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IF(513075&gt;0,100*104048/513075,"")</f>
        <v>20.279296399161915</v>
      </c>
      <c r="E41" s="1">
        <f>IF(COUNT(C41:D41)=2,D41-C41,"")</f>
        <v>-31.320284692617633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IF(602878&gt;0,100*62978/602878,"")</f>
        <v>10.446226268001155</v>
      </c>
      <c r="L41" s="1">
        <f>IF(COUNT(J41:K41)=2,K41-J41,"")</f>
        <v>-22.36676669916698</v>
      </c>
      <c r="O41" s="1">
        <v>3</v>
      </c>
      <c r="P41" s="1">
        <v>2</v>
      </c>
      <c r="Q41" s="1">
        <f>IF(735676&gt;0,100*303277/735676,"")</f>
        <v>41.22426176740848</v>
      </c>
      <c r="R41" s="1">
        <f>IF(729646&gt;0,100*63069/729646,"")</f>
        <v>8.64378068268722</v>
      </c>
      <c r="S41" s="1">
        <f>IF(COUNT(Q41:R41)=2,R41-Q41,"")</f>
        <v>-32.58048108472126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IF(708703&gt;0,100*161602/708703,"")</f>
        <v>22.80249977776304</v>
      </c>
      <c r="E42" s="1">
        <f>IF(COUNT(C42:D42)=2,D42-C42,"")</f>
        <v>-20.57487005696121</v>
      </c>
      <c r="H42" s="1">
        <v>4</v>
      </c>
      <c r="I42" s="1">
        <v>3</v>
      </c>
      <c r="J42" s="1">
        <f>IF(584626&gt;0,100*38325/584626,"")</f>
        <v>6.555473071673172</v>
      </c>
      <c r="K42" s="1">
        <f>IF(674214&gt;0,100*26844/674214,"")</f>
        <v>3.981525153734571</v>
      </c>
      <c r="L42" s="1">
        <f>IF(COUNT(J42:K42)=2,K42-J42,"")</f>
        <v>-2.5739479179386016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IF(554599&gt;0,100*19247/554599,"")</f>
        <v>3.470435395664255</v>
      </c>
      <c r="S42" s="1">
        <f>IF(COUNT(Q42:R42)=2,R42-Q42,"")</f>
        <v>-2.4218051230275006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IF(682764&gt;0,100*25680/682764,"")</f>
        <v>3.7611824876531275</v>
      </c>
      <c r="E43" s="1">
        <f>IF(COUNT(C43:D43)=2,D43-C43,"")</f>
        <v>-13.320524137460144</v>
      </c>
      <c r="H43" s="1">
        <v>5</v>
      </c>
      <c r="I43" s="1">
        <v>4</v>
      </c>
      <c r="J43" s="1">
        <f>IF(200432&gt;0,100*86329/200432,"")</f>
        <v>43.071465634230066</v>
      </c>
      <c r="K43" s="1">
        <f>IF(707031&gt;0,100*219496/707031,"")</f>
        <v>31.044749098695814</v>
      </c>
      <c r="L43" s="1">
        <f>IF(COUNT(J43:K43)=2,K43-J43,"")</f>
        <v>-12.026716535534252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IF(473632&gt;0,100*89390/473632,"")</f>
        <v>18.87330247956219</v>
      </c>
      <c r="S43" s="1">
        <f>IF(COUNT(Q43:R43)=2,R43-Q43,"")</f>
        <v>-22.502781793521024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IF(666422&gt;0,100*40945/666422,"")</f>
        <v>6.144004849779869</v>
      </c>
      <c r="E44" s="1">
        <f>IF(COUNT(C44:D44)=2,D44-C44,"")</f>
        <v>-41.91073059076662</v>
      </c>
      <c r="H44" s="1">
        <v>6</v>
      </c>
      <c r="I44" s="1">
        <v>5</v>
      </c>
      <c r="J44" s="1">
        <f>IF(458928&gt;0,100*143171/458928,"")</f>
        <v>31.19683261862427</v>
      </c>
      <c r="K44" s="1">
        <f>IF(562840&gt;0,100*116865/562840,"")</f>
        <v>20.763449648212635</v>
      </c>
      <c r="L44" s="1">
        <f>IF(COUNT(J44:K44)=2,K44-J44,"")</f>
        <v>-10.433382970411635</v>
      </c>
      <c r="O44" s="1">
        <v>6</v>
      </c>
      <c r="P44" s="1">
        <v>5</v>
      </c>
      <c r="Q44" s="1">
        <f>IF(652890&gt;0,100*52664/652890,"")</f>
        <v>8.066289880378012</v>
      </c>
      <c r="R44" s="1">
        <f>IF(552982&gt;0,100*67311/552982,"")</f>
        <v>12.172367274160823</v>
      </c>
      <c r="S44" s="1">
        <f>IF(COUNT(Q44:R44)=2,R44-Q44,"")</f>
        <v>4.106077393782812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IF(435067&gt;0,100*47371/435067,"")</f>
        <v>10.88820802313207</v>
      </c>
      <c r="E45" s="1">
        <f>IF(COUNT(C45:D45)=2,D45-C45,"")</f>
        <v>-44.23218081737028</v>
      </c>
      <c r="H45" s="1">
        <v>7</v>
      </c>
      <c r="I45" s="1">
        <v>6</v>
      </c>
      <c r="J45" s="1">
        <f>IF(516628&gt;0,100*1474/516628,"")</f>
        <v>0.28531167493825343</v>
      </c>
      <c r="K45" s="1">
        <f>IF(626093&gt;0,100*6441/626093,"")</f>
        <v>1.0287609029329507</v>
      </c>
      <c r="L45" s="1">
        <f>IF(COUNT(J45:K45)=2,K45-J45,"")</f>
        <v>0.7434492279946974</v>
      </c>
      <c r="O45" s="1">
        <v>7</v>
      </c>
      <c r="P45" s="1">
        <v>6</v>
      </c>
      <c r="Q45" s="1">
        <f>IF(639485&gt;0,100*13388/639485,"")</f>
        <v>2.093559661289944</v>
      </c>
      <c r="R45" s="1">
        <f>IF(577922&gt;0,100*60661/577922,"")</f>
        <v>10.49639916805382</v>
      </c>
      <c r="S45" s="1">
        <f>IF(COUNT(Q45:R45)=2,R45-Q45,"")</f>
        <v>8.402839506763875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IF(398740&gt;0,100*89547/398740,"")</f>
        <v>22.45749109695541</v>
      </c>
      <c r="E46" s="1">
        <f>IF(COUNT(C46:D46)=2,D46-C46,"")</f>
        <v>-21.1799316223742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IF(373271&gt;0,100*4547/373271,"")</f>
        <v>1.2181498160853643</v>
      </c>
      <c r="L46" s="1">
        <f>IF(COUNT(J46:K46)=2,K46-J46,"")</f>
        <v>0.6523142426405232</v>
      </c>
      <c r="O46" s="1">
        <v>8</v>
      </c>
      <c r="P46" s="1">
        <v>7</v>
      </c>
      <c r="Q46" s="1">
        <f>IF(448273&gt;0,100*9937/448273,"")</f>
        <v>2.216729537580894</v>
      </c>
      <c r="R46" s="1">
        <f>IF(415022&gt;0,100*3125/415022,"")</f>
        <v>0.752972131597843</v>
      </c>
      <c r="S46" s="1">
        <f>IF(COUNT(Q46:R46)=2,R46-Q46,"")</f>
        <v>-1.463757405983051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IF(229801&gt;0,100*67295/229801,"")</f>
        <v>29.284032706559152</v>
      </c>
      <c r="E47" s="1">
        <f>IF(COUNT(C47:D47)=2,D47-C47,"")</f>
        <v>-31.323848013852817</v>
      </c>
      <c r="H47" s="1">
        <v>9</v>
      </c>
      <c r="I47" s="1">
        <v>8</v>
      </c>
      <c r="J47" s="1">
        <f>IF(433696&gt;0,100*195875/433696,"")</f>
        <v>45.16412417914853</v>
      </c>
      <c r="K47" s="1">
        <f>IF(554780&gt;0,100*88384/554780,"")</f>
        <v>15.931360178809618</v>
      </c>
      <c r="L47" s="1">
        <f>IF(COUNT(J47:K47)=2,K47-J47,"")</f>
        <v>-29.23276400033891</v>
      </c>
      <c r="O47" s="1">
        <v>9</v>
      </c>
      <c r="P47" s="1">
        <v>8</v>
      </c>
      <c r="Q47" s="1">
        <f>IF(341160&gt;0,100*196686/341160,"")</f>
        <v>57.65212803376715</v>
      </c>
      <c r="R47" s="1">
        <f>IF(549286&gt;0,100*174498/549286,"")</f>
        <v>31.7681499255397</v>
      </c>
      <c r="S47" s="1">
        <f>IF(COUNT(Q47:R47)=2,R47-Q47,"")</f>
        <v>-25.88397810822745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IF(636149&gt;0,100*7381/636149,"")</f>
        <v>1.1602627686281044</v>
      </c>
      <c r="E48" s="1">
        <f>IF(COUNT(C48:D48)=2,D48-C48,"")</f>
        <v>-20.693727402917617</v>
      </c>
      <c r="H48" s="1">
        <v>10</v>
      </c>
      <c r="I48" s="1">
        <v>9</v>
      </c>
      <c r="J48" s="1">
        <f>IF(716304&gt;0,100*319115/716304,"")</f>
        <v>44.550218901472</v>
      </c>
      <c r="K48" s="1">
        <f>IF(776124&gt;0,100*45875/776124,"")</f>
        <v>5.910782297674083</v>
      </c>
      <c r="L48" s="1">
        <f>IF(COUNT(J48:K48)=2,K48-J48,"")</f>
        <v>-38.63943660379792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IF(514674&gt;0,100*11078/514674,"")</f>
        <v>2.15243047055029</v>
      </c>
      <c r="S48" s="1">
        <f>IF(COUNT(Q48:R48)=2,R48-Q48,"")</f>
        <v>-19.806875151249372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IF(578724&gt;0,100*61957/578724,"")</f>
        <v>10.7057941263884</v>
      </c>
      <c r="E49" s="1">
        <f>IF(COUNT(C49:D49)=2,D49-C49,"")</f>
        <v>-35.96335148772458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IF(873534&gt;0,100*36047/873534,"")</f>
        <v>4.126570917674641</v>
      </c>
      <c r="L49" s="1">
        <f>IF(COUNT(J49:K49)=2,K49-J49,"")</f>
        <v>-29.226328889679444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IF(813833&gt;0,100*45425/813833,"")</f>
        <v>5.581611952329286</v>
      </c>
      <c r="S49" s="1">
        <f>IF(COUNT(Q49:R49)=2,R49-Q49,"")</f>
        <v>-39.04610806906457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IF(285778&gt;0,100*62329/285778,"")</f>
        <v>21.810286306153728</v>
      </c>
      <c r="E50" s="1">
        <f>IF(COUNT(C50:D50)=2,D50-C50,"")</f>
        <v>-25.861686601344914</v>
      </c>
      <c r="H50" s="1">
        <v>12</v>
      </c>
      <c r="I50" s="1">
        <v>11</v>
      </c>
      <c r="J50" s="4">
        <f>IF(0&gt;0,100*0/0,"")</f>
        <v/>
      </c>
      <c r="K50" s="1">
        <f>IF(813654&gt;0,100*114349/813654,"")</f>
        <v>14.053762410066195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IF(718328&gt;0,100*75459/718328,"")</f>
        <v>10.504811172611955</v>
      </c>
      <c r="S50" s="1">
        <f>IF(COUNT(Q50:R50)=2,R50-Q50,"")</f>
        <v>-32.01013736129336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IF(460808&gt;0,100*30819/460808,"")</f>
        <v>6.688034929949133</v>
      </c>
      <c r="E51" s="1">
        <f>IF(COUNT(C51:D51)=2,D51-C51,"")</f>
        <v>-40.784080351138726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IF(696939&gt;0,100*16101/696939,"")</f>
        <v>2.310245229496412</v>
      </c>
      <c r="L51" s="1">
        <f>IF(COUNT(J51:K51)=2,K51-J51,"")</f>
        <v>-7.443843990118398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IF(614746&gt;0,100*12242/614746,"")</f>
        <v>1.9913915665982374</v>
      </c>
      <c r="S51" s="1">
        <f>IF(COUNT(Q51:R51)=2,R51-Q51,"")</f>
        <v>-0.15966676409287217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IF(619160&gt;0,100*9559/619160,"")</f>
        <v>1.543865882808967</v>
      </c>
      <c r="E52" s="1">
        <f>IF(COUNT(C52:D52)=2,D52-C52,"")</f>
        <v>1.170114772065892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IF(309606&gt;0,100*20370/309606,"")</f>
        <v>6.57932985794849</v>
      </c>
      <c r="L52" s="1">
        <f>IF(COUNT(J52:K52)=2,K52-J52,"")</f>
        <v>-11.520707106312905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IF(390890&gt;0,100*46533/390890,"")</f>
        <v>11.904372073985009</v>
      </c>
      <c r="S52" s="1">
        <f>IF(COUNT(Q52:R52)=2,R52-Q52,"")</f>
        <v>-0.5366878972504363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IF(541913&gt;0,100*147304/541913,"")</f>
        <v>27.182222976750882</v>
      </c>
      <c r="E53" s="1">
        <f>IF(COUNT(C53:D53)=2,D53-C53,"")</f>
        <v>-13.690715539370604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IF(724946&gt;0,100*151213/724946,"")</f>
        <v>20.858519117285976</v>
      </c>
      <c r="L53" s="1">
        <f>IF(COUNT(J53:K53)=2,K53-J53,"")</f>
        <v>-7.463798714565776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IF(516567&gt;0,100*55692/516567,"")</f>
        <v>10.781176497917986</v>
      </c>
      <c r="S53" s="1">
        <f>IF(COUNT(Q53:R53)=2,R53-Q53,"")</f>
        <v>-43.14636604856287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IF(511414&gt;0,100*112200/511414,"")</f>
        <v>21.93917256860391</v>
      </c>
      <c r="E54" s="1">
        <f>IF(COUNT(C54:D54)=2,D54-C54,"")</f>
        <v>-24.17916063157414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IF(301803&gt;0,100*5343/301803,"")</f>
        <v>1.7703601355851333</v>
      </c>
      <c r="L54" s="1">
        <f>IF(COUNT(J54:K54)=2,K54-J54,"")</f>
        <v>-47.78723878680508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IF(608381&gt;0,100*35672/608381,"")</f>
        <v>5.863430974997575</v>
      </c>
      <c r="S54" s="1">
        <f>IF(COUNT(Q54:R54)=2,R54-Q54,"")</f>
        <v>-45.5943030151502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IF(306700&gt;0,100*2062/306700,"")</f>
        <v>0.6723182262797522</v>
      </c>
      <c r="E55" s="1">
        <f>IF(COUNT(C55:D55)=2,D55-C55,"")</f>
        <v>-1.7675786433629364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IF(591184&gt;0,100*114378/591184,"")</f>
        <v>19.347275974992556</v>
      </c>
      <c r="L55" s="1">
        <f>IF(COUNT(J55:K55)=2,K55-J55,"")</f>
        <v>-23.20080450942084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IF(493182&gt;0,100*84299/493182,"")</f>
        <v>17.092878491104702</v>
      </c>
      <c r="S55" s="1">
        <f>IF(COUNT(Q55:R55)=2,R55-Q55,"")</f>
        <v>-13.363991401027917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IF(391778&gt;0,100*23406/391778,"")</f>
        <v>5.97430177294284</v>
      </c>
      <c r="E56" s="1">
        <f>IF(COUNT(C56:D56)=2,D56-C56,"")</f>
        <v>-3.8289967635062334</v>
      </c>
      <c r="H56" s="1">
        <v>18</v>
      </c>
      <c r="I56" s="1">
        <v>17</v>
      </c>
      <c r="J56" s="4">
        <f>IF(0&gt;0,100*0/0,"")</f>
        <v/>
      </c>
      <c r="K56" s="1">
        <f>IF(725629&gt;0,100*121579/725629,"")</f>
        <v>16.754980851096082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IF(533881&gt;0,100*40845/533881,"")</f>
        <v>7.650581309317994</v>
      </c>
      <c r="S56" s="1">
        <f>IF(COUNT(Q56:R56)=2,R56-Q56,"")</f>
        <v>-41.810237226912314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IF(318438&gt;0,100*59501/318438,"")</f>
        <v>18.685269974060883</v>
      </c>
      <c r="E57" s="1">
        <f>IF(COUNT(C57:D57)=2,D57-C57,"")</f>
        <v>-25.25583340178464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IF(560409&gt;0,100*67534/560409,"")</f>
        <v>12.050841439020429</v>
      </c>
      <c r="L57" s="1">
        <f>IF(COUNT(J57:K57)=2,K57-J57,"")</f>
        <v>-18.516251526512576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IF(570618&gt;0,100*64544/570618,"")</f>
        <v>11.311245001033967</v>
      </c>
      <c r="S57" s="1">
        <f>IF(COUNT(Q57:R57)=2,R57-Q57,"")</f>
        <v>-27.407487034535784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IF(742551&gt;0,100*95237/742551,"")</f>
        <v>12.825651032723679</v>
      </c>
      <c r="E58" s="1">
        <f>IF(COUNT(C58:D58)=2,D58-C58,"")</f>
        <v>-31.581873012423166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IF(692967&gt;0,100*45139/692967,"")</f>
        <v>6.513874398059359</v>
      </c>
      <c r="L58" s="1">
        <f>IF(COUNT(J58:K58)=2,K58-J58,"")</f>
        <v>-41.90722119325182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IF(662994&gt;0,100*89987/662994,"")</f>
        <v>13.572822680144919</v>
      </c>
      <c r="S58" s="1">
        <f>IF(COUNT(Q58:R58)=2,R58-Q58,"")</f>
        <v>-27.853672885056064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IF(447225&gt;0,100*51657/447225,"")</f>
        <v>11.55056179775281</v>
      </c>
      <c r="E59" s="1">
        <f>IF(COUNT(C59:D59)=2,D59-C59,"")</f>
        <v>-13.22029522233839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IF(512889&gt;0,100*14523/512889,"")</f>
        <v>2.831606838906664</v>
      </c>
      <c r="L59" s="1">
        <f>IF(COUNT(J59:K59)=2,K59-J59,"")</f>
        <v>-40.052163646065296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IF(515130&gt;0,100*40467/515130,"")</f>
        <v>7.855686913982878</v>
      </c>
      <c r="S59" s="1">
        <f>IF(COUNT(Q59:R59)=2,R59-Q59,"")</f>
        <v>-39.13235504357233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IF(293234&gt;0,100*73804/293234,"")</f>
        <v>25.16897767653137</v>
      </c>
      <c r="E60" s="1">
        <f>IF(COUNT(C60:D60)=2,D60-C60,"")</f>
        <v>-27.40648977109197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IF(387141&gt;0,100*60284/387141,"")</f>
        <v>15.571587612781906</v>
      </c>
      <c r="L60" s="1">
        <f>IF(COUNT(J60:K60)=2,K60-J60,"")</f>
        <v>-36.723182985083476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IF(178968&gt;0,100*40680/178968,"")</f>
        <v>22.73032050422422</v>
      </c>
      <c r="S60" s="1">
        <f>IF(COUNT(Q60:R60)=2,R60-Q60,"")</f>
        <v>-21.338767999241707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IF(453428&gt;0,100*923/453428,"")</f>
        <v>0.20356043296840953</v>
      </c>
      <c r="E61" s="1">
        <f>IF(COUNT(C61:D61)=2,D61-C61,"")</f>
        <v>-0.2137037246281489</v>
      </c>
      <c r="H61" s="1">
        <v>23</v>
      </c>
      <c r="I61" s="1">
        <v>22</v>
      </c>
      <c r="J61" s="1">
        <f>IF(547933&gt;0,100*307788/547933,"")</f>
        <v>56.1725612438017</v>
      </c>
      <c r="K61" s="1">
        <f>IF(731407&gt;0,100*28004/731407,"")</f>
        <v>3.828784794239049</v>
      </c>
      <c r="L61" s="1">
        <f>IF(COUNT(J61:K61)=2,K61-J61,"")</f>
        <v>-52.343776449562654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IF(719615&gt;0,100*103579/719615,"")</f>
        <v>14.39366883680857</v>
      </c>
      <c r="S61" s="1">
        <f>IF(COUNT(Q61:R61)=2,R61-Q61,"")</f>
        <v>-31.86398776271593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IF(672899&gt;0,100*15531/672899,"")</f>
        <v>2.308072979748818</v>
      </c>
      <c r="E62" s="1">
        <f>IF(COUNT(C62:D62)=2,D62-C62,"")</f>
        <v>-16.350979684907156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IF(711590&gt;0,100*82238/711590,"")</f>
        <v>11.55693587599601</v>
      </c>
      <c r="L62" s="1">
        <f>IF(COUNT(J62:K62)=2,K62-J62,"")</f>
        <v>-36.29768587899626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IF(685068&gt;0,100*78235/685068,"")</f>
        <v>11.420034215581518</v>
      </c>
      <c r="S62" s="1">
        <f>IF(COUNT(Q62:R62)=2,R62-Q62,"")</f>
        <v>-10.177627669710335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IF(360598&gt;0,100*86919/360598,"")</f>
        <v>24.104127033427805</v>
      </c>
      <c r="E63" s="1">
        <f>IF(COUNT(C63:D63)=2,D63-C63,"")</f>
        <v>-22.164619457870618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IF(550695&gt;0,100*9987/550695,"")</f>
        <v>1.8135265437311034</v>
      </c>
      <c r="L63" s="1">
        <f>IF(COUNT(J63:K63)=2,K63-J63,"")</f>
        <v>-38.35332832016626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IF(521213&gt;0,100*34841/521213,"")</f>
        <v>6.684599194571126</v>
      </c>
      <c r="S63" s="1">
        <f>IF(COUNT(Q63:R63)=2,R63-Q63,"")</f>
        <v>-38.066178999292674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IF(527615&gt;0,100*133210/527615,"")</f>
        <v>25.247576357760867</v>
      </c>
      <c r="E64" s="1">
        <f>IF(COUNT(C64:D64)=2,D64-C64,"")</f>
        <v>-25.447182915251215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IF(715918&gt;0,100*83314/715918,"")</f>
        <v>11.637366290552828</v>
      </c>
      <c r="L64" s="1">
        <f>IF(COUNT(J64:K64)=2,K64-J64,"")</f>
        <v>-7.001744374228048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IF(602541&gt;0,100*122344/602541,"")</f>
        <v>20.304676362272442</v>
      </c>
      <c r="S64" s="1">
        <f>IF(COUNT(Q64:R64)=2,R64-Q64,"")</f>
        <v>-25.889192579323133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IF(415468&gt;0,100*108936/415468,"")</f>
        <v>26.22006989707992</v>
      </c>
      <c r="E65" s="1">
        <f>IF(COUNT(C65:D65)=2,D65-C65,"")</f>
        <v>0.5532154713510202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IF(643573&gt;0,100*69945/643573,"")</f>
        <v>10.868230954375028</v>
      </c>
      <c r="L65" s="1">
        <f>IF(COUNT(J65:K65)=2,K65-J65,"")</f>
        <v>-26.325107788426088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IF(688866&gt;0,100*82998/688866,"")</f>
        <v>12.048497095226066</v>
      </c>
      <c r="S65" s="1">
        <f>IF(COUNT(Q65:R65)=2,R65-Q65,"")</f>
        <v>-13.217039144715203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IF(414325&gt;0,100*3484/414325,"")</f>
        <v>0.840885778072769</v>
      </c>
      <c r="E66" s="1">
        <f>IF(COUNT(C66:D66)=2,D66-C66,"")</f>
        <v>0.7375230864340061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IF(646059&gt;0,100*112856/646059,"")</f>
        <v>17.468373631510435</v>
      </c>
      <c r="L66" s="1">
        <f>IF(COUNT(J66:K66)=2,K66-J66,"")</f>
        <v>-22.464556746303582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IF(546812&gt;0,100*75909/546812,"")</f>
        <v>13.882102075301932</v>
      </c>
      <c r="S66" s="1">
        <f>IF(COUNT(Q66:R66)=2,R66-Q66,"")</f>
        <v>-12.18762568922037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IF(529012&gt;0,100*140012/529012,"")</f>
        <v>26.466696407642928</v>
      </c>
      <c r="E67" s="1">
        <f>IF(COUNT(C67:D67)=2,D67-C67,"")</f>
        <v>-14.596610274494388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IF(418786&gt;0,100*42304/418786,"")</f>
        <v>10.101579326911597</v>
      </c>
      <c r="L67" s="1">
        <f>IF(COUNT(J67:K67)=2,K67-J67,"")</f>
        <v>-41.45190981880582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IF(531777&gt;0,100*63414/531777,"")</f>
        <v>11.924923417146662</v>
      </c>
      <c r="S67" s="1">
        <f>IF(COUNT(Q67:R67)=2,R67-Q67,"")</f>
        <v>-33.028862890023106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IF(558608&gt;0,100*67392/558608,"")</f>
        <v>12.064274052645146</v>
      </c>
      <c r="E68" s="1">
        <f>IF(COUNT(C68:D68)=2,D68-C68,"")</f>
        <v>-33.14185397383778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IF(522698&gt;0,100*48414/522698,"")</f>
        <v>9.26232738598579</v>
      </c>
      <c r="L68" s="1">
        <f>IF(COUNT(J68:K68)=2,K68-J68,"")</f>
        <v>-9.169397772536973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IF(557663&gt;0,100*47401/557663,"")</f>
        <v>8.499936341482222</v>
      </c>
      <c r="S68" s="1">
        <f>IF(COUNT(Q68:R68)=2,R68-Q68,"")</f>
        <v>4.640944255840887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IF(41657&gt;0,100*5556/41657,"")</f>
        <v>13.337494298677294</v>
      </c>
      <c r="E69" s="1">
        <f>IF(COUNT(C69:D69)=2,D69-C69,"")</f>
        <v>12.691714662450405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IF(268655&gt;0,100*8728/268655,"")</f>
        <v>3.248776311626435</v>
      </c>
      <c r="L69" s="1">
        <f>IF(COUNT(J69:K69)=2,K69-J69,"")</f>
        <v>-29.011404839092336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IF(428888&gt;0,100*60478/428888,"")</f>
        <v>14.101117308015146</v>
      </c>
      <c r="S69" s="1">
        <f>IF(COUNT(Q69:R69)=2,R69-Q69,"")</f>
        <v>-11.481418981968568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14.446878598995628</v>
      </c>
      <c r="E70" s="1">
        <f>IF(COUNT(E39:E69)&gt;0,AVERAGE(E39:E69),"")</f>
        <v>-18.619771120741994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10.60234098709768</v>
      </c>
      <c r="L70" s="1">
        <f>IF(COUNT(L39:L69)&gt;0,AVERAGE(L39:L69),"")</f>
        <v>-23.143050889762044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11.571311967616001</v>
      </c>
      <c r="S70" s="1">
        <f>IF(COUNT(S39:S69)&gt;0,AVERAGE(S39:S69),"")</f>
        <v>-20.27151573309354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IF(397165&gt;0,100*21062/397165,"")</f>
        <v>5.30308561932698</v>
      </c>
      <c r="E75" s="1">
        <f>IF(COUNT(C75:D75)=2,D75-C75,"")</f>
        <v>1.679217036539435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IF(775026&gt;0,100*81523/775026,"")</f>
        <v>10.518743887301845</v>
      </c>
      <c r="L75" s="1">
        <f>IF(COUNT(J75:K75)=2,K75-J75,"")</f>
        <v>-43.79850137018645</v>
      </c>
      <c r="O75" s="1">
        <v>1</v>
      </c>
      <c r="P75" s="1">
        <v>0</v>
      </c>
      <c r="Q75" s="1">
        <f>IF(517487&gt;0,100*261929/517487,"")</f>
        <v>50.61557101917536</v>
      </c>
      <c r="R75" s="1">
        <f>IF(785350&gt;0,100*97109/785350,"")</f>
        <v>12.365060164257974</v>
      </c>
      <c r="S75" s="1">
        <f>IF(COUNT(Q75:R75)=2,R75-Q75,"")</f>
        <v>-38.25051085491739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IF(377182&gt;0,100*92119/377182,"")</f>
        <v>24.4229576172776</v>
      </c>
      <c r="E76" s="1">
        <f>IF(COUNT(C76:D76)=2,D76-C76,"")</f>
        <v>-18.93646890157078</v>
      </c>
      <c r="H76" s="1">
        <v>2</v>
      </c>
      <c r="I76" s="1">
        <v>1</v>
      </c>
      <c r="J76" s="1">
        <f>IF(591060&gt;0,100*305577/591060,"")</f>
        <v>51.69982742868744</v>
      </c>
      <c r="K76" s="1">
        <f>IF(937392&gt;0,100*248998/937392,"")</f>
        <v>26.562846706607267</v>
      </c>
      <c r="L76" s="1">
        <f>IF(COUNT(J76:K76)=2,K76-J76,"")</f>
        <v>-25.136980722080175</v>
      </c>
      <c r="O76" s="1">
        <v>2</v>
      </c>
      <c r="P76" s="1">
        <v>1</v>
      </c>
      <c r="Q76" s="1">
        <f>IF(548205&gt;0,100*279421/548205,"")</f>
        <v>50.97016626991728</v>
      </c>
      <c r="R76" s="1">
        <f>IF(591256&gt;0,100*164475/591256,"")</f>
        <v>27.817899522372713</v>
      </c>
      <c r="S76" s="1">
        <f>IF(COUNT(Q76:R76)=2,R76-Q76,"")</f>
        <v>-23.152266747544566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IF(78792&gt;0,100*10054/78792,"")</f>
        <v>12.76017869834501</v>
      </c>
      <c r="E77" s="1">
        <f>IF(COUNT(C77:D77)=2,D77-C77,"")</f>
        <v>-34.63517873417761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IF(913533&gt;0,100*115715/913533,"")</f>
        <v>12.666756428065543</v>
      </c>
      <c r="L77" s="1">
        <f>IF(COUNT(J77:K77)=2,K77-J77,"")</f>
        <v>-29.20998204558669</v>
      </c>
      <c r="O77" s="1">
        <v>3</v>
      </c>
      <c r="P77" s="1">
        <v>2</v>
      </c>
      <c r="Q77" s="1">
        <f>IF(871024&gt;0,100*37031/871024,"")</f>
        <v>4.2514327963408585</v>
      </c>
      <c r="R77" s="1">
        <f>IF(822237&gt;0,100*122845/822237,"")</f>
        <v>14.940339585788525</v>
      </c>
      <c r="S77" s="1">
        <f>IF(COUNT(Q77:R77)=2,R77-Q77,"")</f>
        <v>10.688906789447667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IF(927841&gt;0,100*232160/927841,"")</f>
        <v>25.021528473089678</v>
      </c>
      <c r="E78" s="1">
        <f>IF(COUNT(C78:D78)=2,D78-C78,"")</f>
        <v>-24.041900077319244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IF(581248&gt;0,100*4563/581248,"")</f>
        <v>0.7850349592600748</v>
      </c>
      <c r="L78" s="1">
        <f>IF(COUNT(J78:K78)=2,K78-J78,"")</f>
        <v>-42.49617319347527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IF(624945&gt;0,100*50144/624945,"")</f>
        <v>8.023746089655889</v>
      </c>
      <c r="S78" s="1">
        <f>IF(COUNT(Q78:R78)=2,R78-Q78,"")</f>
        <v>-46.74022648086285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IF(567959&gt;0,100*18333/567959,"")</f>
        <v>3.2278738430062734</v>
      </c>
      <c r="E79" s="1">
        <f>IF(COUNT(C79:D79)=2,D79-C79,"")</f>
        <v>-45.6698248502273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IF(612502&gt;0,100*116236/612502,"")</f>
        <v>18.97724415593745</v>
      </c>
      <c r="S79" s="1">
        <f>IF(COUNT(Q79:R79)=2,R79-Q79,"")</f>
        <v>-17.17543119659655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IF(510372&gt;0,100*31900/510372,"")</f>
        <v>6.250342887148982</v>
      </c>
      <c r="E80" s="1">
        <f>IF(COUNT(C80:D80)=2,D80-C80,"")</f>
        <v>-32.60252901580085</v>
      </c>
      <c r="H80" s="1">
        <v>6</v>
      </c>
      <c r="I80" s="1">
        <v>5</v>
      </c>
      <c r="J80" s="1">
        <f>IF(417286&gt;0,100*124193/417286,"")</f>
        <v>29.76208164184756</v>
      </c>
      <c r="K80" s="1">
        <f>IF(527807&gt;0,100*54905/527807,"")</f>
        <v>10.402476662871088</v>
      </c>
      <c r="L80" s="1">
        <f>IF(COUNT(J80:K80)=2,K80-J80,"")</f>
        <v>-19.35960497897647</v>
      </c>
      <c r="O80" s="1">
        <v>6</v>
      </c>
      <c r="P80" s="1">
        <v>5</v>
      </c>
      <c r="Q80" s="1">
        <f>IF(460762&gt;0,100*159245/460762,"")</f>
        <v>34.56122683728259</v>
      </c>
      <c r="R80" s="1">
        <f>IF(618916&gt;0,100*51386/618916,"")</f>
        <v>8.30258064099167</v>
      </c>
      <c r="S80" s="1">
        <f>IF(COUNT(Q80:R80)=2,R80-Q80,"")</f>
        <v>-26.25864619629092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IF(561773&gt;0,100*69850/561773,"")</f>
        <v>12.433847835335625</v>
      </c>
      <c r="E81" s="1">
        <f>IF(COUNT(C81:D81)=2,D81-C81,"")</f>
        <v>-39.38806438492552</v>
      </c>
      <c r="H81" s="1">
        <v>7</v>
      </c>
      <c r="I81" s="1">
        <v>6</v>
      </c>
      <c r="J81" s="1">
        <f>IF(667678&gt;0,100*4575/667678,"")</f>
        <v>0.6852105356174683</v>
      </c>
      <c r="K81" s="1">
        <f>IF(734194&gt;0,100*34882/734194,"")</f>
        <v>4.751060346447941</v>
      </c>
      <c r="L81" s="1">
        <f>IF(COUNT(J81:K81)=2,K81-J81,"")</f>
        <v>4.065849810830473</v>
      </c>
      <c r="O81" s="1">
        <v>7</v>
      </c>
      <c r="P81" s="1">
        <v>6</v>
      </c>
      <c r="Q81" s="1">
        <f>IF(457006&gt;0,100*8837/457006,"")</f>
        <v>1.9336726432475722</v>
      </c>
      <c r="R81" s="1">
        <f>IF(620644&gt;0,100*44438/620644,"")</f>
        <v>7.159982212024929</v>
      </c>
      <c r="S81" s="1">
        <f>IF(COUNT(Q81:R81)=2,R81-Q81,"")</f>
        <v>5.226309568777356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IF(536045&gt;0,100*126037/536045,"")</f>
        <v>23.51239168353403</v>
      </c>
      <c r="E82" s="1">
        <f>IF(COUNT(C82:D82)=2,D82-C82,"")</f>
        <v>-23.878059555038828</v>
      </c>
      <c r="H82" s="1">
        <v>8</v>
      </c>
      <c r="I82" s="1">
        <v>7</v>
      </c>
      <c r="J82" s="1">
        <f>IF(581531&gt;0,100*7536/581531,"")</f>
        <v>1.2958896430284885</v>
      </c>
      <c r="K82" s="1">
        <f>IF(473484&gt;0,100*1360/473484,"")</f>
        <v>0.28723251472066635</v>
      </c>
      <c r="L82" s="1">
        <f>IF(COUNT(J82:K82)=2,K82-J82,"")</f>
        <v>-1.008657128307822</v>
      </c>
      <c r="O82" s="1">
        <v>8</v>
      </c>
      <c r="P82" s="1">
        <v>7</v>
      </c>
      <c r="Q82" s="1">
        <f>IF(579694&gt;0,100*5105/579694,"")</f>
        <v>0.8806370257411669</v>
      </c>
      <c r="R82" s="1">
        <f>IF(469955&gt;0,100*8034/469955,"")</f>
        <v>1.709525380089583</v>
      </c>
      <c r="S82" s="1">
        <f>IF(COUNT(Q82:R82)=2,R82-Q82,"")</f>
        <v>0.8288883543484162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IF(228044&gt;0,100*56135/228044,"")</f>
        <v>24.61586360526916</v>
      </c>
      <c r="E83" s="1">
        <f>IF(COUNT(C83:D83)=2,D83-C83,"")</f>
        <v>-22.412451704918663</v>
      </c>
      <c r="H83" s="1">
        <v>9</v>
      </c>
      <c r="I83" s="1">
        <v>8</v>
      </c>
      <c r="J83" s="1">
        <f>IF(408350&gt;0,100*224416/408350,"")</f>
        <v>54.95677727439696</v>
      </c>
      <c r="K83" s="1">
        <f>IF(425551&gt;0,100*107541/425551,"")</f>
        <v>25.27100159557844</v>
      </c>
      <c r="L83" s="1">
        <f>IF(COUNT(J83:K83)=2,K83-J83,"")</f>
        <v>-29.685775678818523</v>
      </c>
      <c r="O83" s="1">
        <v>9</v>
      </c>
      <c r="P83" s="1">
        <v>8</v>
      </c>
      <c r="Q83" s="1">
        <f>IF(401424&gt;0,100*207750/401424,"")</f>
        <v>51.75325840009566</v>
      </c>
      <c r="R83" s="1">
        <f>IF(633551&gt;0,100*166454/633551,"")</f>
        <v>26.27318084889772</v>
      </c>
      <c r="S83" s="1">
        <f>IF(COUNT(Q83:R83)=2,R83-Q83,"")</f>
        <v>-25.48007755119794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IF(684947&gt;0,100*35394/684947,"")</f>
        <v>5.167407113251098</v>
      </c>
      <c r="E84" s="1">
        <f>IF(COUNT(C84:D84)=2,D84-C84,"")</f>
        <v>4.019393748264495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IF(650646&gt;0,100*77008/650646,"")</f>
        <v>11.835621828152329</v>
      </c>
      <c r="L84" s="1">
        <f>IF(COUNT(J84:K84)=2,K84-J84,"")</f>
        <v>-41.55345044720302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IF(606528&gt;0,100*43939/606528,"")</f>
        <v>7.244348158700011</v>
      </c>
      <c r="S84" s="1">
        <f>IF(COUNT(Q84:R84)=2,R84-Q84,"")</f>
        <v>-8.152660084752892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IF(737062&gt;0,100*210423/737062,"")</f>
        <v>28.548887339192632</v>
      </c>
      <c r="E85" s="1">
        <f>IF(COUNT(C85:D85)=2,D85-C85,"")</f>
        <v>-26.16116022970965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IF(929024&gt;0,100*79084/929024,"")</f>
        <v>8.512589556351612</v>
      </c>
      <c r="L85" s="1">
        <f>IF(COUNT(J85:K85)=2,K85-J85,"")</f>
        <v>-51.27124102264132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IF(738998&gt;0,100*41871/738998,"")</f>
        <v>5.665915198687953</v>
      </c>
      <c r="S85" s="1">
        <f>IF(COUNT(Q85:R85)=2,R85-Q85,"")</f>
        <v>-45.593081454786166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IF(506535&gt;0,100*119095/506535,"")</f>
        <v>23.51170205415223</v>
      </c>
      <c r="E86" s="1">
        <f>IF(COUNT(C86:D86)=2,D86-C86,"")</f>
        <v>-21.74449138743894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IF(925234&gt;0,100*36559/925234,"")</f>
        <v>3.9513247459561582</v>
      </c>
      <c r="L86" s="1">
        <f>IF(COUNT(J86:K86)=2,K86-J86,"")</f>
        <v>-51.843609600409934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IF(992762&gt;0,100*38748/992762,"")</f>
        <v>3.9030502779115235</v>
      </c>
      <c r="S86" s="1">
        <f>IF(COUNT(Q86:R86)=2,R86-Q86,"")</f>
        <v>-49.71516368440144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IF(336379&gt;0,100*29514/336379,"")</f>
        <v>8.774031672607386</v>
      </c>
      <c r="E87" s="1">
        <f>IF(COUNT(C87:D87)=2,D87-C87,"")</f>
        <v>-15.529013905834255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IF(736209&gt;0,100*19041/736209,"")</f>
        <v>2.5863579499843117</v>
      </c>
      <c r="L87" s="1">
        <f>IF(COUNT(J87:K87)=2,K87-J87,"")</f>
        <v>-42.479291629437576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IF(340589&gt;0,100*3305/340589,"")</f>
        <v>0.9703777867165411</v>
      </c>
      <c r="E88" s="1">
        <f>IF(COUNT(C88:D88)=2,D88-C88,"")</f>
        <v>-11.974034637979377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IF(733728&gt;0,100*199008/733728,"")</f>
        <v>27.122857516681933</v>
      </c>
      <c r="E89" s="1">
        <f>IF(COUNT(C89:D89)=2,D89-C89,"")</f>
        <v>-23.892386412360068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IF(877899&gt;0,100*155466/877899,"")</f>
        <v>17.708870838217152</v>
      </c>
      <c r="L89" s="1">
        <f>IF(COUNT(J89:K89)=2,K89-J89,"")</f>
        <v>1.1033883985065067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IF(873590&gt;0,100*142390/873590,"")</f>
        <v>16.299408189196306</v>
      </c>
      <c r="S89" s="1">
        <f>IF(COUNT(Q89:R89)=2,R89-Q89,"")</f>
        <v>-4.25372742071152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IF(589728&gt;0,100*97079/589728,"")</f>
        <v>16.46165689945195</v>
      </c>
      <c r="E90" s="1">
        <f>IF(COUNT(C90:D90)=2,D90-C90,"")</f>
        <v>-25.63324239927815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IF(632960&gt;0,100*39835/632960,"")</f>
        <v>6.293446663296259</v>
      </c>
      <c r="L90" s="1">
        <f>IF(COUNT(J90:K90)=2,K90-J90,"")</f>
        <v>-45.734713012939736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IF(803229&gt;0,100*105648/803229,"")</f>
        <v>13.152911560713072</v>
      </c>
      <c r="S90" s="1">
        <f>IF(COUNT(Q90:R90)=2,R90-Q90,"")</f>
        <v>-44.433058165119505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IF(407035&gt;0,100*8075/407035,"")</f>
        <v>1.9838588819143317</v>
      </c>
      <c r="E91" s="1">
        <f>IF(COUNT(C91:D91)=2,D91-C91,"")</f>
        <v>-2.71167551964707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IF(917001&gt;0,100*256417/917001,"")</f>
        <v>27.9625649263196</v>
      </c>
      <c r="L91" s="1">
        <f>IF(COUNT(J91:K91)=2,K91-J91,"")</f>
        <v>25.57483401743235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IF(460096&gt;0,100*91477/460096,"")</f>
        <v>19.88215502851579</v>
      </c>
      <c r="S91" s="1">
        <f>IF(COUNT(Q91:R91)=2,R91-Q91,"")</f>
        <v>-21.249859922108428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IF(765746&gt;0,100*34665/765746,"")</f>
        <v>4.526958025245969</v>
      </c>
      <c r="S92" s="1">
        <f>IF(COUNT(Q92:R92)=2,R92-Q92,"")</f>
        <v>-46.987369556836484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IF(779731&gt;0,100*180637/779731,"")</f>
        <v>23.166579243354438</v>
      </c>
      <c r="E93" s="1">
        <f>IF(COUNT(C93:D93)=2,D93-C93,"")</f>
        <v>-28.35356973591573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IF(615836&gt;0,100*57355/615836,"")</f>
        <v>9.313356153261582</v>
      </c>
      <c r="L93" s="1">
        <f>IF(COUNT(J93:K93)=2,K93-J93,"")</f>
        <v>-6.429612402284755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IF(426244&gt;0,100*5622/426244,"")</f>
        <v>1.318962847570875</v>
      </c>
      <c r="S93" s="1">
        <f>IF(COUNT(Q93:R93)=2,R93-Q93,"")</f>
        <v>-47.789526353129325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IF(74373&gt;0,100*11636/74373,"")</f>
        <v>15.645462735132373</v>
      </c>
      <c r="E94" s="1">
        <f>IF(COUNT(C94:D94)=2,D94-C94,"")</f>
        <v>-29.91986693963157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IF(424886&gt;0,100*60242/424886,"")</f>
        <v>14.178391380276121</v>
      </c>
      <c r="L94" s="1">
        <f>IF(COUNT(J94:K94)=2,K94-J94,"")</f>
        <v>-7.427944995566445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IF(631885&gt;0,100*78330/631885,"")</f>
        <v>12.396242987252426</v>
      </c>
      <c r="S94" s="1">
        <f>IF(COUNT(Q94:R94)=2,R94-Q94,"")</f>
        <v>-37.78563294125842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IF(590277&gt;0,100*125965/590277,"")</f>
        <v>21.33998105973975</v>
      </c>
      <c r="E95" s="1">
        <f>IF(COUNT(C95:D95)=2,D95-C95,"")</f>
        <v>-27.60954573406285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IF(612879&gt;0,100*33788/612879,"")</f>
        <v>5.512996855823091</v>
      </c>
      <c r="L95" s="1">
        <f>IF(COUNT(J95:K95)=2,K95-J95,"")</f>
        <v>-50.78189510082156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IF(491277&gt;0,100*53575/491277,"")</f>
        <v>10.905253044616376</v>
      </c>
      <c r="S95" s="1">
        <f>IF(COUNT(Q95:R95)=2,R95-Q95,"")</f>
        <v>-43.8004484550591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IF(339200&gt;0,100*81213/339200,"")</f>
        <v>23.94251179245283</v>
      </c>
      <c r="E96" s="1">
        <f>IF(COUNT(C96:D96)=2,D96-C96,"")</f>
        <v>-12.63872436910778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IF(437597&gt;0,100*113245/437597,"")</f>
        <v>25.87883372143776</v>
      </c>
      <c r="L96" s="1">
        <f>IF(COUNT(J96:K96)=2,K96-J96,"")</f>
        <v>-24.002200232952273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IF(285050&gt;0,100*70953/285050,"")</f>
        <v>24.891422557446063</v>
      </c>
      <c r="S96" s="1">
        <f>IF(COUNT(Q96:R96)=2,R96-Q96,"")</f>
        <v>-16.165375413221923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IF(407971&gt;0,100*3111/407971,"")</f>
        <v>0.7625542011564548</v>
      </c>
      <c r="E97" s="1">
        <f>IF(COUNT(C97:D97)=2,D97-C97,"")</f>
        <v>0.5707663262690819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IF(1045543&gt;0,100*237348/1045543,"")</f>
        <v>22.700931477710625</v>
      </c>
      <c r="L97" s="1">
        <f>IF(COUNT(J97:K97)=2,K97-J97,"")</f>
        <v>-31.58983746897121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IF(1035552&gt;0,100*180459/1035552,"")</f>
        <v>17.42635811625104</v>
      </c>
      <c r="S97" s="1">
        <f>IF(COUNT(Q97:R97)=2,R97-Q97,"")</f>
        <v>-26.05694415574973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IF(711842&gt;0,100*37010/711842,"")</f>
        <v>5.199187460138626</v>
      </c>
      <c r="E98" s="1">
        <f>IF(COUNT(C98:D98)=2,D98-C98,"")</f>
        <v>-35.31256026876292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IF(758816&gt;0,100*68451/758816,"")</f>
        <v>9.020763926959896</v>
      </c>
      <c r="L98" s="1">
        <f>IF(COUNT(J98:K98)=2,K98-J98,"")</f>
        <v>-38.35883223228013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IF(907878&gt;0,100*186826/907878,"")</f>
        <v>20.578315588658388</v>
      </c>
      <c r="S98" s="1">
        <f>IF(COUNT(Q98:R98)=2,R98-Q98,"")</f>
        <v>-5.702454426769123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IF(544916&gt;0,100*143279/544916,"")</f>
        <v>26.29377738954261</v>
      </c>
      <c r="E99" s="1">
        <f>IF(COUNT(C99:D99)=2,D99-C99,"")</f>
        <v>-18.396560338136712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IF(674164&gt;0,100*105787/674164,"")</f>
        <v>15.691582463614195</v>
      </c>
      <c r="L99" s="1">
        <f>IF(COUNT(J99:K99)=2,K99-J99,"")</f>
        <v>-35.580569184104554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IF(862732&gt;0,100*120850/862732,"")</f>
        <v>14.007826300635655</v>
      </c>
      <c r="S99" s="1">
        <f>IF(COUNT(Q99:R99)=2,R99-Q99,"")</f>
        <v>-28.56024479709373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IF(513369&gt;0,100*49712/513369,"")</f>
        <v>9.683483030724489</v>
      </c>
      <c r="L100" s="1">
        <f>IF(COUNT(J100:K100)=2,K100-J100,"")</f>
        <v>3.607307070288993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IF(526533&gt;0,100*84751/526533,"")</f>
        <v>16.096047161336518</v>
      </c>
      <c r="S100" s="1">
        <f>IF(COUNT(Q100:R100)=2,R100-Q100,"")</f>
        <v>-43.49191712574405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IF(606932&gt;0,100*146394/606932,"")</f>
        <v>24.120329789828187</v>
      </c>
      <c r="E101" s="1">
        <f>IF(COUNT(C101:D101)=2,D101-C101,"")</f>
        <v>-33.694560532672384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IF(630678&gt;0,100*78762/630678,"")</f>
        <v>12.48846479503011</v>
      </c>
      <c r="L101" s="1">
        <f>IF(COUNT(J101:K101)=2,K101-J101,"")</f>
        <v>-7.341595938418328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IF(759570&gt;0,100*123965/759570,"")</f>
        <v>16.320418131311136</v>
      </c>
      <c r="S101" s="1">
        <f>IF(COUNT(Q101:R101)=2,R101-Q101,"")</f>
        <v>-2.12949602001742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IF(745928&gt;0,100*3133/745928,"")</f>
        <v>0.4200137278664965</v>
      </c>
      <c r="E102" s="1">
        <f>IF(COUNT(C102:D102)=2,D102-C102,"")</f>
        <v>0.19026948975794855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IF(652926&gt;0,100*105751/652926,"")</f>
        <v>16.19647555772017</v>
      </c>
      <c r="L102" s="1">
        <f>IF(COUNT(J102:K102)=2,K102-J102,"")</f>
        <v>-18.45123209407113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IF(626039&gt;0,100*138414/626039,"")</f>
        <v>22.10948519181712</v>
      </c>
      <c r="S102" s="1">
        <f>IF(COUNT(Q102:R102)=2,R102-Q102,"")</f>
        <v>-6.484693561612907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IF(534068&gt;0,100*130678/534068,"")</f>
        <v>24.468419751791906</v>
      </c>
      <c r="E103" s="1">
        <f>IF(COUNT(C103:D103)=2,D103-C103,"")</f>
        <v>-31.67972563079877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IF(632726&gt;0,100*68844/632726,"")</f>
        <v>10.880539127521233</v>
      </c>
      <c r="L103" s="1">
        <f>IF(COUNT(J103:K103)=2,K103-J103,"")</f>
        <v>-45.2992335181987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IF(681937&gt;0,100*113852/681937,"")</f>
        <v>16.695383884435074</v>
      </c>
      <c r="S103" s="1">
        <f>IF(COUNT(Q103:R103)=2,R103-Q103,"")</f>
        <v>-34.47110776118176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IF(591535&gt;0,100*99523/591535,"")</f>
        <v>16.82453278335179</v>
      </c>
      <c r="E104" s="1">
        <f>IF(COUNT(C104:D104)=2,D104-C104,"")</f>
        <v>-35.68329969654661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IF(560982&gt;0,100*19573/560982,"")</f>
        <v>3.4890602550527468</v>
      </c>
      <c r="L104" s="1">
        <f>IF(COUNT(J104:K104)=2,K104-J104,"")</f>
        <v>-24.62211321263162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IF(781194&gt;0,100*24939/781194,"")</f>
        <v>3.19242083272529</v>
      </c>
      <c r="S104" s="1">
        <f>IF(COUNT(Q104:R104)=2,R104-Q104,"")</f>
        <v>1.7893257988124498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IF(400058&gt;0,100*52972/400058,"")</f>
        <v>13.241080043393708</v>
      </c>
      <c r="L105" s="1">
        <f>IF(COUNT(J105:K105)=2,K105-J105,"")</f>
        <v>-4.102519953629489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IF(667324&gt;0,100*84750/667324,"")</f>
        <v>12.69997782186764</v>
      </c>
      <c r="S105" s="1">
        <f>IF(COUNT(Q105:R105)=2,R105-Q105,"")</f>
        <v>-26.793180150311507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15.244089410960267</v>
      </c>
      <c r="E106" s="1">
        <f>IF(COUNT(E75:E105)&gt;0,AVERAGE(E75:E105),"")</f>
        <v>-21.529637372382165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12.160051284715317</v>
      </c>
      <c r="L106" s="1">
        <f>IF(COUNT(L75:L105)&gt;0,AVERAGE(L75:L105),"")</f>
        <v>-23.856195435621594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12.482046759257305</v>
      </c>
      <c r="S106" s="1">
        <f>IF(COUNT(S75:S105)&gt;0,AVERAGE(S75:S105),"")</f>
        <v>-22.70029097975689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IF(304290&gt;0,100*27004/304290,"")</f>
        <v>8.8744289986526</v>
      </c>
      <c r="E3" s="1">
        <f>IF(COUNT(C3:D3)=2,D3-C3,"")</f>
        <v>-6.764543547061715</v>
      </c>
      <c r="H3" s="1">
        <v>1</v>
      </c>
      <c r="I3" s="1">
        <v>0</v>
      </c>
      <c r="J3" s="1">
        <f>IF(215009&gt;0,100*58251/215009,"")</f>
        <v>27.09235427354204</v>
      </c>
      <c r="K3" s="1">
        <f>IF(346034&gt;0,100*59602/346034,"")</f>
        <v>17.224318997555155</v>
      </c>
      <c r="L3" s="1">
        <f>IF(COUNT(J3:K3)=2,K3-J3,"")</f>
        <v>-9.868035275986884</v>
      </c>
      <c r="O3" s="1">
        <v>1</v>
      </c>
      <c r="P3" s="1">
        <v>0</v>
      </c>
      <c r="Q3" s="1">
        <f>IF(558995&gt;0,100*195788/558995,"")</f>
        <v>35.0250002236156</v>
      </c>
      <c r="R3" s="1">
        <f>IF(375972&gt;0,100*95785/375972,"")</f>
        <v>25.476631238496484</v>
      </c>
      <c r="S3" s="1">
        <f>IF(COUNT(Q3:R3)=2,R3-Q3,"")</f>
        <v>-9.548368985119115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IF(143109&gt;0,100*52570/143109,"")</f>
        <v>36.734237539218356</v>
      </c>
      <c r="E4" s="1">
        <f>IF(COUNT(C4:D4)=2,D4-C4,"")</f>
        <v>-11.081328813072773</v>
      </c>
      <c r="H4" s="1">
        <v>2</v>
      </c>
      <c r="I4" s="1">
        <v>1</v>
      </c>
      <c r="J4" s="1">
        <f>IF(296332&gt;0,100*64971/296332,"")</f>
        <v>21.925070529001257</v>
      </c>
      <c r="K4" s="1">
        <f>IF(308407&gt;0,100*64065/308407,"")</f>
        <v>20.772874805046577</v>
      </c>
      <c r="L4" s="1">
        <f>IF(COUNT(J4:K4)=2,K4-J4,"")</f>
        <v>-1.15219572395468</v>
      </c>
      <c r="O4" s="1">
        <v>2</v>
      </c>
      <c r="P4" s="1">
        <v>1</v>
      </c>
      <c r="Q4" s="1">
        <f>IF(348213&gt;0,100*131600/348213,"")</f>
        <v>37.792960056057645</v>
      </c>
      <c r="R4" s="1">
        <f>IF(356227&gt;0,100*91909/356227,"")</f>
        <v>25.800683272183186</v>
      </c>
      <c r="S4" s="1">
        <f>IF(COUNT(Q4:R4)=2,R4-Q4,"")</f>
        <v>-11.992276783874459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IF(424920&gt;0,100*155236/424920,"")</f>
        <v>36.53299444601337</v>
      </c>
      <c r="E5" s="1">
        <f>IF(COUNT(C5:D5)=2,D5-C5,"")</f>
        <v>-5.686778486950779</v>
      </c>
      <c r="H5" s="1">
        <v>3</v>
      </c>
      <c r="I5" s="1">
        <v>2</v>
      </c>
      <c r="J5" s="1">
        <f>IF(328831&gt;0,100*62705/328831,"")</f>
        <v>19.069065872743142</v>
      </c>
      <c r="K5" s="1">
        <f>IF(492414&gt;0,100*123086/492414,"")</f>
        <v>24.996446079924617</v>
      </c>
      <c r="L5" s="1">
        <f>IF(COUNT(J5:K5)=2,K5-J5,"")</f>
        <v>5.927380207181475</v>
      </c>
      <c r="O5" s="1">
        <v>3</v>
      </c>
      <c r="P5" s="1">
        <v>2</v>
      </c>
      <c r="Q5" s="1">
        <f>IF(499604&gt;0,100*190955/499604,"")</f>
        <v>38.221271246827484</v>
      </c>
      <c r="R5" s="1">
        <f>IF(501082&gt;0,100*113228/501082,"")</f>
        <v>22.596700739599505</v>
      </c>
      <c r="S5" s="1">
        <f>IF(COUNT(Q5:R5)=2,R5-Q5,"")</f>
        <v>-15.624570507227979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IF(498813&gt;0,100*131335/498813,"")</f>
        <v>26.329506247832352</v>
      </c>
      <c r="E6" s="1">
        <f>IF(COUNT(C6:D6)=2,D6-C6,"")</f>
        <v>-12.396420875675627</v>
      </c>
      <c r="H6" s="1">
        <v>4</v>
      </c>
      <c r="I6" s="1">
        <v>3</v>
      </c>
      <c r="J6" s="1">
        <f>IF(464767&gt;0,100*69099/464767,"")</f>
        <v>14.867449711360747</v>
      </c>
      <c r="K6" s="1">
        <f>IF(441621&gt;0,100*62027/441621,"")</f>
        <v>14.045301287755791</v>
      </c>
      <c r="L6" s="1">
        <f>IF(COUNT(J6:K6)=2,K6-J6,"")</f>
        <v>-0.8221484236049559</v>
      </c>
      <c r="O6" s="1">
        <v>4</v>
      </c>
      <c r="P6" s="1">
        <v>3</v>
      </c>
      <c r="Q6" s="1">
        <f>IF(332328&gt;0,100*11557/332328,"")</f>
        <v>3.477588406634409</v>
      </c>
      <c r="R6" s="1">
        <f>IF(469477&gt;0,100*24830/469477,"")</f>
        <v>5.288863991207237</v>
      </c>
      <c r="S6" s="1">
        <f>IF(COUNT(Q6:R6)=2,R6-Q6,"")</f>
        <v>1.8112755845728281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IF(509998&gt;0,100*86501/509998,"")</f>
        <v>16.961046906066297</v>
      </c>
      <c r="E7" s="1">
        <f>IF(COUNT(C7:D7)=2,D7-C7,"")</f>
        <v>-18.094874622817446</v>
      </c>
      <c r="H7" s="1">
        <v>5</v>
      </c>
      <c r="I7" s="1">
        <v>4</v>
      </c>
      <c r="J7" s="1">
        <f>IF(411240&gt;0,100*106457/411240,"")</f>
        <v>25.88683007489544</v>
      </c>
      <c r="K7" s="1">
        <f>IF(343785&gt;0,100*84241/343785,"")</f>
        <v>24.50397777680818</v>
      </c>
      <c r="L7" s="1">
        <f>IF(COUNT(J7:K7)=2,K7-J7,"")</f>
        <v>-1.3828522980872577</v>
      </c>
      <c r="O7" s="1">
        <v>5</v>
      </c>
      <c r="P7" s="1">
        <v>4</v>
      </c>
      <c r="Q7" s="1">
        <f>IF(258766&gt;0,100*96546/258766,"")</f>
        <v>37.3101566666409</v>
      </c>
      <c r="R7" s="1">
        <f>IF(361255&gt;0,100*112079/361255,"")</f>
        <v>31.02489930935212</v>
      </c>
      <c r="S7" s="1">
        <f>IF(COUNT(Q7:R7)=2,R7-Q7,"")</f>
        <v>-6.285257357288781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IF(550956&gt;0,100*64185/550956,"")</f>
        <v>11.649750615294144</v>
      </c>
      <c r="E8" s="1">
        <f>IF(COUNT(C8:D8)=2,D8-C8,"")</f>
        <v>-11.840629934822635</v>
      </c>
      <c r="H8" s="1">
        <v>6</v>
      </c>
      <c r="I8" s="1">
        <v>5</v>
      </c>
      <c r="J8" s="1">
        <f>IF(324059&gt;0,100*91696/324059,"")</f>
        <v>28.29608188632317</v>
      </c>
      <c r="K8" s="1">
        <f>IF(370553&gt;0,100*115346/370553,"")</f>
        <v>31.128070748314006</v>
      </c>
      <c r="L8" s="1">
        <f>IF(COUNT(J8:K8)=2,K8-J8,"")</f>
        <v>2.831988861990837</v>
      </c>
      <c r="O8" s="1">
        <v>6</v>
      </c>
      <c r="P8" s="1">
        <v>5</v>
      </c>
      <c r="Q8" s="1">
        <f>IF(371148&gt;0,100*77908/371148,"")</f>
        <v>20.9910871134965</v>
      </c>
      <c r="R8" s="1">
        <f>IF(326825&gt;0,100*66167/326825,"")</f>
        <v>20.245391264438155</v>
      </c>
      <c r="S8" s="1">
        <f>IF(COUNT(Q8:R8)=2,R8-Q8,"")</f>
        <v>-0.7456958490583467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IF(379852&gt;0,100*127632/379852,"")</f>
        <v>33.600454914019146</v>
      </c>
      <c r="E9" s="1">
        <f>IF(COUNT(C9:D9)=2,D9-C9,"")</f>
        <v>-10.864528961532791</v>
      </c>
      <c r="H9" s="1">
        <v>7</v>
      </c>
      <c r="I9" s="1">
        <v>6</v>
      </c>
      <c r="J9" s="1">
        <f>IF(325191&gt;0,100*2956/325191,"")</f>
        <v>0.9090042467349957</v>
      </c>
      <c r="K9" s="1">
        <f>IF(324381&gt;0,100*2907/324381,"")</f>
        <v>0.8961683945730483</v>
      </c>
      <c r="L9" s="1">
        <f>IF(COUNT(J9:K9)=2,K9-J9,"")</f>
        <v>-0.012835852161947381</v>
      </c>
      <c r="O9" s="1">
        <v>7</v>
      </c>
      <c r="P9" s="1">
        <v>6</v>
      </c>
      <c r="Q9" s="1">
        <f>IF(434887&gt;0,100*93317/434887,"")</f>
        <v>21.457757992306046</v>
      </c>
      <c r="R9" s="1">
        <f>IF(542220&gt;0,100*26866/542220,"")</f>
        <v>4.954815388587658</v>
      </c>
      <c r="S9" s="1">
        <f>IF(COUNT(Q9:R9)=2,R9-Q9,"")</f>
        <v>-16.502942603718388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IF(369501&gt;0,100*128580/369501,"")</f>
        <v>34.798282007355866</v>
      </c>
      <c r="E10" s="1">
        <f>IF(COUNT(C10:D10)=2,D10-C10,"")</f>
        <v>-10.729836262637818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IF(191355&gt;0,100*78244/191355,"")</f>
        <v>40.88944631705469</v>
      </c>
      <c r="E11" s="1">
        <f>IF(COUNT(C11:D11)=2,D11-C11,"")</f>
        <v>-5.6593834367658005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IF(427257&gt;0,100*131854/427257,"")</f>
        <v>30.86058274059875</v>
      </c>
      <c r="L11" s="1">
        <f>IF(COUNT(J11:K11)=2,K11-J11,"")</f>
        <v>-3.2698237288124403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IF(209306&gt;0,100*78140/209306,"")</f>
        <v>37.332900155752824</v>
      </c>
      <c r="S11" s="1">
        <f>IF(COUNT(Q11:R11)=2,R11-Q11,"")</f>
        <v>-1.1718931864559394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IF(337098&gt;0,100*4776/337098,"")</f>
        <v>1.4167986757560116</v>
      </c>
      <c r="E12" s="1">
        <f>IF(COUNT(C12:D12)=2,D12-C12,"")</f>
        <v>-29.505789206402813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IF(414964&gt;0,100*37037/414964,"")</f>
        <v>8.925352560704061</v>
      </c>
      <c r="L12" s="1">
        <f>IF(COUNT(J12:K12)=2,K12-J12,"")</f>
        <v>-7.812275710023455</v>
      </c>
      <c r="O12" s="1">
        <v>10</v>
      </c>
      <c r="P12" s="1">
        <v>9</v>
      </c>
      <c r="Q12" s="1">
        <f>IF(412598&gt;0,100*74901/412598,"")</f>
        <v>18.15350534903223</v>
      </c>
      <c r="R12" s="1">
        <f>IF(519348&gt;0,100*130296/519348,"")</f>
        <v>25.08838004574967</v>
      </c>
      <c r="S12" s="1">
        <f>IF(COUNT(Q12:R12)=2,R12-Q12,"")</f>
        <v>6.93487469671744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IF(499996&gt;0,100*169072/499996,"")</f>
        <v>33.81467051736414</v>
      </c>
      <c r="E13" s="1">
        <f>IF(COUNT(C13:D13)=2,D13-C13,"")</f>
        <v>1.3614716310100974</v>
      </c>
      <c r="H13" s="1">
        <v>11</v>
      </c>
      <c r="I13" s="1">
        <v>10</v>
      </c>
      <c r="J13" s="1">
        <f>IF(544111&gt;0,100*28276/544111,"")</f>
        <v>5.196733754693436</v>
      </c>
      <c r="K13" s="1">
        <f>IF(674275&gt;0,100*114778/674275,"")</f>
        <v>17.022431500500538</v>
      </c>
      <c r="L13" s="1">
        <f>IF(COUNT(J13:K13)=2,K13-J13,"")</f>
        <v>11.825697745807101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IF(516664&gt;0,100*4434/516664,"")</f>
        <v>0.8581979777960145</v>
      </c>
      <c r="S13" s="1">
        <f>IF(COUNT(Q13:R13)=2,R13-Q13,"")</f>
        <v>0.13122178906820348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IF(220551&gt;0,100*91072/220551,"")</f>
        <v>41.29294358221001</v>
      </c>
      <c r="E14" s="1">
        <f>IF(COUNT(C14:D14)=2,D14-C14,"")</f>
        <v>-2.6807874526685964</v>
      </c>
      <c r="H14" s="1">
        <v>12</v>
      </c>
      <c r="I14" s="1">
        <v>11</v>
      </c>
      <c r="J14" s="1">
        <f>IF(461148&gt;0,100*18702/461148,"")</f>
        <v>4.05553097920841</v>
      </c>
      <c r="K14" s="1">
        <f>IF(464636&gt;0,100*10411/464636,"")</f>
        <v>2.2406787248512816</v>
      </c>
      <c r="L14" s="1">
        <f>IF(COUNT(J14:K14)=2,K14-J14,"")</f>
        <v>-1.8148522543571288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IF(769030&gt;0,100*201738/769030,"")</f>
        <v>26.232786757343668</v>
      </c>
      <c r="S14" s="1">
        <f>IF(COUNT(Q14:R14)=2,R14-Q14,"")</f>
        <v>-12.013064135763216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IF(529351&gt;0,100*63929/529351,"")</f>
        <v>12.076863933382576</v>
      </c>
      <c r="E15" s="1">
        <f>IF(COUNT(C15:D15)=2,D15-C15,"")</f>
        <v>-19.960450265258608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IF(594520&gt;0,100*162032/594520,"")</f>
        <v>27.25425553387607</v>
      </c>
      <c r="L15" s="1">
        <f>IF(COUNT(J15:K15)=2,K15-J15,"")</f>
        <v>-15.002814844175191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IF(380727&gt;0,100*20717/380727,"")</f>
        <v>5.441431787081032</v>
      </c>
      <c r="S15" s="1">
        <f>IF(COUNT(Q15:R15)=2,R15-Q15,"")</f>
        <v>-2.337834258098204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IF(333805&gt;0,100*28546/333805,"")</f>
        <v>8.551699345426222</v>
      </c>
      <c r="E16" s="1">
        <f>IF(COUNT(C16:D16)=2,D16-C16,"")</f>
        <v>-7.994755961860211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IF(286186&gt;0,100*56692/286186,"")</f>
        <v>19.809494524539986</v>
      </c>
      <c r="L16" s="1">
        <f>IF(COUNT(J16:K16)=2,K16-J16,"")</f>
        <v>2.8563683466637073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IF(283374&gt;0,100*3791/283374,"")</f>
        <v>1.3378079852068292</v>
      </c>
      <c r="S16" s="1">
        <f>IF(COUNT(Q16:R16)=2,R16-Q16,"")</f>
        <v>-0.1326562683902932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IF(268259&gt;0,100*91611/268259,"")</f>
        <v>34.15020558490116</v>
      </c>
      <c r="E17" s="1">
        <f>IF(COUNT(C17:D17)=2,D17-C17,"")</f>
        <v>-7.841146728831809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IF(433854&gt;0,100*111013/433854,"")</f>
        <v>25.587640081686466</v>
      </c>
      <c r="L17" s="1">
        <f>IF(COUNT(J17:K17)=2,K17-J17,"")</f>
        <v>-20.342190308285197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IF(555389&gt;0,100*111542/555389,"")</f>
        <v>20.08358105760107</v>
      </c>
      <c r="S17" s="1">
        <f>IF(COUNT(Q17:R17)=2,R17-Q17,"")</f>
        <v>-12.94695035429653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IF(348796&gt;0,100*128443/348796,"")</f>
        <v>36.82467688849643</v>
      </c>
      <c r="E18" s="1">
        <f>IF(COUNT(C18:D18)=2,D18-C18,"")</f>
        <v>-2.1840543399587915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IF(392571&gt;0,100*63971/392571,"")</f>
        <v>16.295396246793572</v>
      </c>
      <c r="L18" s="1">
        <f>IF(COUNT(J18:K18)=2,K18-J18,"")</f>
        <v>-8.290827139678651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IF(393810&gt;0,100*82370/393810,"")</f>
        <v>20.916177852263782</v>
      </c>
      <c r="S18" s="1">
        <f>IF(COUNT(Q18:R18)=2,R18-Q18,"")</f>
        <v>-11.453902933078975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IF(298154&gt;0,100*10297/298154,"")</f>
        <v>3.453584389275341</v>
      </c>
      <c r="E19" s="1">
        <f>IF(COUNT(C19:D19)=2,D19-C19,"")</f>
        <v>-3.205180627921999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IF(405152&gt;0,100*112474/405152,"")</f>
        <v>27.76093910433615</v>
      </c>
      <c r="L19" s="1">
        <f>IF(COUNT(J19:K19)=2,K19-J19,"")</f>
        <v>-9.915430994089949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IF(364889&gt;0,100*85442/364889,"")</f>
        <v>23.415888119400694</v>
      </c>
      <c r="S19" s="1">
        <f>IF(COUNT(Q19:R19)=2,R19-Q19,"")</f>
        <v>1.242053914680092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IF(521163&gt;0,100*71701/521163,"")</f>
        <v>13.757883809863708</v>
      </c>
      <c r="L20" s="1">
        <f>IF(COUNT(J20:K20)=2,K20-J20,"")</f>
        <v>-8.031226978464952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IF(477902&gt;0,100*58081/477902,"")</f>
        <v>12.153328506681286</v>
      </c>
      <c r="S20" s="1">
        <f>IF(COUNT(Q20:R20)=2,R20-Q20,"")</f>
        <v>-21.2153931298163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IF(413019&gt;0,100*157119/413019,"")</f>
        <v>38.041591306937455</v>
      </c>
      <c r="E21" s="1">
        <f>IF(COUNT(C21:D21)=2,D21-C21,"")</f>
        <v>-1.8072793981934225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IF(309958&gt;0,100*62199/309958,"")</f>
        <v>20.0669122913427</v>
      </c>
      <c r="L21" s="1">
        <f>IF(COUNT(J21:K21)=2,K21-J21,"")</f>
        <v>6.172317596650002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IF(473160&gt;0,100*48863/473160,"")</f>
        <v>10.326950714346099</v>
      </c>
      <c r="S21" s="1">
        <f>IF(COUNT(Q21:R21)=2,R21-Q21,"")</f>
        <v>-7.843274977113387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IF(543510&gt;0,100*100198/543510,"")</f>
        <v>18.435355375246086</v>
      </c>
      <c r="E22" s="1">
        <f>IF(COUNT(C22:D22)=2,D22-C22,"")</f>
        <v>-16.402463672823867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IF(411016&gt;0,100*81735/411016,"")</f>
        <v>19.886087159623955</v>
      </c>
      <c r="L22" s="1">
        <f>IF(COUNT(J22:K22)=2,K22-J22,"")</f>
        <v>7.515083213085612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IF(349519&gt;0,100*93463/349519,"")</f>
        <v>26.740463322451713</v>
      </c>
      <c r="S22" s="1">
        <f>IF(COUNT(Q22:R22)=2,R22-Q22,"")</f>
        <v>6.043766968148734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IF(332786&gt;0,100*57538/332786,"")</f>
        <v>17.28978983490892</v>
      </c>
      <c r="E23" s="1">
        <f>IF(COUNT(C23:D23)=2,D23-C23,"")</f>
        <v>2.421314981426569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IF(336416&gt;0,100*88971/336416,"")</f>
        <v>26.4467207267193</v>
      </c>
      <c r="L23" s="1">
        <f>IF(COUNT(J23:K23)=2,K23-J23,"")</f>
        <v>-16.187764352587514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IF(416302&gt;0,100*121434/416302,"")</f>
        <v>29.16968931208594</v>
      </c>
      <c r="S23" s="1">
        <f>IF(COUNT(Q23:R23)=2,R23-Q23,"")</f>
        <v>2.479520713618065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IF(225609&gt;0,100*84108/225609,"")</f>
        <v>37.28042764251426</v>
      </c>
      <c r="E24" s="1">
        <f>IF(COUNT(C24:D24)=2,D24-C24,"")</f>
        <v>-5.577798933246477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IF(327247&gt;0,100*98246/327247,"")</f>
        <v>30.02197117162266</v>
      </c>
      <c r="L24" s="1">
        <f>IF(COUNT(J24:K24)=2,K24-J24,"")</f>
        <v>3.6878923992835873</v>
      </c>
      <c r="O24" s="1">
        <v>22</v>
      </c>
      <c r="P24" s="1">
        <v>21</v>
      </c>
      <c r="Q24" s="1">
        <f>IF(97184&gt;0,100*37074/97184,"")</f>
        <v>38.14825485676655</v>
      </c>
      <c r="R24" s="1">
        <f>IF(95893&gt;0,100*37131/95893,"")</f>
        <v>38.72128309678496</v>
      </c>
      <c r="S24" s="1">
        <f>IF(COUNT(Q24:R24)=2,R24-Q24,"")</f>
        <v>0.5730282400184095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IF(441858&gt;0,100*63244/441858,"")</f>
        <v>14.313195642038846</v>
      </c>
      <c r="L25" s="1">
        <f>IF(COUNT(J25:K25)=2,K25-J25,"")</f>
        <v>-2.19202022958525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IF(390869&gt;0,100*89666/390869,"")</f>
        <v>22.940166654301056</v>
      </c>
      <c r="S25" s="1">
        <f>IF(COUNT(Q25:R25)=2,R25-Q25,"")</f>
        <v>-10.89106104900485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IF(487382&gt;0,100*66795/487382,"")</f>
        <v>13.704855739440521</v>
      </c>
      <c r="E26" s="1">
        <f>IF(COUNT(C26:D26)=2,D26-C26,"")</f>
        <v>-1.895952217821245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IF(438658&gt;0,100*19948/438658,"")</f>
        <v>4.547506257722417</v>
      </c>
      <c r="L26" s="1">
        <f>IF(COUNT(J26:K26)=2,K26-J26,"")</f>
        <v>-25.42409354829012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IF(583770&gt;0,100*106405/583770,"")</f>
        <v>18.22721277215342</v>
      </c>
      <c r="S26" s="1">
        <f>IF(COUNT(Q26:R26)=2,R26-Q26,"")</f>
        <v>-6.225369885152919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IF(376341&gt;0,100*136941/376341,"")</f>
        <v>36.387478377322694</v>
      </c>
      <c r="E27" s="1">
        <f>IF(COUNT(C27:D27)=2,D27-C27,"")</f>
        <v>-9.142272554457769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IF(440674&gt;0,100*60079/440674,"")</f>
        <v>13.633434239369693</v>
      </c>
      <c r="L27" s="1">
        <f>IF(COUNT(J27:K27)=2,K27-J27,"")</f>
        <v>-5.701217376583449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IF(467453&gt;0,100*34422/467453,"")</f>
        <v>7.363734963728974</v>
      </c>
      <c r="S27" s="1">
        <f>IF(COUNT(Q27:R27)=2,R27-Q27,"")</f>
        <v>2.0979475346629917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IF(453980&gt;0,100*163649/453980,"")</f>
        <v>36.04762324331468</v>
      </c>
      <c r="E28" s="1">
        <f>IF(COUNT(C28:D28)=2,D28-C28,"")</f>
        <v>-6.198410884680172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IF(468352&gt;0,100*110454/468352,"")</f>
        <v>23.583544001093195</v>
      </c>
      <c r="L28" s="1">
        <f>IF(COUNT(J28:K28)=2,K28-J28,"")</f>
        <v>-7.885738288085243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IF(369717&gt;0,100*87488/369717,"")</f>
        <v>23.66350478879792</v>
      </c>
      <c r="S28" s="1">
        <f>IF(COUNT(Q28:R28)=2,R28-Q28,"")</f>
        <v>-0.24169740587796085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IF(242565&gt;0,100*65659/242565,"")</f>
        <v>27.068620782058417</v>
      </c>
      <c r="E29" s="1">
        <f>IF(COUNT(C29:D29)=2,D29-C29,"")</f>
        <v>-2.5505371617049803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IF(563380&gt;0,100*167180/563380,"")</f>
        <v>29.674464837232417</v>
      </c>
      <c r="L29" s="1">
        <f>IF(COUNT(J29:K29)=2,K29-J29,"")</f>
        <v>21.60074759231952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IF(357508&gt;0,100*39868/357508,"")</f>
        <v>11.15163856473142</v>
      </c>
      <c r="S29" s="1">
        <f>IF(COUNT(Q29:R29)=2,R29-Q29,"")</f>
        <v>-33.46458916564693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IF(310086&gt;0,100*86585/310086,"")</f>
        <v>27.92289880871758</v>
      </c>
      <c r="L30" s="1">
        <f>IF(COUNT(J30:K30)=2,K30-J30,"")</f>
        <v>-7.234266545613128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IF(293743&gt;0,100*56916/293743,"")</f>
        <v>19.376121303316165</v>
      </c>
      <c r="S30" s="1">
        <f>IF(COUNT(Q30:R30)=2,R30-Q30,"")</f>
        <v>-3.7025074437544205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IF(352613&gt;0,100*139047/352613,"")</f>
        <v>39.4333164120438</v>
      </c>
      <c r="E31" s="1">
        <f>IF(COUNT(C31:D31)=2,D31-C31,"")</f>
        <v>-2.817649939898409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IF(358248&gt;0,100*119800/358248,"")</f>
        <v>33.44052164980684</v>
      </c>
      <c r="L31" s="1">
        <f>IF(COUNT(J31:K31)=2,K31-J31,"")</f>
        <v>-10.030168476913921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IF(356876&gt;0,100*97263/356876,"")</f>
        <v>27.25400419193221</v>
      </c>
      <c r="S31" s="1">
        <f>IF(COUNT(Q31:R31)=2,R31-Q31,"")</f>
        <v>-19.32586853315741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IF(480013&gt;0,100*163003/480013,"")</f>
        <v>33.958038636453594</v>
      </c>
      <c r="E32" s="1">
        <f>IF(COUNT(C32:D32)=2,D32-C32,"")</f>
        <v>-11.81297949488011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IF(280811&gt;0,100*57724/280811,"")</f>
        <v>20.55617479372247</v>
      </c>
      <c r="L32" s="1">
        <f>IF(COUNT(J32:K32)=2,K32-J32,"")</f>
        <v>-3.6991558716000412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IF(376603&gt;0,100*83116/376603,"")</f>
        <v>22.06992509353351</v>
      </c>
      <c r="S32" s="1">
        <f>IF(COUNT(Q32:R32)=2,R32-Q32,"")</f>
        <v>2.7568979630207373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IF(480160&gt;0,100*15030/480160,"")</f>
        <v>3.130206597800733</v>
      </c>
      <c r="E33" s="1">
        <f>IF(COUNT(C33:D33)=2,D33-C33,"")</f>
        <v>1.677986608763642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IF(353822&gt;0,100*69419/353822,"")</f>
        <v>19.61975230483124</v>
      </c>
      <c r="L33" s="1">
        <f>IF(COUNT(J33:K33)=2,K33-J33,"")</f>
        <v>1.6694427001725742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IF(350911&gt;0,100*72845/350911,"")</f>
        <v>20.758824887222115</v>
      </c>
      <c r="S33" s="1">
        <f>IF(COUNT(Q33:R33)=2,R33-Q33,"")</f>
        <v>-4.839480046876176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23.21315959989258</v>
      </c>
      <c r="E34" s="1">
        <f>IF(COUNT(E3:E33)&gt;0,AVERAGE(E3:E33),"")</f>
        <v>-7.0720987277660115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19.584121411004006</v>
      </c>
      <c r="L34" s="1">
        <f>IF(COUNT(L3:L33)&gt;0,AVERAGE(L3:L33),"")</f>
        <v>-3.2898392115415134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18.91663319848494</v>
      </c>
      <c r="S34" s="1">
        <f>IF(COUNT(S3:S33)&gt;0,AVERAGE(S3:S33),"")</f>
        <v>-5.949486046911712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IF(437678&gt;0,100*42176/437678,"")</f>
        <v>9.63630797069992</v>
      </c>
      <c r="E39" s="1">
        <f>IF(COUNT(C39:D39)=2,D39-C39,"")</f>
        <v>1.6299427684115013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IF(583588&gt;0,100*137942/583588,"")</f>
        <v>23.63688081317642</v>
      </c>
      <c r="L39" s="1">
        <f>IF(COUNT(J39:K39)=2,K39-J39,"")</f>
        <v>-5.964240813181799</v>
      </c>
      <c r="O39" s="1">
        <v>1</v>
      </c>
      <c r="P39" s="1">
        <v>0</v>
      </c>
      <c r="Q39" s="1">
        <f>IF(523211&gt;0,100*80163/523211,"")</f>
        <v>15.321352188696338</v>
      </c>
      <c r="R39" s="1">
        <f>IF(527580&gt;0,100*113450/527580,"")</f>
        <v>21.50384775768604</v>
      </c>
      <c r="S39" s="1">
        <f>IF(COUNT(Q39:R39)=2,R39-Q39,"")</f>
        <v>6.182495568989701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IF(199145&gt;0,100*75878/199145,"")</f>
        <v>38.1018855607723</v>
      </c>
      <c r="E40" s="1">
        <f>IF(COUNT(C40:D40)=2,D40-C40,"")</f>
        <v>-1.7831571315335566</v>
      </c>
      <c r="H40" s="1">
        <v>2</v>
      </c>
      <c r="I40" s="1">
        <v>1</v>
      </c>
      <c r="J40" s="1">
        <f>IF(594344&gt;0,100*221110/594344,"")</f>
        <v>37.20236092229416</v>
      </c>
      <c r="K40" s="1">
        <f>IF(456306&gt;0,100*129198/456306,"")</f>
        <v>28.31389462334486</v>
      </c>
      <c r="L40" s="1">
        <f>IF(COUNT(J40:K40)=2,K40-J40,"")</f>
        <v>-8.8884662989493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IF(363942&gt;0,100*115540/363942,"")</f>
        <v>31.7468168004792</v>
      </c>
      <c r="S40" s="1">
        <f>IF(COUNT(Q40:R40)=2,R40-Q40,"")</f>
        <v>-16.808236247278007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IF(504949&gt;0,100*188105/504949,"")</f>
        <v>37.252276962623945</v>
      </c>
      <c r="E41" s="1">
        <f>IF(COUNT(C41:D41)=2,D41-C41,"")</f>
        <v>-14.347304129155603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IF(930687&gt;0,100*108730/930687,"")</f>
        <v>11.68276767592112</v>
      </c>
      <c r="L41" s="1">
        <f>IF(COUNT(J41:K41)=2,K41-J41,"")</f>
        <v>-21.130225291247015</v>
      </c>
      <c r="O41" s="1">
        <v>3</v>
      </c>
      <c r="P41" s="1">
        <v>2</v>
      </c>
      <c r="Q41" s="1">
        <f>IF(735676&gt;0,100*303277/735676,"")</f>
        <v>41.22426176740848</v>
      </c>
      <c r="R41" s="1">
        <f>IF(824943&gt;0,100*334550/824943,"")</f>
        <v>40.55431708615019</v>
      </c>
      <c r="S41" s="1">
        <f>IF(COUNT(Q41:R41)=2,R41-Q41,"")</f>
        <v>-0.6699446812582863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IF(676087&gt;0,100*299812/676087,"")</f>
        <v>44.345180427962674</v>
      </c>
      <c r="E42" s="1">
        <f>IF(COUNT(C42:D42)=2,D42-C42,"")</f>
        <v>0.9678105932384256</v>
      </c>
      <c r="H42" s="1">
        <v>4</v>
      </c>
      <c r="I42" s="1">
        <v>3</v>
      </c>
      <c r="J42" s="1">
        <f>IF(584626&gt;0,100*38325/584626,"")</f>
        <v>6.555473071673172</v>
      </c>
      <c r="K42" s="1">
        <f>IF(681360&gt;0,100*140810/681360,"")</f>
        <v>20.666020899377717</v>
      </c>
      <c r="L42" s="1">
        <f>IF(COUNT(J42:K42)=2,K42-J42,"")</f>
        <v>14.110547827704544</v>
      </c>
      <c r="O42" s="1">
        <v>4</v>
      </c>
      <c r="P42" s="1">
        <v>3</v>
      </c>
      <c r="Q42" s="1">
        <f>IF(646087&gt;0,100*38069/646087,"")</f>
        <v>5.8922405186917555</v>
      </c>
      <c r="R42" s="1">
        <f>IF(434246&gt;0,100*10952/434246,"")</f>
        <v>2.5220727421783966</v>
      </c>
      <c r="S42" s="1">
        <f>IF(COUNT(Q42:R42)=2,R42-Q42,"")</f>
        <v>-3.370167776513359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IF(469694&gt;0,100*6526/469694,"")</f>
        <v>1.3894152363027843</v>
      </c>
      <c r="E43" s="1">
        <f>IF(COUNT(C43:D43)=2,D43-C43,"")</f>
        <v>-15.692291388810485</v>
      </c>
      <c r="H43" s="1">
        <v>5</v>
      </c>
      <c r="I43" s="1">
        <v>4</v>
      </c>
      <c r="J43" s="1">
        <f>IF(200432&gt;0,100*86329/200432,"")</f>
        <v>43.071465634230066</v>
      </c>
      <c r="K43" s="1">
        <f>IF(540322&gt;0,100*215469/540322,"")</f>
        <v>39.8778876299688</v>
      </c>
      <c r="L43" s="1">
        <f>IF(COUNT(J43:K43)=2,K43-J43,"")</f>
        <v>-3.193578004261269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IF(489323&gt;0,100*161415/489323,"")</f>
        <v>32.98741322194134</v>
      </c>
      <c r="S43" s="1">
        <f>IF(COUNT(Q43:R43)=2,R43-Q43,"")</f>
        <v>-8.388671051141877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IF(728487&gt;0,100*229872/728487,"")</f>
        <v>31.5547154582031</v>
      </c>
      <c r="E44" s="1">
        <f>IF(COUNT(C44:D44)=2,D44-C44,"")</f>
        <v>-16.50001998234339</v>
      </c>
      <c r="H44" s="1">
        <v>6</v>
      </c>
      <c r="I44" s="1">
        <v>5</v>
      </c>
      <c r="J44" s="1">
        <f>IF(458928&gt;0,100*143171/458928,"")</f>
        <v>31.19683261862427</v>
      </c>
      <c r="K44" s="1">
        <f>IF(495278&gt;0,100*112783/495278,"")</f>
        <v>22.771655514680646</v>
      </c>
      <c r="L44" s="1">
        <f>IF(COUNT(J44:K44)=2,K44-J44,"")</f>
        <v>-8.425177103943625</v>
      </c>
      <c r="O44" s="1">
        <v>6</v>
      </c>
      <c r="P44" s="1">
        <v>5</v>
      </c>
      <c r="Q44" s="1">
        <f>IF(652890&gt;0,100*52664/652890,"")</f>
        <v>8.066289880378012</v>
      </c>
      <c r="R44" s="1">
        <f>IF(654796&gt;0,100*41983/654796,"")</f>
        <v>6.41161522061833</v>
      </c>
      <c r="S44" s="1">
        <f>IF(COUNT(Q44:R44)=2,R44-Q44,"")</f>
        <v>-1.6546746597596815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IF(514117&gt;0,100*192028/514117,"")</f>
        <v>37.3510309910001</v>
      </c>
      <c r="E45" s="1">
        <f>IF(COUNT(C45:D45)=2,D45-C45,"")</f>
        <v>-17.769357849502242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IF(516420&gt;0,100*53568/516420,"")</f>
        <v>10.372952248170094</v>
      </c>
      <c r="S45" s="1">
        <f>IF(COUNT(Q45:R45)=2,R45-Q45,"")</f>
        <v>8.27939258688015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IF(401281&gt;0,100*154916/401281,"")</f>
        <v>38.6053663143782</v>
      </c>
      <c r="E46" s="1">
        <f>IF(COUNT(C46:D46)=2,D46-C46,"")</f>
        <v>-5.032056404951405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IF(480559&gt;0,100*26661/480559,"")</f>
        <v>5.547913991830348</v>
      </c>
      <c r="S46" s="1">
        <f>IF(COUNT(Q46:R46)=2,R46-Q46,"")</f>
        <v>3.331184454249454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IF(266342&gt;0,100*127118/266342,"")</f>
        <v>47.727358058436145</v>
      </c>
      <c r="E47" s="1">
        <f>IF(COUNT(C47:D47)=2,D47-C47,"")</f>
        <v>-12.880522661975824</v>
      </c>
      <c r="H47" s="1">
        <v>9</v>
      </c>
      <c r="I47" s="1">
        <v>8</v>
      </c>
      <c r="J47" s="1">
        <f>IF(433696&gt;0,100*195875/433696,"")</f>
        <v>45.16412417914853</v>
      </c>
      <c r="K47" s="1">
        <f>IF(343061&gt;0,100*143620/343061,"")</f>
        <v>41.86427486656892</v>
      </c>
      <c r="L47" s="1">
        <f>IF(COUNT(J47:K47)=2,K47-J47,"")</f>
        <v>-3.2998493125796102</v>
      </c>
      <c r="O47" s="1">
        <v>9</v>
      </c>
      <c r="P47" s="1">
        <v>8</v>
      </c>
      <c r="Q47" s="1">
        <f>IF(341160&gt;0,100*196686/341160,"")</f>
        <v>57.65212803376715</v>
      </c>
      <c r="R47" s="1">
        <f>IF(502027&gt;0,100*206600/502027,"")</f>
        <v>41.15316506881104</v>
      </c>
      <c r="S47" s="1">
        <f>IF(COUNT(Q47:R47)=2,R47-Q47,"")</f>
        <v>-16.498962964956107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IF(473639&gt;0,100*8177/473639,"")</f>
        <v>1.7264203327850958</v>
      </c>
      <c r="E48" s="1">
        <f>IF(COUNT(C48:D48)=2,D48-C48,"")</f>
        <v>-20.127569838760625</v>
      </c>
      <c r="H48" s="1">
        <v>10</v>
      </c>
      <c r="I48" s="1">
        <v>9</v>
      </c>
      <c r="J48" s="1">
        <f>IF(716304&gt;0,100*319115/716304,"")</f>
        <v>44.550218901472</v>
      </c>
      <c r="K48" s="1">
        <f>IF(776730&gt;0,100*149202/776730,"")</f>
        <v>19.208991541462286</v>
      </c>
      <c r="L48" s="1">
        <f>IF(COUNT(J48:K48)=2,K48-J48,"")</f>
        <v>-25.341227360009714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IF(683445&gt;0,100*190455/683445,"")</f>
        <v>27.86690955380462</v>
      </c>
      <c r="S48" s="1">
        <f>IF(COUNT(Q48:R48)=2,R48-Q48,"")</f>
        <v>5.90760393200496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IF(597773&gt;0,100*266235/597773,"")</f>
        <v>44.53780950293841</v>
      </c>
      <c r="E49" s="1">
        <f>IF(COUNT(C49:D49)=2,D49-C49,"")</f>
        <v>-2.1313361111745692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IF(658354&gt;0,100*77501/658354,"")</f>
        <v>11.771934248140058</v>
      </c>
      <c r="L49" s="1">
        <f>IF(COUNT(J49:K49)=2,K49-J49,"")</f>
        <v>-21.58096555921403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IF(952265&gt;0,100*302289/952265,"")</f>
        <v>31.744209857550157</v>
      </c>
      <c r="S49" s="1">
        <f>IF(COUNT(Q49:R49)=2,R49-Q49,"")</f>
        <v>-12.883510163843699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IF(359469&gt;0,100*140974/359469,"")</f>
        <v>39.21728994711644</v>
      </c>
      <c r="E50" s="1">
        <f>IF(COUNT(C50:D50)=2,D50-C50,"")</f>
        <v>-8.4546829603822</v>
      </c>
      <c r="H50" s="1">
        <v>12</v>
      </c>
      <c r="I50" s="1">
        <v>11</v>
      </c>
      <c r="J50" s="4">
        <f>IF(0&gt;0,100*0/0,"")</f>
        <v/>
      </c>
      <c r="K50" s="1">
        <f>IF(982697&gt;0,100*231782/982697,"")</f>
        <v>23.58631399098603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IF(908774&gt;0,100*146917/908774,"")</f>
        <v>16.166505643867453</v>
      </c>
      <c r="S50" s="1">
        <f>IF(COUNT(Q50:R50)=2,R50-Q50,"")</f>
        <v>-26.34844289003786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IF(769291&gt;0,100*332881/769291,"")</f>
        <v>43.27114186959161</v>
      </c>
      <c r="E51" s="1">
        <f>IF(COUNT(C51:D51)=2,D51-C51,"")</f>
        <v>-4.20097341149625</v>
      </c>
      <c r="H51" s="1">
        <v>13</v>
      </c>
      <c r="I51" s="1">
        <v>12</v>
      </c>
      <c r="J51" s="1">
        <f>IF(654587&gt;0,100*63849/654587,"")</f>
        <v>9.75408921961481</v>
      </c>
      <c r="K51" s="1">
        <f>IF(630665&gt;0,100*43307/630665,"")</f>
        <v>6.866878612258489</v>
      </c>
      <c r="L51" s="1">
        <f>IF(COUNT(J51:K51)=2,K51-J51,"")</f>
        <v>-2.8872106073563213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IF(568132&gt;0,100*28109/568132,"")</f>
        <v>4.947617807129329</v>
      </c>
      <c r="S51" s="1">
        <f>IF(COUNT(Q51:R51)=2,R51-Q51,"")</f>
        <v>2.7965594764382193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IF(365584&gt;0,100*91416/365584,"")</f>
        <v>25.005470698936495</v>
      </c>
      <c r="L52" s="1">
        <f>IF(COUNT(J52:K52)=2,K52-J52,"")</f>
        <v>6.9054337346751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IF(353722&gt;0,100*25844/353722,"")</f>
        <v>7.306302689682858</v>
      </c>
      <c r="S52" s="1">
        <f>IF(COUNT(Q52:R52)=2,R52-Q52,"")</f>
        <v>-5.134757281552587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IF(389163&gt;0,100*199506/389163,"")</f>
        <v>51.26540806808458</v>
      </c>
      <c r="E53" s="1">
        <f>IF(COUNT(C53:D53)=2,D53-C53,"")</f>
        <v>10.392469551963096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IF(786442&gt;0,100*192745/786442,"")</f>
        <v>24.508482507292335</v>
      </c>
      <c r="L53" s="1">
        <f>IF(COUNT(J53:K53)=2,K53-J53,"")</f>
        <v>-3.8138353245594168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IF(681290&gt;0,100*190954/681290,"")</f>
        <v>28.028299255823512</v>
      </c>
      <c r="S53" s="1">
        <f>IF(COUNT(Q53:R53)=2,R53-Q53,"")</f>
        <v>-25.89924329065734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IF(442338&gt;0,100*184589/442338,"")</f>
        <v>41.73030578426452</v>
      </c>
      <c r="E54" s="1">
        <f>IF(COUNT(C54:D54)=2,D54-C54,"")</f>
        <v>-4.388027415913527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IF(538413&gt;0,100*84823/538413,"")</f>
        <v>15.754262991421085</v>
      </c>
      <c r="L54" s="1">
        <f>IF(COUNT(J54:K54)=2,K54-J54,"")</f>
        <v>-33.803335930969126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IF(416018&gt;0,100*60178/416018,"")</f>
        <v>14.465239484829983</v>
      </c>
      <c r="S54" s="1">
        <f>IF(COUNT(Q54:R54)=2,R54-Q54,"")</f>
        <v>-36.992494505317794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IF(449725&gt;0,100*12446/449725,"")</f>
        <v>2.767469008838735</v>
      </c>
      <c r="E55" s="1">
        <f>IF(COUNT(C55:D55)=2,D55-C55,"")</f>
        <v>0.3275721391960462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IF(579376&gt;0,100*148244/579376,"")</f>
        <v>25.586838253569358</v>
      </c>
      <c r="L55" s="1">
        <f>IF(COUNT(J55:K55)=2,K55-J55,"")</f>
        <v>-16.96124223084404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IF(636767&gt;0,100*224687/636767,"")</f>
        <v>35.2855911188865</v>
      </c>
      <c r="S55" s="1">
        <f>IF(COUNT(Q55:R55)=2,R55-Q55,"")</f>
        <v>4.828721226753881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IF(412255&gt;0,100*39596/412255,"")</f>
        <v>9.60473493347564</v>
      </c>
      <c r="E56" s="1">
        <f>IF(COUNT(C56:D56)=2,D56-C56,"")</f>
        <v>-0.198563602973433</v>
      </c>
      <c r="H56" s="1">
        <v>18</v>
      </c>
      <c r="I56" s="1">
        <v>17</v>
      </c>
      <c r="J56" s="4">
        <f>IF(0&gt;0,100*0/0,"")</f>
        <v/>
      </c>
      <c r="K56" s="1">
        <f>IF(937556&gt;0,100*358941/937556,"")</f>
        <v>38.284753124080055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IF(676251&gt;0,100*87867/676251,"")</f>
        <v>12.99325250535674</v>
      </c>
      <c r="S56" s="1">
        <f>IF(COUNT(Q56:R56)=2,R56-Q56,"")</f>
        <v>-36.46756603087357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IF(432444&gt;0,100*195180/432444,"")</f>
        <v>45.13416766101507</v>
      </c>
      <c r="E57" s="1">
        <f>IF(COUNT(C57:D57)=2,D57-C57,"")</f>
        <v>1.193064285169548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IF(686612&gt;0,100*138715/686612,"")</f>
        <v>20.202821972234684</v>
      </c>
      <c r="L57" s="1">
        <f>IF(COUNT(J57:K57)=2,K57-J57,"")</f>
        <v>-10.36427099329832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IF(613639&gt;0,100*129315/613639,"")</f>
        <v>21.07346501770585</v>
      </c>
      <c r="S57" s="1">
        <f>IF(COUNT(Q57:R57)=2,R57-Q57,"")</f>
        <v>-17.6452670178639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IF(638400&gt;0,100*229481/638400,"")</f>
        <v>35.94627192982456</v>
      </c>
      <c r="E58" s="1">
        <f>IF(COUNT(C58:D58)=2,D58-C58,"")</f>
        <v>-8.461252115322281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IF(624876&gt;0,100*178248/624876,"")</f>
        <v>28.525339427342384</v>
      </c>
      <c r="L58" s="1">
        <f>IF(COUNT(J58:K58)=2,K58-J58,"")</f>
        <v>-19.895756163968795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IF(520960&gt;0,100*123094/520960,"")</f>
        <v>23.628301597051596</v>
      </c>
      <c r="S58" s="1">
        <f>IF(COUNT(Q58:R58)=2,R58-Q58,"")</f>
        <v>-17.798193968149384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IF(390663&gt;0,100*109154/390663,"")</f>
        <v>27.94070592812731</v>
      </c>
      <c r="E59" s="1">
        <f>IF(COUNT(C59:D59)=2,D59-C59,"")</f>
        <v>3.169848908036112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IF(679289&gt;0,100*154524/679289,"")</f>
        <v>22.74790258638076</v>
      </c>
      <c r="L59" s="1">
        <f>IF(COUNT(J59:K59)=2,K59-J59,"")</f>
        <v>-20.1358678985912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IF(605177&gt;0,100*238235/605177,"")</f>
        <v>39.36616890595644</v>
      </c>
      <c r="S59" s="1">
        <f>IF(COUNT(Q59:R59)=2,R59-Q59,"")</f>
        <v>-7.621873051598769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IF(286323&gt;0,100*119786/286323,"")</f>
        <v>41.83596846917642</v>
      </c>
      <c r="E60" s="1">
        <f>IF(COUNT(C60:D60)=2,D60-C60,"")</f>
        <v>-10.739498978446917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IF(227582&gt;0,100*89681/227582,"")</f>
        <v>39.40601629302844</v>
      </c>
      <c r="L60" s="1">
        <f>IF(COUNT(J60:K60)=2,K60-J60,"")</f>
        <v>-12.888754304836937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IF(248195&gt;0,100*107738/248195,"")</f>
        <v>43.408610165394144</v>
      </c>
      <c r="S60" s="1">
        <f>IF(COUNT(Q60:R60)=2,R60-Q60,"")</f>
        <v>-0.6604783380717834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IF(836628&gt;0,100*312993/836628,"")</f>
        <v>37.41125087852666</v>
      </c>
      <c r="L61" s="1">
        <f>IF(COUNT(J61:K61)=2,K61-J61,"")</f>
        <v>-18.761310365275044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IF(710360&gt;0,100*292612/710360,"")</f>
        <v>41.1920716256546</v>
      </c>
      <c r="S61" s="1">
        <f>IF(COUNT(Q61:R61)=2,R61-Q61,"")</f>
        <v>-5.065584973869903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IF(479270&gt;0,100*11725/479270,"")</f>
        <v>2.4464289440190288</v>
      </c>
      <c r="E62" s="1">
        <f>IF(COUNT(C62:D62)=2,D62-C62,"")</f>
        <v>-16.212623720636945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IF(950931&gt;0,100*328168/950931,"")</f>
        <v>34.51018002357689</v>
      </c>
      <c r="L62" s="1">
        <f>IF(COUNT(J62:K62)=2,K62-J62,"")</f>
        <v>-13.34444173141538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IF(689354&gt;0,100*165853/689354,"")</f>
        <v>24.059191648993114</v>
      </c>
      <c r="S62" s="1">
        <f>IF(COUNT(Q62:R62)=2,R62-Q62,"")</f>
        <v>2.461529763701261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IF(347416&gt;0,100*141603/347416,"")</f>
        <v>40.75891726345361</v>
      </c>
      <c r="E63" s="1">
        <f>IF(COUNT(C63:D63)=2,D63-C63,"")</f>
        <v>-5.509829227844811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IF(433953&gt;0,100*12138/433953,"")</f>
        <v>2.7970771028198906</v>
      </c>
      <c r="L63" s="1">
        <f>IF(COUNT(J63:K63)=2,K63-J63,"")</f>
        <v>-37.36977776107747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IF(643612&gt;0,100*232332/643612,"")</f>
        <v>36.09814608801576</v>
      </c>
      <c r="S63" s="1">
        <f>IF(COUNT(Q63:R63)=2,R63-Q63,"")</f>
        <v>-8.652632105848042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IF(613599&gt;0,100*251048/613599,"")</f>
        <v>40.91401713496926</v>
      </c>
      <c r="E64" s="1">
        <f>IF(COUNT(C64:D64)=2,D64-C64,"")</f>
        <v>-9.780742138042825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IF(593633&gt;0,100*91456/593633,"")</f>
        <v>15.40615161219137</v>
      </c>
      <c r="L64" s="1">
        <f>IF(COUNT(J64:K64)=2,K64-J64,"")</f>
        <v>-3.2329590525895053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IF(513005&gt;0,100*98157/513005,"")</f>
        <v>19.133731640042495</v>
      </c>
      <c r="S64" s="1">
        <f>IF(COUNT(Q64:R64)=2,R64-Q64,"")</f>
        <v>-27.06013730155308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IF(341622&gt;0,100*76413/341622,"")</f>
        <v>22.367704656023324</v>
      </c>
      <c r="E65" s="1">
        <f>IF(COUNT(C65:D65)=2,D65-C65,"")</f>
        <v>-3.2991497697055756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IF(630460&gt;0,100*170832/630460,"")</f>
        <v>27.096405798940456</v>
      </c>
      <c r="L65" s="1">
        <f>IF(COUNT(J65:K65)=2,K65-J65,"")</f>
        <v>-10.096932943860661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IF(849369&gt;0,100*156490/849369,"")</f>
        <v>18.424265543008985</v>
      </c>
      <c r="S65" s="1">
        <f>IF(COUNT(Q65:R65)=2,R65-Q65,"")</f>
        <v>-6.841270696932284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IF(465194&gt;0,100*187326/465194,"")</f>
        <v>40.26836115685069</v>
      </c>
      <c r="L66" s="1">
        <f>IF(COUNT(J66:K66)=2,K66-J66,"")</f>
        <v>0.3354307790366704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IF(398718&gt;0,100*119190/398718,"")</f>
        <v>29.893308052307646</v>
      </c>
      <c r="S66" s="1">
        <f>IF(COUNT(Q66:R66)=2,R66-Q66,"")</f>
        <v>3.8235802877853438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IF(376616&gt;0,100*169672/376616,"")</f>
        <v>45.05172377169318</v>
      </c>
      <c r="E67" s="1">
        <f>IF(COUNT(C67:D67)=2,D67-C67,"")</f>
        <v>3.988417089555867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IF(593537&gt;0,100*256149/593537,"")</f>
        <v>43.15636598897794</v>
      </c>
      <c r="L67" s="1">
        <f>IF(COUNT(J67:K67)=2,K67-J67,"")</f>
        <v>-8.397123156739475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IF(602190&gt;0,100*235202/602190,"")</f>
        <v>39.057772463840315</v>
      </c>
      <c r="S67" s="1">
        <f>IF(COUNT(Q67:R67)=2,R67-Q67,"")</f>
        <v>-5.896013843329449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IF(554306&gt;0,100*173145/554306,"")</f>
        <v>31.236356813745477</v>
      </c>
      <c r="E68" s="1">
        <f>IF(COUNT(C68:D68)=2,D68-C68,"")</f>
        <v>-13.969771212737452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IF(426551&gt;0,100*70834/426551,"")</f>
        <v>16.606220592613777</v>
      </c>
      <c r="L68" s="1">
        <f>IF(COUNT(J68:K68)=2,K68-J68,"")</f>
        <v>-1.825504565908986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IF(695089&gt;0,100*40399/695089,"")</f>
        <v>5.81206147701949</v>
      </c>
      <c r="S68" s="1">
        <f>IF(COUNT(Q68:R68)=2,R68-Q68,"")</f>
        <v>1.953069391378155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IF(551349&gt;0,100*145034/551349,"")</f>
        <v>26.30529845887088</v>
      </c>
      <c r="L69" s="1">
        <f>IF(COUNT(J69:K69)=2,K69-J69,"")</f>
        <v>-5.954882691847892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IF(556771&gt;0,100*161629/556771,"")</f>
        <v>29.02970880308062</v>
      </c>
      <c r="S69" s="1">
        <f>IF(COUNT(Q69:R69)=2,R69-Q69,"")</f>
        <v>3.4471725130969055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27.588920535346027</v>
      </c>
      <c r="E70" s="1">
        <f>IF(COUNT(E39:E69)&gt;0,AVERAGE(E39:E69),"")</f>
        <v>-5.47772918439159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23.69928539135234</v>
      </c>
      <c r="L70" s="1">
        <f>IF(COUNT(L39:L69)&gt;0,AVERAGE(L39:L69),"")</f>
        <v>-10.213983556038231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23.928414357511844</v>
      </c>
      <c r="S70" s="1">
        <f>IF(COUNT(S39:S69)&gt;0,AVERAGE(S39:S69),"")</f>
        <v>-7.914413343197701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IF(560689&gt;0,100*8844/560689,"")</f>
        <v>1.5773450165778176</v>
      </c>
      <c r="E75" s="1">
        <f>IF(COUNT(C75:D75)=2,D75-C75,"")</f>
        <v>-2.0465235662097276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IF(638091&gt;0,100*92948/638091,"")</f>
        <v>14.566574360083436</v>
      </c>
      <c r="L75" s="1">
        <f>IF(COUNT(J75:K75)=2,K75-J75,"")</f>
        <v>-39.75067089740486</v>
      </c>
      <c r="O75" s="1">
        <v>1</v>
      </c>
      <c r="P75" s="1">
        <v>0</v>
      </c>
      <c r="Q75" s="1">
        <f>IF(517487&gt;0,100*261929/517487,"")</f>
        <v>50.61557101917536</v>
      </c>
      <c r="R75" s="1">
        <f>IF(638980&gt;0,100*284811/638980,"")</f>
        <v>44.57275658080065</v>
      </c>
      <c r="S75" s="1">
        <f>IF(COUNT(Q75:R75)=2,R75-Q75,"")</f>
        <v>-6.042814438374712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IF(91037&gt;0,100*33567/91037,"")</f>
        <v>36.87182134736426</v>
      </c>
      <c r="E76" s="1">
        <f>IF(COUNT(C76:D76)=2,D76-C76,"")</f>
        <v>-6.48760517148412</v>
      </c>
      <c r="H76" s="1">
        <v>2</v>
      </c>
      <c r="I76" s="1">
        <v>1</v>
      </c>
      <c r="J76" s="1">
        <f>IF(591060&gt;0,100*305577/591060,"")</f>
        <v>51.69982742868744</v>
      </c>
      <c r="K76" s="1">
        <f>IF(746509&gt;0,100*188742/746509,"")</f>
        <v>25.283285265147505</v>
      </c>
      <c r="L76" s="1">
        <f>IF(COUNT(J76:K76)=2,K76-J76,"")</f>
        <v>-26.416542163539937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IF(548785&gt;0,100*219807/548785,"")</f>
        <v>40.05339067212114</v>
      </c>
      <c r="S76" s="1">
        <f>IF(COUNT(Q76:R76)=2,R76-Q76,"")</f>
        <v>-10.91677559779614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IF(300151&gt;0,100*140029/300151,"")</f>
        <v>46.652851398129606</v>
      </c>
      <c r="E77" s="1">
        <f>IF(COUNT(C77:D77)=2,D77-C77,"")</f>
        <v>-0.7425060343930099</v>
      </c>
      <c r="H77" s="1">
        <v>3</v>
      </c>
      <c r="I77" s="1">
        <v>2</v>
      </c>
      <c r="J77" s="1">
        <f>IF(584205&gt;0,100*244646/584205,"")</f>
        <v>41.87673847365223</v>
      </c>
      <c r="K77" s="1">
        <f>IF(740898&gt;0,100*287596/740898,"")</f>
        <v>38.81721910438414</v>
      </c>
      <c r="L77" s="1">
        <f>IF(COUNT(J77:K77)=2,K77-J77,"")</f>
        <v>-3.059519369268095</v>
      </c>
      <c r="O77" s="1">
        <v>3</v>
      </c>
      <c r="P77" s="1">
        <v>2</v>
      </c>
      <c r="Q77" s="1">
        <f>IF(871024&gt;0,100*37031/871024,"")</f>
        <v>4.2514327963408585</v>
      </c>
      <c r="R77" s="1">
        <f>IF(929013&gt;0,100*13902/929013,"")</f>
        <v>1.496426853014974</v>
      </c>
      <c r="S77" s="1">
        <f>IF(COUNT(Q77:R77)=2,R77-Q77,"")</f>
        <v>-2.7550059433258847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IF(655012&gt;0,100*271462/655012,"")</f>
        <v>41.4438208765641</v>
      </c>
      <c r="E78" s="1">
        <f>IF(COUNT(C78:D78)=2,D78-C78,"")</f>
        <v>-7.6196076738448255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IF(1024716&gt;0,100*390535/1024716,"")</f>
        <v>38.11153529368137</v>
      </c>
      <c r="L78" s="1">
        <f>IF(COUNT(J78:K78)=2,K78-J78,"")</f>
        <v>-5.169672859053975</v>
      </c>
      <c r="O78" s="1">
        <v>4</v>
      </c>
      <c r="P78" s="1">
        <v>3</v>
      </c>
      <c r="Q78" s="1">
        <f>IF(663228&gt;0,100*363210/663228,"")</f>
        <v>54.76397257051874</v>
      </c>
      <c r="R78" s="1">
        <f>IF(839577&gt;0,100*228209/839577,"")</f>
        <v>27.18142588470146</v>
      </c>
      <c r="S78" s="1">
        <f>IF(COUNT(Q78:R78)=2,R78-Q78,"")</f>
        <v>-27.582546685817277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IF(762625&gt;0,100*225268/762625,"")</f>
        <v>29.538501884936895</v>
      </c>
      <c r="E79" s="1">
        <f>IF(COUNT(C79:D79)=2,D79-C79,"")</f>
        <v>-19.359196808296677</v>
      </c>
      <c r="H79" s="1">
        <v>5</v>
      </c>
      <c r="I79" s="1">
        <v>4</v>
      </c>
      <c r="J79" s="1">
        <f>IF(383201&gt;0,100*174388/383201,"")</f>
        <v>45.50823197225477</v>
      </c>
      <c r="K79" s="1">
        <f>IF(643740&gt;0,100*239076/643740,"")</f>
        <v>37.13859632770995</v>
      </c>
      <c r="L79" s="1">
        <f>IF(COUNT(J79:K79)=2,K79-J79,"")</f>
        <v>-8.369635644544822</v>
      </c>
      <c r="O79" s="1">
        <v>5</v>
      </c>
      <c r="P79" s="1">
        <v>4</v>
      </c>
      <c r="Q79" s="1">
        <f>IF(322593&gt;0,100*116626/322593,"")</f>
        <v>36.152675352534</v>
      </c>
      <c r="R79" s="1">
        <f>IF(450162&gt;0,100*151841/450162,"")</f>
        <v>33.73030153589152</v>
      </c>
      <c r="S79" s="1">
        <f>IF(COUNT(Q79:R79)=2,R79-Q79,"")</f>
        <v>-2.4223738166424766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IF(944549&gt;0,100*361273/944549,"")</f>
        <v>38.248200993278274</v>
      </c>
      <c r="E80" s="1">
        <f>IF(COUNT(C80:D80)=2,D80-C80,"")</f>
        <v>-0.6046709096715546</v>
      </c>
      <c r="H80" s="1">
        <v>6</v>
      </c>
      <c r="I80" s="1">
        <v>5</v>
      </c>
      <c r="J80" s="1">
        <f>IF(417286&gt;0,100*124193/417286,"")</f>
        <v>29.76208164184756</v>
      </c>
      <c r="K80" s="1">
        <f>IF(590596&gt;0,100*186260/590596,"")</f>
        <v>31.53763317055991</v>
      </c>
      <c r="L80" s="1">
        <f>IF(COUNT(J80:K80)=2,K80-J80,"")</f>
        <v>1.7755515287123522</v>
      </c>
      <c r="O80" s="1">
        <v>6</v>
      </c>
      <c r="P80" s="1">
        <v>5</v>
      </c>
      <c r="Q80" s="1">
        <f>IF(460762&gt;0,100*159245/460762,"")</f>
        <v>34.56122683728259</v>
      </c>
      <c r="R80" s="1">
        <f>IF(748421&gt;0,100*218583/748421,"")</f>
        <v>29.205888129809292</v>
      </c>
      <c r="S80" s="1">
        <f>IF(COUNT(Q80:R80)=2,R80-Q80,"")</f>
        <v>-5.355338707473297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IF(6640&gt;0,100*833/6640,"")</f>
        <v>12.545180722891565</v>
      </c>
      <c r="E81" s="1">
        <f>IF(COUNT(C81:D81)=2,D81-C81,"")</f>
        <v>-39.27673149736958</v>
      </c>
      <c r="H81" s="1">
        <v>7</v>
      </c>
      <c r="I81" s="1">
        <v>6</v>
      </c>
      <c r="J81" s="1">
        <f>IF(667678&gt;0,100*4575/667678,"")</f>
        <v>0.6852105356174683</v>
      </c>
      <c r="K81" s="1">
        <f>IF(667678&gt;0,100*4575/667678,"")</f>
        <v>0.6852105356174683</v>
      </c>
      <c r="L81" s="1">
        <f>IF(COUNT(J81:K81)=2,K81-J81,"")</f>
        <v>0.0</v>
      </c>
      <c r="O81" s="1">
        <v>7</v>
      </c>
      <c r="P81" s="1">
        <v>6</v>
      </c>
      <c r="Q81" s="1">
        <f>IF(457006&gt;0,100*8837/457006,"")</f>
        <v>1.9336726432475722</v>
      </c>
      <c r="R81" s="1">
        <f>IF(663408&gt;0,100*112859/663408,"")</f>
        <v>17.01200467887032</v>
      </c>
      <c r="S81" s="1">
        <f>IF(COUNT(Q81:R81)=2,R81-Q81,"")</f>
        <v>15.078332035622747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IF(438388&gt;0,100*204734/438388,"")</f>
        <v>46.701552049782386</v>
      </c>
      <c r="E82" s="1">
        <f>IF(COUNT(C82:D82)=2,D82-C82,"")</f>
        <v>-0.6888991887904723</v>
      </c>
      <c r="H82" s="1">
        <v>8</v>
      </c>
      <c r="I82" s="1">
        <v>7</v>
      </c>
      <c r="J82" s="1">
        <f>IF(581531&gt;0,100*7536/581531,"")</f>
        <v>1.2958896430284885</v>
      </c>
      <c r="K82" s="1">
        <f>IF(924035&gt;0,100*11375/924035,"")</f>
        <v>1.2310139767433053</v>
      </c>
      <c r="L82" s="1">
        <f>IF(COUNT(J82:K82)=2,K82-J82,"")</f>
        <v>-0.06487566628518326</v>
      </c>
      <c r="O82" s="1">
        <v>8</v>
      </c>
      <c r="P82" s="1">
        <v>7</v>
      </c>
      <c r="Q82" s="1">
        <f>IF(579694&gt;0,100*5105/579694,"")</f>
        <v>0.8806370257411669</v>
      </c>
      <c r="R82" s="1">
        <f>IF(461742&gt;0,100*6297/461742,"")</f>
        <v>1.363748586873189</v>
      </c>
      <c r="S82" s="1">
        <f>IF(COUNT(Q82:R82)=2,R82-Q82,"")</f>
        <v>0.483111561132022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IF(282447&gt;0,100*134995/282447,"")</f>
        <v>47.794807521411094</v>
      </c>
      <c r="E83" s="1">
        <f>IF(COUNT(C83:D83)=2,D83-C83,"")</f>
        <v>0.766492211223273</v>
      </c>
      <c r="H83" s="1">
        <v>9</v>
      </c>
      <c r="I83" s="1">
        <v>8</v>
      </c>
      <c r="J83" s="1">
        <f>IF(408350&gt;0,100*224416/408350,"")</f>
        <v>54.95677727439696</v>
      </c>
      <c r="K83" s="1">
        <f>IF(505581&gt;0,100*244412/505581,"")</f>
        <v>48.34279769216011</v>
      </c>
      <c r="L83" s="1">
        <f>IF(COUNT(J83:K83)=2,K83-J83,"")</f>
        <v>-6.613979582236851</v>
      </c>
      <c r="O83" s="1">
        <v>9</v>
      </c>
      <c r="P83" s="1">
        <v>8</v>
      </c>
      <c r="Q83" s="1">
        <f>IF(401424&gt;0,100*207750/401424,"")</f>
        <v>51.75325840009566</v>
      </c>
      <c r="R83" s="1">
        <f>IF(434802&gt;0,100*191592/434802,"")</f>
        <v>44.064194736914736</v>
      </c>
      <c r="S83" s="1">
        <f>IF(COUNT(Q83:R83)=2,R83-Q83,"")</f>
        <v>-7.689063663180924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IF(795108&gt;0,100*99875/795108,"")</f>
        <v>12.56118665640391</v>
      </c>
      <c r="L84" s="1">
        <f>IF(COUNT(J84:K84)=2,K84-J84,"")</f>
        <v>-40.827885618951434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IF(809573&gt;0,100*43428/809573,"")</f>
        <v>5.364309333438738</v>
      </c>
      <c r="S84" s="1">
        <f>IF(COUNT(Q84:R84)=2,R84-Q84,"")</f>
        <v>-10.032698910014165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IF(687649&gt;0,100*278839/687649,"")</f>
        <v>40.54961179322591</v>
      </c>
      <c r="E85" s="1">
        <f>IF(COUNT(C85:D85)=2,D85-C85,"")</f>
        <v>-14.160435775676376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IF(991490&gt;0,100*388546/991490,"")</f>
        <v>39.18809065144379</v>
      </c>
      <c r="L85" s="1">
        <f>IF(COUNT(J85:K85)=2,K85-J85,"")</f>
        <v>-20.595739927549147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IF(1080994&gt;0,100*435542/1080994,"")</f>
        <v>40.29088043041867</v>
      </c>
      <c r="S85" s="1">
        <f>IF(COUNT(Q85:R85)=2,R85-Q85,"")</f>
        <v>-10.968116223055453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IF(243114&gt;0,100*97131/243114,"")</f>
        <v>39.952861620474344</v>
      </c>
      <c r="E86" s="1">
        <f>IF(COUNT(C86:D86)=2,D86-C86,"")</f>
        <v>-5.303331821116828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IF(924697&gt;0,100*336971/924697,"")</f>
        <v>36.44123426376424</v>
      </c>
      <c r="L86" s="1">
        <f>IF(COUNT(J86:K86)=2,K86-J86,"")</f>
        <v>-19.353700082601854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IF(977821&gt;0,100*345330/977821,"")</f>
        <v>35.31627976899657</v>
      </c>
      <c r="S86" s="1">
        <f>IF(COUNT(Q86:R86)=2,R86-Q86,"")</f>
        <v>-18.30193419331639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IF(768711&gt;0,100*108750/768711,"")</f>
        <v>14.147059167879735</v>
      </c>
      <c r="E87" s="1">
        <f>IF(COUNT(C87:D87)=2,D87-C87,"")</f>
        <v>-10.155986410561905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IF(783235&gt;0,100*278500/783235,"")</f>
        <v>35.55765510989677</v>
      </c>
      <c r="L87" s="1">
        <f>IF(COUNT(J87:K87)=2,K87-J87,"")</f>
        <v>-9.507994469525116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IF(103755&gt;0,100*36533/103755,"")</f>
        <v>35.21083321285721</v>
      </c>
      <c r="E88" s="1">
        <f>IF(COUNT(C88:D88)=2,D88-C88,"")</f>
        <v>22.26642078816129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IF(424601&gt;0,100*69745/424601,"")</f>
        <v>16.426009359375037</v>
      </c>
      <c r="L88" s="1">
        <f>IF(COUNT(J88:K88)=2,K88-J88,"")</f>
        <v>-7.382270285206488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IF(510164&gt;0,100*38926/510164,"")</f>
        <v>7.630095420296218</v>
      </c>
      <c r="S88" s="1">
        <f>IF(COUNT(Q88:R88)=2,R88-Q88,"")</f>
        <v>1.5587338203649006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IF(460752&gt;0,100*200630/460752,"")</f>
        <v>43.54403236448241</v>
      </c>
      <c r="E89" s="1">
        <f>IF(COUNT(C89:D89)=2,D89-C89,"")</f>
        <v>-7.471211564559589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IF(815709&gt;0,100*287155/815709,"")</f>
        <v>35.20311777852151</v>
      </c>
      <c r="L89" s="1">
        <f>IF(COUNT(J89:K89)=2,K89-J89,"")</f>
        <v>18.597635338810864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IF(821613&gt;0,100*148563/821613,"")</f>
        <v>18.081870661734904</v>
      </c>
      <c r="S89" s="1">
        <f>IF(COUNT(Q89:R89)=2,R89-Q89,"")</f>
        <v>-2.471264948172923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IF(486078&gt;0,100*213304/486078,"")</f>
        <v>43.882669036656665</v>
      </c>
      <c r="E90" s="1">
        <f>IF(COUNT(C90:D90)=2,D90-C90,"")</f>
        <v>1.787769737926567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IF(674142&gt;0,100*115146/674142,"")</f>
        <v>17.080377724574348</v>
      </c>
      <c r="L90" s="1">
        <f>IF(COUNT(J90:K90)=2,K90-J90,"")</f>
        <v>-34.947781951661646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IF(854849&gt;0,100*306572/854849,"")</f>
        <v>35.862707916836776</v>
      </c>
      <c r="S90" s="1">
        <f>IF(COUNT(Q90:R90)=2,R90-Q90,"")</f>
        <v>-21.7232618089958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IF(388573&gt;0,100*13564/388573,"")</f>
        <v>3.490721177230533</v>
      </c>
      <c r="E91" s="1">
        <f>IF(COUNT(C91:D91)=2,D91-C91,"")</f>
        <v>-1.2048132243308682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IF(494978&gt;0,100*167363/494978,"")</f>
        <v>33.812209835588654</v>
      </c>
      <c r="S91" s="1">
        <f>IF(COUNT(Q91:R91)=2,R91-Q91,"")</f>
        <v>-7.319805115035564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IF(448946&gt;0,100*30873/448946,"")</f>
        <v>6.876773598606514</v>
      </c>
      <c r="E92" s="1">
        <f>IF(COUNT(C92:D92)=2,D92-C92,"")</f>
        <v>-11.137149449113144</v>
      </c>
      <c r="H92" s="1">
        <v>18</v>
      </c>
      <c r="I92" s="1">
        <v>17</v>
      </c>
      <c r="J92" s="4"/>
      <c r="K92" s="1">
        <f>IF(1059685&gt;0,100*376648/1059685,"")</f>
        <v>35.54339261195544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IF(1041582&gt;0,100*397246/1041582,"")</f>
        <v>38.138715914829554</v>
      </c>
      <c r="S92" s="1">
        <f>IF(COUNT(Q92:R92)=2,R92-Q92,"")</f>
        <v>-13.375611667252898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IF(492197&gt;0,100*249481/492197,"")</f>
        <v>50.68722483070803</v>
      </c>
      <c r="E93" s="1">
        <f>IF(COUNT(C93:D93)=2,D93-C93,"")</f>
        <v>-0.8329241485621353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IF(686520&gt;0,100*132723/686520,"")</f>
        <v>19.332721552176192</v>
      </c>
      <c r="L93" s="1">
        <f>IF(COUNT(J93:K93)=2,K93-J93,"")</f>
        <v>3.589752996629855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IF(726383&gt;0,100*154065/726383,"")</f>
        <v>21.20988514323711</v>
      </c>
      <c r="S93" s="1">
        <f>IF(COUNT(Q93:R93)=2,R93-Q93,"")</f>
        <v>-27.89860405746309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IF(703969&gt;0,100*300449/703969,"")</f>
        <v>42.67929411664434</v>
      </c>
      <c r="E94" s="1">
        <f>IF(COUNT(C94:D94)=2,D94-C94,"")</f>
        <v>-2.8860355581196018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IF(348211&gt;0,100*60777/348211,"")</f>
        <v>17.454072387144578</v>
      </c>
      <c r="L94" s="1">
        <f>IF(COUNT(J94:K94)=2,K94-J94,"")</f>
        <v>-4.152263988697989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IF(820548&gt;0,100*257189/820548,"")</f>
        <v>31.343565519628346</v>
      </c>
      <c r="S94" s="1">
        <f>IF(COUNT(Q94:R94)=2,R94-Q94,"")</f>
        <v>-18.838310408882503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IF(514293&gt;0,100*218954/514293,"")</f>
        <v>42.57378576025729</v>
      </c>
      <c r="E95" s="1">
        <f>IF(COUNT(C95:D95)=2,D95-C95,"")</f>
        <v>-6.37574103354531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IF(802087&gt;0,100*196033/802087,"")</f>
        <v>24.440366194689602</v>
      </c>
      <c r="L95" s="1">
        <f>IF(COUNT(J95:K95)=2,K95-J95,"")</f>
        <v>-31.854525761955045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IF(634592&gt;0,100*302116/634592,"")</f>
        <v>47.60791185517624</v>
      </c>
      <c r="S95" s="1">
        <f>IF(COUNT(Q95:R95)=2,R95-Q95,"")</f>
        <v>-7.09778964449923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IF(273855&gt;0,100*144416/273855,"")</f>
        <v>52.73447627394059</v>
      </c>
      <c r="E96" s="1">
        <f>IF(COUNT(C96:D96)=2,D96-C96,"")</f>
        <v>16.153240112379976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IF(413670&gt;0,100*166211/413670,"")</f>
        <v>40.17961176783427</v>
      </c>
      <c r="L96" s="1">
        <f>IF(COUNT(J96:K96)=2,K96-J96,"")</f>
        <v>-9.701422186555767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IF(179990&gt;0,100*84732/179990,"")</f>
        <v>47.07594866381466</v>
      </c>
      <c r="S96" s="1">
        <f>IF(COUNT(Q96:R96)=2,R96-Q96,"")</f>
        <v>6.0191506931466705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IF(778186&gt;0,100*299671/778186,"")</f>
        <v>38.508916891334465</v>
      </c>
      <c r="L97" s="1">
        <f>IF(COUNT(J97:K97)=2,K97-J97,"")</f>
        <v>-15.781852055347372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IF(810936&gt;0,100*310086/810936,"")</f>
        <v>38.23803604723431</v>
      </c>
      <c r="S97" s="1">
        <f>IF(COUNT(Q97:R97)=2,R97-Q97,"")</f>
        <v>-5.2452662247664605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IF(805165&gt;0,100*151925/805165,"")</f>
        <v>18.868803288766898</v>
      </c>
      <c r="E98" s="1">
        <f>IF(COUNT(C98:D98)=2,D98-C98,"")</f>
        <v>-21.64294444013465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IF(1029605&gt;0,100*415205/1029605,"")</f>
        <v>40.326630115432614</v>
      </c>
      <c r="L98" s="1">
        <f>IF(COUNT(J98:K98)=2,K98-J98,"")</f>
        <v>-7.052966043807409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IF(997044&gt;0,100*258805/997044,"")</f>
        <v>25.957229570610725</v>
      </c>
      <c r="S98" s="1">
        <f>IF(COUNT(Q98:R98)=2,R98-Q98,"")</f>
        <v>-0.32354044481678557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IF(358849&gt;0,100*151915/358849,"")</f>
        <v>42.333962195798236</v>
      </c>
      <c r="E99" s="1">
        <f>IF(COUNT(C99:D99)=2,D99-C99,"")</f>
        <v>-2.356375531881085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IF(707875&gt;0,100*158944/707875,"")</f>
        <v>22.453681794102067</v>
      </c>
      <c r="L99" s="1">
        <f>IF(COUNT(J99:K99)=2,K99-J99,"")</f>
        <v>-28.818469853616683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IF(846289&gt;0,100*204568/846289,"")</f>
        <v>24.172357197127695</v>
      </c>
      <c r="S99" s="1">
        <f>IF(COUNT(Q99:R99)=2,R99-Q99,"")</f>
        <v>-18.39571390060169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IF(621132&gt;0,100*295403/621132,"")</f>
        <v>47.55881197555431</v>
      </c>
      <c r="E100" s="1">
        <f>IF(COUNT(C100:D100)=2,D100-C100,"")</f>
        <v>-3.633641425290975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IF(527139&gt;0,100*78948/527139,"")</f>
        <v>14.976694951426474</v>
      </c>
      <c r="L100" s="1">
        <f>IF(COUNT(J100:K100)=2,K100-J100,"")</f>
        <v>8.900518990990978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IF(522583&gt;0,100*98876/522583,"")</f>
        <v>18.920630789750145</v>
      </c>
      <c r="S100" s="1">
        <f>IF(COUNT(Q100:R100)=2,R100-Q100,"")</f>
        <v>-40.66733349733043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IF(423569&gt;0,100*204384/423569,"")</f>
        <v>48.25282303473578</v>
      </c>
      <c r="E101" s="1">
        <f>IF(COUNT(C101:D101)=2,D101-C101,"")</f>
        <v>-9.562067287764783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IF(480713&gt;0,100*134742/480713,"")</f>
        <v>28.029614343693638</v>
      </c>
      <c r="L101" s="1">
        <f>IF(COUNT(J101:K101)=2,K101-J101,"")</f>
        <v>8.1995536102452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IF(904217&gt;0,100*399617/904217,"")</f>
        <v>44.19481164366518</v>
      </c>
      <c r="S101" s="1">
        <f>IF(COUNT(Q101:R101)=2,R101-Q101,"")</f>
        <v>25.744897492336626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IF(552649&gt;0,100*175357/552649,"")</f>
        <v>31.73026640779229</v>
      </c>
      <c r="L102" s="1">
        <f>IF(COUNT(J102:K102)=2,K102-J102,"")</f>
        <v>-2.9174412439990114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IF(474351&gt;0,100*183547/474351,"")</f>
        <v>38.69434237516101</v>
      </c>
      <c r="S102" s="1">
        <f>IF(COUNT(Q102:R102)=2,R102-Q102,"")</f>
        <v>10.100163621730978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IF(465382&gt;0,100*206722/465382,"")</f>
        <v>44.41985293801651</v>
      </c>
      <c r="E103" s="1">
        <f>IF(COUNT(C103:D103)=2,D103-C103,"")</f>
        <v>-11.728292444574166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IF(578208&gt;0,100*221958/578208,"")</f>
        <v>38.38722397476341</v>
      </c>
      <c r="L103" s="1">
        <f>IF(COUNT(J103:K103)=2,K103-J103,"")</f>
        <v>-17.79254867095652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IF(741927&gt;0,100*279592/741927,"")</f>
        <v>37.68457004530095</v>
      </c>
      <c r="S103" s="1">
        <f>IF(COUNT(Q103:R103)=2,R103-Q103,"")</f>
        <v>-13.481921600315886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IF(667596&gt;0,100*245684/667596,"")</f>
        <v>36.801298989209045</v>
      </c>
      <c r="E104" s="1">
        <f>IF(COUNT(C104:D104)=2,D104-C104,"")</f>
        <v>-15.706533490689353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IF(592715&gt;0,100*140676/592715,"")</f>
        <v>23.734172410011556</v>
      </c>
      <c r="L104" s="1">
        <f>IF(COUNT(J104:K104)=2,K104-J104,"")</f>
        <v>-4.3770010576728104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IF(509700&gt;0,100*6130/509700,"")</f>
        <v>1.2026682362173828</v>
      </c>
      <c r="S104" s="1">
        <f>IF(COUNT(Q104:R104)=2,R104-Q104,"")</f>
        <v>-0.20042679769545724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IF(754537&gt;0,100*54979/754537,"")</f>
        <v>7.286455137388889</v>
      </c>
      <c r="E105" s="1">
        <f>IF(COUNT(C105:D105)=2,D105-C105,"")</f>
        <v>-15.18125087597414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IF(688263&gt;0,100*198339/688263,"")</f>
        <v>28.817327097345057</v>
      </c>
      <c r="L105" s="1">
        <f>IF(COUNT(J105:K105)=2,K105-J105,"")</f>
        <v>11.47372710032186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IF(478204&gt;0,100*160807/478204,"")</f>
        <v>33.62728040752482</v>
      </c>
      <c r="S105" s="1">
        <f>IF(COUNT(Q105:R105)=2,R105-Q105,"")</f>
        <v>-5.865877564654326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31.12241863875328</v>
      </c>
      <c r="E106" s="1">
        <f>IF(COUNT(E75:E105)&gt;0,AVERAGE(E75:E105),"")</f>
        <v>-5.651308144589154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26.918514860601796</v>
      </c>
      <c r="L106" s="1">
        <f>IF(COUNT(L75:L105)&gt;0,AVERAGE(L75:L105),"")</f>
        <v>-9.7324006604909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27.892434299170777</v>
      </c>
      <c r="S106" s="1">
        <f>IF(COUNT(S75:S105)&gt;0,AVERAGE(S75:S105),"")</f>
        <v>-7.289903439843413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IF(274762&gt;0,100*34738/274762,"")</f>
        <v>12.64294189152794</v>
      </c>
      <c r="E3" s="1">
        <f>IF(COUNT(C3:D3)=2,D3-C3,"")</f>
        <v>-2.9960306541863755</v>
      </c>
      <c r="H3" s="1">
        <v>1</v>
      </c>
      <c r="I3" s="1">
        <v>0</v>
      </c>
      <c r="J3" s="1">
        <f>IF(215009&gt;0,100*58251/215009,"")</f>
        <v>27.09235427354204</v>
      </c>
      <c r="K3" s="1">
        <f>IF(310490&gt;0,100*45577/310490,"")</f>
        <v>14.679055686173468</v>
      </c>
      <c r="L3" s="1">
        <f>IF(COUNT(J3:K3)=2,K3-J3,"")</f>
        <v>-12.41329858736857</v>
      </c>
      <c r="O3" s="1">
        <v>1</v>
      </c>
      <c r="P3" s="1">
        <v>0</v>
      </c>
      <c r="Q3" s="1">
        <f>IF(558995&gt;0,100*195788/558995,"")</f>
        <v>35.0250002236156</v>
      </c>
      <c r="R3" s="1">
        <f>IF(234363&gt;0,100*17036/234363,"")</f>
        <v>7.269065509487419</v>
      </c>
      <c r="S3" s="1">
        <f>IF(COUNT(Q3:R3)=2,R3-Q3,"")</f>
        <v>-27.75593471412818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IF(241342&gt;0,100*73099/241342,"")</f>
        <v>30.28855317350482</v>
      </c>
      <c r="E4" s="1">
        <f>IF(COUNT(C4:D4)=2,D4-C4,"")</f>
        <v>-17.52701317878631</v>
      </c>
      <c r="H4" s="1">
        <v>2</v>
      </c>
      <c r="I4" s="1">
        <v>1</v>
      </c>
      <c r="J4" s="1">
        <f>IF(296332&gt;0,100*64971/296332,"")</f>
        <v>21.925070529001257</v>
      </c>
      <c r="K4" s="1">
        <f>IF(410626&gt;0,100*88243/410626,"")</f>
        <v>21.489871561956623</v>
      </c>
      <c r="L4" s="1">
        <f>IF(COUNT(J4:K4)=2,K4-J4,"")</f>
        <v>-0.43519896704463434</v>
      </c>
      <c r="O4" s="1">
        <v>2</v>
      </c>
      <c r="P4" s="1">
        <v>1</v>
      </c>
      <c r="Q4" s="1">
        <f>IF(348213&gt;0,100*131600/348213,"")</f>
        <v>37.792960056057645</v>
      </c>
      <c r="R4" s="1">
        <f>IF(438042&gt;0,100*105130/438042,"")</f>
        <v>23.99998173691107</v>
      </c>
      <c r="S4" s="1">
        <f>IF(COUNT(Q4:R4)=2,R4-Q4,"")</f>
        <v>-13.792978319146574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IF(327632&gt;0,100*103529/327632,"")</f>
        <v>31.59917224202764</v>
      </c>
      <c r="E5" s="1">
        <f>IF(COUNT(C5:D5)=2,D5-C5,"")</f>
        <v>-10.620600690936506</v>
      </c>
      <c r="H5" s="1">
        <v>3</v>
      </c>
      <c r="I5" s="1">
        <v>2</v>
      </c>
      <c r="J5" s="1">
        <f>IF(328831&gt;0,100*62705/328831,"")</f>
        <v>19.069065872743142</v>
      </c>
      <c r="K5" s="1">
        <f>IF(449894&gt;0,100*68651/449894,"")</f>
        <v>15.259372207675586</v>
      </c>
      <c r="L5" s="1">
        <f>IF(COUNT(J5:K5)=2,K5-J5,"")</f>
        <v>-3.809693665067556</v>
      </c>
      <c r="O5" s="1">
        <v>3</v>
      </c>
      <c r="P5" s="1">
        <v>2</v>
      </c>
      <c r="Q5" s="1">
        <f>IF(499604&gt;0,100*190955/499604,"")</f>
        <v>38.221271246827484</v>
      </c>
      <c r="R5" s="1">
        <f>IF(604680&gt;0,100*135330/604680,"")</f>
        <v>22.380432625520935</v>
      </c>
      <c r="S5" s="1">
        <f>IF(COUNT(Q5:R5)=2,R5-Q5,"")</f>
        <v>-15.840838621306549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IF(490758&gt;0,100*113534/490758,"")</f>
        <v>23.134416555613967</v>
      </c>
      <c r="E6" s="1">
        <f>IF(COUNT(C6:D6)=2,D6-C6,"")</f>
        <v>-15.591510567894012</v>
      </c>
      <c r="H6" s="1">
        <v>4</v>
      </c>
      <c r="I6" s="1">
        <v>3</v>
      </c>
      <c r="J6" s="1">
        <f>IF(464767&gt;0,100*69099/464767,"")</f>
        <v>14.867449711360747</v>
      </c>
      <c r="K6" s="1">
        <f>IF(432780&gt;0,100*19643/432780,"")</f>
        <v>4.538795692961782</v>
      </c>
      <c r="L6" s="1">
        <f>IF(COUNT(J6:K6)=2,K6-J6,"")</f>
        <v>-10.328654018398964</v>
      </c>
      <c r="O6" s="1">
        <v>4</v>
      </c>
      <c r="P6" s="1">
        <v>3</v>
      </c>
      <c r="Q6" s="1">
        <f>IF(332328&gt;0,100*11557/332328,"")</f>
        <v>3.477588406634409</v>
      </c>
      <c r="R6" s="1">
        <f>IF(340088&gt;0,100*21485/340088,"")</f>
        <v>6.317482533932394</v>
      </c>
      <c r="S6" s="1">
        <f>IF(COUNT(Q6:R6)=2,R6-Q6,"")</f>
        <v>2.839894127297985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IF(347145&gt;0,100*60928/347145,"")</f>
        <v>17.55116737962523</v>
      </c>
      <c r="E7" s="1">
        <f>IF(COUNT(C7:D7)=2,D7-C7,"")</f>
        <v>-17.504754149258513</v>
      </c>
      <c r="H7" s="1">
        <v>5</v>
      </c>
      <c r="I7" s="1">
        <v>4</v>
      </c>
      <c r="J7" s="1">
        <f>IF(411240&gt;0,100*106457/411240,"")</f>
        <v>25.88683007489544</v>
      </c>
      <c r="K7" s="1">
        <f>IF(454258&gt;0,100*115543/454258,"")</f>
        <v>25.435545438935584</v>
      </c>
      <c r="L7" s="1">
        <f>IF(COUNT(J7:K7)=2,K7-J7,"")</f>
        <v>-0.4512846359598548</v>
      </c>
      <c r="O7" s="1">
        <v>5</v>
      </c>
      <c r="P7" s="1">
        <v>4</v>
      </c>
      <c r="Q7" s="1">
        <f>IF(258766&gt;0,100*96546/258766,"")</f>
        <v>37.3101566666409</v>
      </c>
      <c r="R7" s="1">
        <f>IF(379450&gt;0,100*101003/379450,"")</f>
        <v>26.61826327579391</v>
      </c>
      <c r="S7" s="1">
        <f>IF(COUNT(Q7:R7)=2,R7-Q7,"")</f>
        <v>-10.691893390846989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IF(463326&gt;0,100*75117/463326,"")</f>
        <v>16.212558759922818</v>
      </c>
      <c r="E8" s="1">
        <f>IF(COUNT(C8:D8)=2,D8-C8,"")</f>
        <v>-7.277821790193961</v>
      </c>
      <c r="H8" s="1">
        <v>6</v>
      </c>
      <c r="I8" s="1">
        <v>5</v>
      </c>
      <c r="J8" s="1">
        <f>IF(324059&gt;0,100*91696/324059,"")</f>
        <v>28.29608188632317</v>
      </c>
      <c r="K8" s="1">
        <f>IF(321084&gt;0,100*70199/321084,"")</f>
        <v>21.863126160132552</v>
      </c>
      <c r="L8" s="1">
        <f>IF(COUNT(J8:K8)=2,K8-J8,"")</f>
        <v>-6.432955726190617</v>
      </c>
      <c r="O8" s="1">
        <v>6</v>
      </c>
      <c r="P8" s="1">
        <v>5</v>
      </c>
      <c r="Q8" s="1">
        <f>IF(371148&gt;0,100*77908/371148,"")</f>
        <v>20.9910871134965</v>
      </c>
      <c r="R8" s="1">
        <f>IF(411057&gt;0,100*90622/411057,"")</f>
        <v>22.046090931428</v>
      </c>
      <c r="S8" s="1">
        <f>IF(COUNT(Q8:R8)=2,R8-Q8,"")</f>
        <v>1.0550038179314996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IF(416303&gt;0,100*67522/416303,"")</f>
        <v>16.219436324023608</v>
      </c>
      <c r="E9" s="1">
        <f>IF(COUNT(C9:D9)=2,D9-C9,"")</f>
        <v>-28.24554755152833</v>
      </c>
      <c r="H9" s="1">
        <v>7</v>
      </c>
      <c r="I9" s="1">
        <v>6</v>
      </c>
      <c r="J9" s="1">
        <f>IF(325191&gt;0,100*2956/325191,"")</f>
        <v>0.9090042467349957</v>
      </c>
      <c r="K9" s="1">
        <f>IF(341736&gt;0,100*8128/341736,"")</f>
        <v>2.37844417913243</v>
      </c>
      <c r="L9" s="1">
        <f>IF(COUNT(J9:K9)=2,K9-J9,"")</f>
        <v>1.469439932397434</v>
      </c>
      <c r="O9" s="1">
        <v>7</v>
      </c>
      <c r="P9" s="1">
        <v>6</v>
      </c>
      <c r="Q9" s="1">
        <f>IF(434887&gt;0,100*93317/434887,"")</f>
        <v>21.457757992306046</v>
      </c>
      <c r="R9" s="1">
        <f>IF(265466&gt;0,100*15302/265466,"")</f>
        <v>5.764203325472942</v>
      </c>
      <c r="S9" s="1">
        <f>IF(COUNT(Q9:R9)=2,R9-Q9,"")</f>
        <v>-15.693554666833105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IF(332546&gt;0,100*112344/332546,"")</f>
        <v>33.782995435217984</v>
      </c>
      <c r="E10" s="1">
        <f>IF(COUNT(C10:D10)=2,D10-C10,"")</f>
        <v>-11.7451228347757</v>
      </c>
      <c r="H10" s="1">
        <v>8</v>
      </c>
      <c r="I10" s="1">
        <v>7</v>
      </c>
      <c r="J10" s="1">
        <f>IF(376958&gt;0,100*1179/376958,"")</f>
        <v>0.31276693955294754</v>
      </c>
      <c r="K10" s="1">
        <f>IF(367962&gt;0,100*15160/367962,"")</f>
        <v>4.119990651208549</v>
      </c>
      <c r="L10" s="1">
        <f>IF(COUNT(J10:K10)=2,K10-J10,"")</f>
        <v>3.8072237116556016</v>
      </c>
      <c r="O10" s="1">
        <v>8</v>
      </c>
      <c r="P10" s="1">
        <v>7</v>
      </c>
      <c r="Q10" s="1">
        <f>IF(275738&gt;0,100*1113/275738,"")</f>
        <v>0.4036440389064982</v>
      </c>
      <c r="R10" s="1">
        <f>IF(330722&gt;0,100*8488/330722,"")</f>
        <v>2.5665060080671984</v>
      </c>
      <c r="S10" s="1">
        <f>IF(COUNT(Q10:R10)=2,R10-Q10,"")</f>
        <v>2.1628619691607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IF(208712&gt;0,100*82322/208712,"")</f>
        <v>39.44286864195638</v>
      </c>
      <c r="E11" s="1">
        <f>IF(COUNT(C11:D11)=2,D11-C11,"")</f>
        <v>-7.1059611118641115</v>
      </c>
      <c r="H11" s="1">
        <v>9</v>
      </c>
      <c r="I11" s="1">
        <v>8</v>
      </c>
      <c r="J11" s="1">
        <f>IF(422295&gt;0,100*144131/422295,"")</f>
        <v>34.13040646941119</v>
      </c>
      <c r="K11" s="1">
        <f>IF(566198&gt;0,100*209622/566198,"")</f>
        <v>37.022737628886006</v>
      </c>
      <c r="L11" s="1">
        <f>IF(COUNT(J11:K11)=2,K11-J11,"")</f>
        <v>2.8923311594748142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IF(454420&gt;0,100*154783/454420,"")</f>
        <v>34.06166101844109</v>
      </c>
      <c r="S11" s="1">
        <f>IF(COUNT(Q11:R11)=2,R11-Q11,"")</f>
        <v>-4.443132323767671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IF(364957&gt;0,100*4575/364957,"")</f>
        <v>1.253572338659075</v>
      </c>
      <c r="E12" s="1">
        <f>IF(COUNT(C12:D12)=2,D12-C12,"")</f>
        <v>-29.66901554349975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IF(485110&gt;0,100*69636/485110,"")</f>
        <v>14.354682443157222</v>
      </c>
      <c r="L12" s="1">
        <f>IF(COUNT(J12:K12)=2,K12-J12,"")</f>
        <v>-2.3829458275702944</v>
      </c>
      <c r="O12" s="1">
        <v>10</v>
      </c>
      <c r="P12" s="1">
        <v>9</v>
      </c>
      <c r="Q12" s="1">
        <f>IF(412598&gt;0,100*74901/412598,"")</f>
        <v>18.15350534903223</v>
      </c>
      <c r="R12" s="1">
        <f>IF(317796&gt;0,100*42615/317796,"")</f>
        <v>13.409545746327833</v>
      </c>
      <c r="S12" s="1">
        <f>IF(COUNT(Q12:R12)=2,R12-Q12,"")</f>
        <v>-4.743959602704397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IF(467420&gt;0,100*134366/467420,"")</f>
        <v>28.746309528903343</v>
      </c>
      <c r="E13" s="1">
        <f>IF(COUNT(C13:D13)=2,D13-C13,"")</f>
        <v>-3.7068893574507022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IF(532591&gt;0,100*51628/532591,"")</f>
        <v>9.693742477811304</v>
      </c>
      <c r="L13" s="1">
        <f>IF(COUNT(J13:K13)=2,K13-J13,"")</f>
        <v>4.497008723117868</v>
      </c>
      <c r="O13" s="1">
        <v>11</v>
      </c>
      <c r="P13" s="1">
        <v>10</v>
      </c>
      <c r="Q13" s="1">
        <f>IF(517486&gt;0,100*3762/517486,"")</f>
        <v>0.726976188727811</v>
      </c>
      <c r="R13" s="1">
        <f>IF(476553&gt;0,100*20899/476553,"")</f>
        <v>4.385451355882767</v>
      </c>
      <c r="S13" s="1">
        <f>IF(COUNT(Q13:R13)=2,R13-Q13,"")</f>
        <v>3.658475167154956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IF(192418&gt;0,100*61055/192418,"")</f>
        <v>31.730399442879563</v>
      </c>
      <c r="E14" s="1">
        <f>IF(COUNT(C14:D14)=2,D14-C14,"")</f>
        <v>-12.243331591999041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IF(528852&gt;0,100*82117/528852,"")</f>
        <v>15.527406533396867</v>
      </c>
      <c r="L14" s="1">
        <f>IF(COUNT(J14:K14)=2,K14-J14,"")</f>
        <v>11.471875554188458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IF(450733&gt;0,100*22235/450733,"")</f>
        <v>4.933075678949622</v>
      </c>
      <c r="S14" s="1">
        <f>IF(COUNT(Q14:R14)=2,R14-Q14,"")</f>
        <v>-33.31277521415726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IF(401049&gt;0,100*67382/401049,"")</f>
        <v>16.801438228246425</v>
      </c>
      <c r="E15" s="1">
        <f>IF(COUNT(C15:D15)=2,D15-C15,"")</f>
        <v>-15.235875970394758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IF(434947&gt;0,100*70651/434947,"")</f>
        <v>16.243588299264047</v>
      </c>
      <c r="L15" s="1">
        <f>IF(COUNT(J15:K15)=2,K15-J15,"")</f>
        <v>-26.013482078787213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IF(462658&gt;0,100*70265/462658,"")</f>
        <v>15.187244141460862</v>
      </c>
      <c r="S15" s="1">
        <f>IF(COUNT(Q15:R15)=2,R15-Q15,"")</f>
        <v>7.407978096281626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IF(572813&gt;0,100*53568/572813,"")</f>
        <v>9.351743064490506</v>
      </c>
      <c r="E16" s="1">
        <f>IF(COUNT(C16:D16)=2,D16-C16,"")</f>
        <v>-7.1947122427959265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IF(272167&gt;0,100*36218/272167,"")</f>
        <v>13.307270903526144</v>
      </c>
      <c r="L16" s="1">
        <f>IF(COUNT(J16:K16)=2,K16-J16,"")</f>
        <v>-3.6458552743501347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IF(276490&gt;0,100*24284/276490,"")</f>
        <v>8.78295779232522</v>
      </c>
      <c r="S16" s="1">
        <f>IF(COUNT(Q16:R16)=2,R16-Q16,"")</f>
        <v>7.312493538728098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IF(476917&gt;0,100*170744/476917,"")</f>
        <v>35.80161747222263</v>
      </c>
      <c r="E17" s="1">
        <f>IF(COUNT(C17:D17)=2,D17-C17,"")</f>
        <v>-6.189734841510337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IF(449381&gt;0,100*102848/449381,"")</f>
        <v>22.886592891110215</v>
      </c>
      <c r="L17" s="1">
        <f>IF(COUNT(J17:K17)=2,K17-J17,"")</f>
        <v>-23.043237498861448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IF(400948&gt;0,100*91580/400948,"")</f>
        <v>22.840867144866667</v>
      </c>
      <c r="S17" s="1">
        <f>IF(COUNT(Q17:R17)=2,R17-Q17,"")</f>
        <v>-10.189664267030931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IF(375026&gt;0,100*113568/375026,"")</f>
        <v>30.282700399438973</v>
      </c>
      <c r="E18" s="1">
        <f>IF(COUNT(C18:D18)=2,D18-C18,"")</f>
        <v>-8.726030829016246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IF(352952&gt;0,100*59143/352952,"")</f>
        <v>16.756669462136493</v>
      </c>
      <c r="L18" s="1">
        <f>IF(COUNT(J18:K18)=2,K18-J18,"")</f>
        <v>-7.82955392433573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IF(399425&gt;0,100*90094/399425,"")</f>
        <v>22.55592414095262</v>
      </c>
      <c r="S18" s="1">
        <f>IF(COUNT(Q18:R18)=2,R18-Q18,"")</f>
        <v>-9.814156644390138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IF(262739&gt;0,100*4743/262739,"")</f>
        <v>1.805213538911239</v>
      </c>
      <c r="E19" s="1">
        <f>IF(COUNT(C19:D19)=2,D19-C19,"")</f>
        <v>-4.853551478286102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IF(438942&gt;0,100*96349/438942,"")</f>
        <v>21.950280447075013</v>
      </c>
      <c r="L19" s="1">
        <f>IF(COUNT(J19:K19)=2,K19-J19,"")</f>
        <v>-15.726089651351085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IF(339521&gt;0,100*71298/339521,"")</f>
        <v>20.99958470904598</v>
      </c>
      <c r="S19" s="1">
        <f>IF(COUNT(Q19:R19)=2,R19-Q19,"")</f>
        <v>-1.1742494956746228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IF(292773&gt;0,100*2028/292773,"")</f>
        <v>0.6926868256294125</v>
      </c>
      <c r="E20" s="1">
        <f>IF(COUNT(C20:D20)=2,D20-C20,"")</f>
        <v>0.18400852030657378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IF(390026&gt;0,100*29135/390026,"")</f>
        <v>7.470014819524852</v>
      </c>
      <c r="L20" s="1">
        <f>IF(COUNT(J20:K20)=2,K20-J20,"")</f>
        <v>-14.319095968803808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IF(434677&gt;0,100*30398/434677,"")</f>
        <v>6.993238657669948</v>
      </c>
      <c r="S20" s="1">
        <f>IF(COUNT(Q20:R20)=2,R20-Q20,"")</f>
        <v>-26.375482978827634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IF(360053&gt;0,100*134508/360053,"")</f>
        <v>37.35783343007835</v>
      </c>
      <c r="E21" s="1">
        <f>IF(COUNT(C21:D21)=2,D21-C21,"")</f>
        <v>-2.491037275052527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IF(381307&gt;0,100*52108/381307,"")</f>
        <v>13.665629007597552</v>
      </c>
      <c r="L21" s="1">
        <f>IF(COUNT(J21:K21)=2,K21-J21,"")</f>
        <v>-0.22896568709514575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IF(502599&gt;0,100*44186/502599,"")</f>
        <v>8.791501773779892</v>
      </c>
      <c r="S21" s="1">
        <f>IF(COUNT(Q21:R21)=2,R21-Q21,"")</f>
        <v>-9.378723917679594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IF(581989&gt;0,100*123227/581989,"")</f>
        <v>21.173424239977045</v>
      </c>
      <c r="E22" s="1">
        <f>IF(COUNT(C22:D22)=2,D22-C22,"")</f>
        <v>-13.664394808092908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IF(466752&gt;0,100*21903/466752,"")</f>
        <v>4.692641916906623</v>
      </c>
      <c r="L22" s="1">
        <f>IF(COUNT(J22:K22)=2,K22-J22,"")</f>
        <v>-7.67836202963172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IF(461225&gt;0,100*31457/461225,"")</f>
        <v>6.820315464252805</v>
      </c>
      <c r="S22" s="1">
        <f>IF(COUNT(Q22:R22)=2,R22-Q22,"")</f>
        <v>-13.876380890050175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IF(343563&gt;0,100*90587/343563,"")</f>
        <v>26.366925425613353</v>
      </c>
      <c r="E23" s="1">
        <f>IF(COUNT(C23:D23)=2,D23-C23,"")</f>
        <v>11.498450572131002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IF(482493&gt;0,100*79007/482493,"")</f>
        <v>16.374745333092914</v>
      </c>
      <c r="L23" s="1">
        <f>IF(COUNT(J23:K23)=2,K23-J23,"")</f>
        <v>-26.2597397462139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IF(407592&gt;0,100*48853/407592,"")</f>
        <v>11.985760270073996</v>
      </c>
      <c r="S23" s="1">
        <f>IF(COUNT(Q23:R23)=2,R23-Q23,"")</f>
        <v>-14.704408328393878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IF(32971&gt;0,100*9849/32971,"")</f>
        <v>29.87170543811228</v>
      </c>
      <c r="E24" s="1">
        <f>IF(COUNT(C24:D24)=2,D24-C24,"")</f>
        <v>-12.98652113764846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IF(204781&gt;0,100*54047/204781,"")</f>
        <v>26.392585249608118</v>
      </c>
      <c r="L24" s="1">
        <f>IF(COUNT(J24:K24)=2,K24-J24,"")</f>
        <v>0.05850647726904512</v>
      </c>
      <c r="O24" s="1">
        <v>22</v>
      </c>
      <c r="P24" s="1">
        <v>21</v>
      </c>
      <c r="Q24" s="1">
        <f>IF(97184&gt;0,100*37074/97184,"")</f>
        <v>38.14825485676655</v>
      </c>
      <c r="R24" s="1">
        <f>IF(185624&gt;0,100*57248/185624,"")</f>
        <v>30.84083954661035</v>
      </c>
      <c r="S24" s="1">
        <f>IF(COUNT(Q24:R24)=2,R24-Q24,"")</f>
        <v>-7.307415310156198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IF(517333&gt;0,100*7950/517333,"")</f>
        <v>1.5367277942833726</v>
      </c>
      <c r="E25" s="1">
        <f>IF(COUNT(C25:D25)=2,D25-C25,"")</f>
        <v>1.2715701548330895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IF(514984&gt;0,100*74400/514984,"")</f>
        <v>14.447050782160222</v>
      </c>
      <c r="L25" s="1">
        <f>IF(COUNT(J25:K25)=2,K25-J25,"")</f>
        <v>-2.0581650894638734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IF(419404&gt;0,100*59390/419404,"")</f>
        <v>14.160570714633145</v>
      </c>
      <c r="S25" s="1">
        <f>IF(COUNT(Q25:R25)=2,R25-Q25,"")</f>
        <v>-19.67065698867276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IF(232899&gt;0,100*14889/232899,"")</f>
        <v>6.392899926577615</v>
      </c>
      <c r="E26" s="1">
        <f>IF(COUNT(C26:D26)=2,D26-C26,"")</f>
        <v>-9.207908030684152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IF(508233&gt;0,100*16439/508233,"")</f>
        <v>3.2345400633174153</v>
      </c>
      <c r="L26" s="1">
        <f>IF(COUNT(J26:K26)=2,K26-J26,"")</f>
        <v>-26.737059742695124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IF(452448&gt;0,100*57790/452448,"")</f>
        <v>12.772738524648137</v>
      </c>
      <c r="S26" s="1">
        <f>IF(COUNT(Q26:R26)=2,R26-Q26,"")</f>
        <v>-11.6798441326582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IF(269251&gt;0,100*79874/269251,"")</f>
        <v>29.665256582148256</v>
      </c>
      <c r="E27" s="1">
        <f>IF(COUNT(C27:D27)=2,D27-C27,"")</f>
        <v>-15.864494349632206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IF(348990&gt;0,100*32630/348990,"")</f>
        <v>9.349838104243675</v>
      </c>
      <c r="S27" s="1">
        <f>IF(COUNT(Q27:R27)=2,R27-Q27,"")</f>
        <v>4.084050675177693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IF(585113&gt;0,100*175370/585113,"")</f>
        <v>29.97198831678667</v>
      </c>
      <c r="E28" s="1">
        <f>IF(COUNT(C28:D28)=2,D28-C28,"")</f>
        <v>-12.274045811208182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IF(351506&gt;0,100*39980/351506,"")</f>
        <v>11.373916803696096</v>
      </c>
      <c r="L28" s="1">
        <f>IF(COUNT(J28:K28)=2,K28-J28,"")</f>
        <v>-20.09536548548234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IF(483179&gt;0,100*103061/483179,"")</f>
        <v>21.329776335478154</v>
      </c>
      <c r="S28" s="1">
        <f>IF(COUNT(Q28:R28)=2,R28-Q28,"")</f>
        <v>-2.5754258591977255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IF(164468&gt;0,100*39973/164468,"")</f>
        <v>24.304423960892088</v>
      </c>
      <c r="E29" s="1">
        <f>IF(COUNT(C29:D29)=2,D29-C29,"")</f>
        <v>-5.31473398287131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IF(477855&gt;0,100*66898/477855,"")</f>
        <v>13.999644243546683</v>
      </c>
      <c r="L29" s="1">
        <f>IF(COUNT(J29:K29)=2,K29-J29,"")</f>
        <v>5.925926998633786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IF(570777&gt;0,100*110400/570777,"")</f>
        <v>19.34205477796057</v>
      </c>
      <c r="S29" s="1">
        <f>IF(COUNT(Q29:R29)=2,R29-Q29,"")</f>
        <v>-25.27417295241778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IF(269162&gt;0,100*42007/269162,"")</f>
        <v>15.60658636806087</v>
      </c>
      <c r="L30" s="1">
        <f>IF(COUNT(J30:K30)=2,K30-J30,"")</f>
        <v>-19.550578986269837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IF(256233&gt;0,100*50535/256233,"")</f>
        <v>19.72228401493953</v>
      </c>
      <c r="S30" s="1">
        <f>IF(COUNT(Q30:R30)=2,R30-Q30,"")</f>
        <v>-3.356344732131056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IF(240416&gt;0,100*71321/240416,"")</f>
        <v>29.665662851058165</v>
      </c>
      <c r="E31" s="1">
        <f>IF(COUNT(C31:D31)=2,D31-C31,"")</f>
        <v>-12.585303500884045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IF(387056&gt;0,100*129913/387056,"")</f>
        <v>33.56439378281179</v>
      </c>
      <c r="L31" s="1">
        <f>IF(COUNT(J31:K31)=2,K31-J31,"")</f>
        <v>-9.90629634390897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IF(358003&gt;0,100*59858/358003,"")</f>
        <v>16.71997162034955</v>
      </c>
      <c r="S31" s="1">
        <f>IF(COUNT(Q31:R31)=2,R31-Q31,"")</f>
        <v>-29.85990110474007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IF(385947&gt;0,100*88229/385947,"")</f>
        <v>22.86039274822709</v>
      </c>
      <c r="E32" s="1">
        <f>IF(COUNT(C32:D32)=2,D32-C32,"")</f>
        <v>-22.910625383106616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IF(382462&gt;0,100*76323/382462,"")</f>
        <v>19.955708018051467</v>
      </c>
      <c r="L32" s="1">
        <f>IF(COUNT(J32:K32)=2,K32-J32,"")</f>
        <v>-4.299622647271043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IF(438154&gt;0,100*51237/438154,"")</f>
        <v>11.69383367491795</v>
      </c>
      <c r="S32" s="1">
        <f>IF(COUNT(Q32:R32)=2,R32-Q32,"")</f>
        <v>-7.6191934555948215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IF(263600&gt;0,100*12087/263600,"")</f>
        <v>4.585356600910471</v>
      </c>
      <c r="E33" s="1">
        <f>IF(COUNT(C33:D33)=2,D33-C33,"")</f>
        <v>3.1331366118733794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IF(431244&gt;0,100*123151/431244,"")</f>
        <v>28.55715094007105</v>
      </c>
      <c r="L33" s="1">
        <f>IF(COUNT(J33:K33)=2,K33-J33,"")</f>
        <v>10.606841335412383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IF(289833&gt;0,100*84250/289833,"")</f>
        <v>29.068463563500362</v>
      </c>
      <c r="S33" s="1">
        <f>IF(COUNT(Q33:R33)=2,R33-Q33,"")</f>
        <v>3.4701586294020714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20.685326062835568</v>
      </c>
      <c r="E34" s="1">
        <f>IF(COUNT(E3:E33)&gt;0,AVERAGE(E3:E33),"")</f>
        <v>-9.59993226482302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15.720404445250347</v>
      </c>
      <c r="L34" s="1">
        <f>IF(COUNT(L3:L33)&gt;0,AVERAGE(L3:L33),"")</f>
        <v>-7.153556177295171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15.603533055416925</v>
      </c>
      <c r="S34" s="1">
        <f>IF(COUNT(S3:S33)&gt;0,AVERAGE(S3:S33),"")</f>
        <v>-9.26258618997973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IF(436413&gt;0,100*10271/436413,"")</f>
        <v>2.3535045931262357</v>
      </c>
      <c r="E39" s="1">
        <f>IF(COUNT(C39:D39)=2,D39-C39,"")</f>
        <v>-5.652860609162184</v>
      </c>
      <c r="H39" s="1">
        <v>1</v>
      </c>
      <c r="I39" s="1">
        <v>0</v>
      </c>
      <c r="J39" s="1">
        <f>IF(713250&gt;0,100*211130/713250,"")</f>
        <v>29.601121626358218</v>
      </c>
      <c r="K39" s="1">
        <f>IF(502767&gt;0,100*83381/502767,"")</f>
        <v>16.58442180970509</v>
      </c>
      <c r="L39" s="1">
        <f>IF(COUNT(J39:K39)=2,K39-J39,"")</f>
        <v>-13.016699816653126</v>
      </c>
      <c r="O39" s="1">
        <v>1</v>
      </c>
      <c r="P39" s="1">
        <v>0</v>
      </c>
      <c r="Q39" s="1">
        <f>IF(523211&gt;0,100*80163/523211,"")</f>
        <v>15.321352188696338</v>
      </c>
      <c r="R39" s="1">
        <f>IF(661584&gt;0,100*152069/661584,"")</f>
        <v>22.985592154586566</v>
      </c>
      <c r="S39" s="1">
        <f>IF(COUNT(Q39:R39)=2,R39-Q39,"")</f>
        <v>7.6642399658902285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IF(344354&gt;0,100*130508/344354,"")</f>
        <v>37.89937099612608</v>
      </c>
      <c r="E40" s="1">
        <f>IF(COUNT(C40:D40)=2,D40-C40,"")</f>
        <v>-1.9856716961797787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IF(428628&gt;0,100*69692/428628,"")</f>
        <v>16.259320436369066</v>
      </c>
      <c r="L40" s="1">
        <f>IF(COUNT(J40:K40)=2,K40-J40,"")</f>
        <v>-20.943040485925096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IF(422015&gt;0,100*117303/422015,"")</f>
        <v>27.795931424238475</v>
      </c>
      <c r="S40" s="1">
        <f>IF(COUNT(Q40:R40)=2,R40-Q40,"")</f>
        <v>-20.75912162351873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IF(574642&gt;0,100*207506/574642,"")</f>
        <v>36.11048270053355</v>
      </c>
      <c r="E41" s="1">
        <f>IF(COUNT(C41:D41)=2,D41-C41,"")</f>
        <v>-15.489098391245996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IF(777570&gt;0,100*185385/777570,"")</f>
        <v>23.841583394421082</v>
      </c>
      <c r="S41" s="1">
        <f>IF(COUNT(Q41:R41)=2,R41-Q41,"")</f>
        <v>-17.382678372987396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IF(547370&gt;0,100*46442/547370,"")</f>
        <v>8.484571679120156</v>
      </c>
      <c r="L42" s="1">
        <f>IF(COUNT(J42:K42)=2,K42-J42,"")</f>
        <v>1.929098607446984</v>
      </c>
      <c r="O42" s="1">
        <v>4</v>
      </c>
      <c r="P42" s="1">
        <v>3</v>
      </c>
      <c r="Q42" s="1">
        <f>IF(646087&gt;0,100*38069/646087,"")</f>
        <v>5.8922405186917555</v>
      </c>
      <c r="R42" s="1">
        <f>IF(599899&gt;0,100*135592/599899,"")</f>
        <v>22.602471416021697</v>
      </c>
      <c r="S42" s="1">
        <f>IF(COUNT(Q42:R42)=2,R42-Q42,"")</f>
        <v>16.710230897329943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IF(538499&gt;0,100*80806/538499,"")</f>
        <v>15.005784597557284</v>
      </c>
      <c r="E43" s="1">
        <f>IF(COUNT(C43:D43)=2,D43-C43,"")</f>
        <v>-2.075922027555986</v>
      </c>
      <c r="H43" s="1">
        <v>5</v>
      </c>
      <c r="I43" s="1">
        <v>4</v>
      </c>
      <c r="J43" s="1">
        <f>IF(200432&gt;0,100*86329/200432,"")</f>
        <v>43.071465634230066</v>
      </c>
      <c r="K43" s="1">
        <f>IF(573334&gt;0,100*180916/573334,"")</f>
        <v>31.555079587116758</v>
      </c>
      <c r="L43" s="1">
        <f>IF(COUNT(J43:K43)=2,K43-J43,"")</f>
        <v>-11.516386047113308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IF(468614&gt;0,100*143668/468614,"")</f>
        <v>30.65806826087142</v>
      </c>
      <c r="S43" s="1">
        <f>IF(COUNT(Q43:R43)=2,R43-Q43,"")</f>
        <v>-10.718016012211795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IF(712676&gt;0,100*181728/712676,"")</f>
        <v>25.49938541497118</v>
      </c>
      <c r="E44" s="1">
        <f>IF(COUNT(C44:D44)=2,D44-C44,"")</f>
        <v>-22.555350025575308</v>
      </c>
      <c r="H44" s="1">
        <v>6</v>
      </c>
      <c r="I44" s="1">
        <v>5</v>
      </c>
      <c r="J44" s="1">
        <f>IF(458928&gt;0,100*143171/458928,"")</f>
        <v>31.19683261862427</v>
      </c>
      <c r="K44" s="1">
        <f>IF(633676&gt;0,100*187590/633676,"")</f>
        <v>29.60345665608292</v>
      </c>
      <c r="L44" s="1">
        <f>IF(COUNT(J44:K44)=2,K44-J44,"")</f>
        <v>-1.5933759625413515</v>
      </c>
      <c r="O44" s="1">
        <v>6</v>
      </c>
      <c r="P44" s="1">
        <v>5</v>
      </c>
      <c r="Q44" s="1">
        <f>IF(652890&gt;0,100*52664/652890,"")</f>
        <v>8.066289880378012</v>
      </c>
      <c r="R44" s="1">
        <f>IF(600520&gt;0,100*113460/600520,"")</f>
        <v>18.893625524545396</v>
      </c>
      <c r="S44" s="1">
        <f>IF(COUNT(Q44:R44)=2,R44-Q44,"")</f>
        <v>10.827335644167384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IF(637200&gt;0,100*202372/637200,"")</f>
        <v>31.759573132454488</v>
      </c>
      <c r="E45" s="1">
        <f>IF(COUNT(C45:D45)=2,D45-C45,"")</f>
        <v>-23.360815708047856</v>
      </c>
      <c r="H45" s="1">
        <v>7</v>
      </c>
      <c r="I45" s="1">
        <v>6</v>
      </c>
      <c r="J45" s="1">
        <f>IF(516628&gt;0,100*1474/516628,"")</f>
        <v>0.28531167493825343</v>
      </c>
      <c r="K45" s="1">
        <f>IF(504745&gt;0,100*14580/504745,"")</f>
        <v>2.8885873064616785</v>
      </c>
      <c r="L45" s="1">
        <f>IF(COUNT(J45:K45)=2,K45-J45,"")</f>
        <v>2.603275631523425</v>
      </c>
      <c r="O45" s="1">
        <v>7</v>
      </c>
      <c r="P45" s="1">
        <v>6</v>
      </c>
      <c r="Q45" s="1">
        <f>IF(639485&gt;0,100*13388/639485,"")</f>
        <v>2.093559661289944</v>
      </c>
      <c r="R45" s="1">
        <f>IF(721584&gt;0,100*32577/721584,"")</f>
        <v>4.514651100911329</v>
      </c>
      <c r="S45" s="1">
        <f>IF(COUNT(Q45:R45)=2,R45-Q45,"")</f>
        <v>2.4210914396213847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IF(567087&gt;0,100*193870/567087,"")</f>
        <v>34.18699423545241</v>
      </c>
      <c r="E46" s="1">
        <f>IF(COUNT(C46:D46)=2,D46-C46,"")</f>
        <v>-9.450428483877197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IF(573782&gt;0,100*6466/573782,"")</f>
        <v>1.1269088260001185</v>
      </c>
      <c r="S46" s="1">
        <f>IF(COUNT(Q46:R46)=2,R46-Q46,"")</f>
        <v>-1.0898207115807754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IF(360596&gt;0,100*150538/360596,"")</f>
        <v>41.746996638897826</v>
      </c>
      <c r="E47" s="1">
        <f>IF(COUNT(C47:D47)=2,D47-C47,"")</f>
        <v>-18.860884081514143</v>
      </c>
      <c r="H47" s="1">
        <v>9</v>
      </c>
      <c r="I47" s="1">
        <v>8</v>
      </c>
      <c r="J47" s="1">
        <f>IF(433696&gt;0,100*195875/433696,"")</f>
        <v>45.16412417914853</v>
      </c>
      <c r="K47" s="1">
        <f>IF(616327&gt;0,100*174642/616327,"")</f>
        <v>28.335932062038495</v>
      </c>
      <c r="L47" s="1">
        <f>IF(COUNT(J47:K47)=2,K47-J47,"")</f>
        <v>-16.828192117110035</v>
      </c>
      <c r="O47" s="1">
        <v>9</v>
      </c>
      <c r="P47" s="1">
        <v>8</v>
      </c>
      <c r="Q47" s="1">
        <f>IF(341160&gt;0,100*196686/341160,"")</f>
        <v>57.65212803376715</v>
      </c>
      <c r="R47" s="1">
        <f>IF(425610&gt;0,100*201746/425610,"")</f>
        <v>47.40161180423392</v>
      </c>
      <c r="S47" s="1">
        <f>IF(COUNT(Q47:R47)=2,R47-Q47,"")</f>
        <v>-10.250516229533225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IF(436914&gt;0,100*2708/436914,"")</f>
        <v>0.6198016085545439</v>
      </c>
      <c r="E48" s="1">
        <f>IF(COUNT(C48:D48)=2,D48-C48,"")</f>
        <v>-21.23418856299118</v>
      </c>
      <c r="H48" s="1">
        <v>10</v>
      </c>
      <c r="I48" s="1">
        <v>9</v>
      </c>
      <c r="J48" s="1">
        <f>IF(716304&gt;0,100*319115/716304,"")</f>
        <v>44.550218901472</v>
      </c>
      <c r="K48" s="1">
        <f>IF(666233&gt;0,100*155260/666233,"")</f>
        <v>23.304159355660857</v>
      </c>
      <c r="L48" s="1">
        <f>IF(COUNT(J48:K48)=2,K48-J48,"")</f>
        <v>-21.246059545811143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IF(610334&gt;0,100*27496/610334,"")</f>
        <v>4.505074270809098</v>
      </c>
      <c r="S48" s="1">
        <f>IF(COUNT(Q48:R48)=2,R48-Q48,"")</f>
        <v>-17.45423135099056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IF(701273&gt;0,100*275851/701273,"")</f>
        <v>39.33575084168363</v>
      </c>
      <c r="E49" s="1">
        <f>IF(COUNT(C49:D49)=2,D49-C49,"")</f>
        <v>-7.333394772429351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IF(746168&gt;0,100*122451/746168,"")</f>
        <v>16.410647468130502</v>
      </c>
      <c r="L49" s="1">
        <f>IF(COUNT(J49:K49)=2,K49-J49,"")</f>
        <v>-16.942252339223582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IF(202103&gt;0,100*46338/202103,"")</f>
        <v>22.927912994859057</v>
      </c>
      <c r="S49" s="1">
        <f>IF(COUNT(Q49:R49)=2,R49-Q49,"")</f>
        <v>-21.6998070265348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IF(306085&gt;0,100*116942/306085,"")</f>
        <v>38.205727167290135</v>
      </c>
      <c r="E50" s="1">
        <f>IF(COUNT(C50:D50)=2,D50-C50,"")</f>
        <v>-9.466245740208507</v>
      </c>
      <c r="H50" s="1">
        <v>12</v>
      </c>
      <c r="I50" s="1">
        <v>11</v>
      </c>
      <c r="J50" s="4">
        <f>IF(0&gt;0,100*0/0,"")</f>
        <v/>
      </c>
      <c r="K50" s="1">
        <f>IF(764270&gt;0,100*40865/764270,"")</f>
        <v>5.346932366833711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IF(637604&gt;0,100*23447/637604,"")</f>
        <v>3.6773608697561495</v>
      </c>
      <c r="S50" s="1">
        <f>IF(COUNT(Q50:R50)=2,R50-Q50,"")</f>
        <v>-38.83758766414916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IF(757171&gt;0,100*129963/757171,"")</f>
        <v>17.164286535009925</v>
      </c>
      <c r="E51" s="1">
        <f>IF(COUNT(C51:D51)=2,D51-C51,"")</f>
        <v>-30.307828746077934</v>
      </c>
      <c r="H51" s="1">
        <v>13</v>
      </c>
      <c r="I51" s="1">
        <v>12</v>
      </c>
      <c r="J51" s="1">
        <f>IF(654587&gt;0,100*63849/654587,"")</f>
        <v>9.75408921961481</v>
      </c>
      <c r="K51" s="1">
        <f>IF(552890&gt;0,100*46182/552890,"")</f>
        <v>8.352836911501385</v>
      </c>
      <c r="L51" s="1">
        <f>IF(COUNT(J51:K51)=2,K51-J51,"")</f>
        <v>-1.4012523081134258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IF(358920&gt;0,100*17073/358920,"")</f>
        <v>4.756770310932798</v>
      </c>
      <c r="S51" s="1">
        <f>IF(COUNT(Q51:R51)=2,R51-Q51,"")</f>
        <v>2.6057119802416886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IF(429044&gt;0,100*23027/429044,"")</f>
        <v>5.36704860107588</v>
      </c>
      <c r="E52" s="1">
        <f>IF(COUNT(C52:D52)=2,D52-C52,"")</f>
        <v>4.993297490332805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IF(346834&gt;0,100*51412/346834,"")</f>
        <v>14.823229556502534</v>
      </c>
      <c r="L52" s="1">
        <f>IF(COUNT(J52:K52)=2,K52-J52,"")</f>
        <v>-3.276807407758861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IF(395072&gt;0,100*5504/395072,"")</f>
        <v>1.3931637777417787</v>
      </c>
      <c r="S52" s="1">
        <f>IF(COUNT(Q52:R52)=2,R52-Q52,"")</f>
        <v>-11.047896193493667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IF(511685&gt;0,100*200555/511685,"")</f>
        <v>39.19501255655335</v>
      </c>
      <c r="E53" s="1">
        <f>IF(COUNT(C53:D53)=2,D53-C53,"")</f>
        <v>-1.6779259595681353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IF(602606&gt;0,100*169040/602606,"")</f>
        <v>28.051496334254885</v>
      </c>
      <c r="L53" s="1">
        <f>IF(COUNT(J53:K53)=2,K53-J53,"")</f>
        <v>-0.2708214975968666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IF(505358&gt;0,100*123772/505358,"")</f>
        <v>24.4919443246174</v>
      </c>
      <c r="S53" s="1">
        <f>IF(COUNT(Q53:R53)=2,R53-Q53,"")</f>
        <v>-29.43559822186345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IF(304964&gt;0,100*93184/304964,"")</f>
        <v>30.55573772642017</v>
      </c>
      <c r="E54" s="1">
        <f>IF(COUNT(C54:D54)=2,D54-C54,"")</f>
        <v>-15.56259547375788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IF(160123&gt;0,100*41336/160123,"")</f>
        <v>25.815154599901327</v>
      </c>
      <c r="L54" s="1">
        <f>IF(COUNT(J54:K54)=2,K54-J54,"")</f>
        <v>-23.742444322488886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IF(581255&gt;0,100*46951/581255,"")</f>
        <v>8.077521913789989</v>
      </c>
      <c r="S54" s="1">
        <f>IF(COUNT(Q54:R54)=2,R54-Q54,"")</f>
        <v>-43.38021207635779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IF(339114&gt;0,100*8356/339114,"")</f>
        <v>2.4640681304811953</v>
      </c>
      <c r="E55" s="1">
        <f>IF(COUNT(C55:D55)=2,D55-C55,"")</f>
        <v>0.024171260838506736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IF(638973&gt;0,100*133984/638973,"")</f>
        <v>20.968648127542167</v>
      </c>
      <c r="L55" s="1">
        <f>IF(COUNT(J55:K55)=2,K55-J55,"")</f>
        <v>-21.57943235687123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IF(702762&gt;0,100*229080/702762,"")</f>
        <v>32.59709546048307</v>
      </c>
      <c r="S55" s="1">
        <f>IF(COUNT(Q55:R55)=2,R55-Q55,"")</f>
        <v>2.1402255683504485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IF(376796&gt;0,100*3594/376796,"")</f>
        <v>0.9538317816537331</v>
      </c>
      <c r="E56" s="1">
        <f>IF(COUNT(C56:D56)=2,D56-C56,"")</f>
        <v>-8.84946675479534</v>
      </c>
      <c r="H56" s="1">
        <v>18</v>
      </c>
      <c r="I56" s="1">
        <v>17</v>
      </c>
      <c r="J56" s="4">
        <f>IF(0&gt;0,100*0/0,"")</f>
        <v/>
      </c>
      <c r="K56" s="1">
        <f>IF(889805&gt;0,100*123873/889805,"")</f>
        <v>13.921364793409792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IF(486859&gt;0,100*20085/486859,"")</f>
        <v>4.125424404190946</v>
      </c>
      <c r="S56" s="1">
        <f>IF(COUNT(Q56:R56)=2,R56-Q56,"")</f>
        <v>-45.33539413203936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IF(468159&gt;0,100*209601/468159,"")</f>
        <v>44.77132768995149</v>
      </c>
      <c r="E57" s="1">
        <f>IF(COUNT(C57:D57)=2,D57-C57,"")</f>
        <v>0.8302243141059691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IF(656761&gt;0,100*99822/656761,"")</f>
        <v>15.199136367719763</v>
      </c>
      <c r="L57" s="1">
        <f>IF(COUNT(J57:K57)=2,K57-J57,"")</f>
        <v>-15.36795659781324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IF(730938&gt;0,100*59053/730938,"")</f>
        <v>8.079071001918082</v>
      </c>
      <c r="S57" s="1">
        <f>IF(COUNT(Q57:R57)=2,R57-Q57,"")</f>
        <v>-30.63966103365167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IF(683459&gt;0,100*201477/683459,"")</f>
        <v>29.47901776112393</v>
      </c>
      <c r="E58" s="1">
        <f>IF(COUNT(C58:D58)=2,D58-C58,"")</f>
        <v>-14.928506284022912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IF(826133&gt;0,100*95494/826133,"")</f>
        <v>11.559155729162253</v>
      </c>
      <c r="L58" s="1">
        <f>IF(COUNT(J58:K58)=2,K58-J58,"")</f>
        <v>-36.86193986214893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IF(525816&gt;0,100*87966/525816,"")</f>
        <v>16.729426263179516</v>
      </c>
      <c r="S58" s="1">
        <f>IF(COUNT(Q58:R58)=2,R58-Q58,"")</f>
        <v>-24.697069302021465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IF(390832&gt;0,100*73910/390832,"")</f>
        <v>18.910938715355957</v>
      </c>
      <c r="E59" s="1">
        <f>IF(COUNT(C59:D59)=2,D59-C59,"")</f>
        <v>-5.859918304735242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IF(720614&gt;0,100*95543/720614,"")</f>
        <v>13.258554510459136</v>
      </c>
      <c r="L59" s="1">
        <f>IF(COUNT(J59:K59)=2,K59-J59,"")</f>
        <v>-29.625215974512827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IF(704332&gt;0,100*176267/704332,"")</f>
        <v>25.02612404377481</v>
      </c>
      <c r="S59" s="1">
        <f>IF(COUNT(Q59:R59)=2,R59-Q59,"")</f>
        <v>-21.9619179137804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IF(287075&gt;0,100*105020/287075,"")</f>
        <v>36.58277453627101</v>
      </c>
      <c r="E60" s="1">
        <f>IF(COUNT(C60:D60)=2,D60-C60,"")</f>
        <v>-15.992692911352329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IF(239642&gt;0,100*92854/239642,"")</f>
        <v>38.7469642216306</v>
      </c>
      <c r="L60" s="1">
        <f>IF(COUNT(J60:K60)=2,K60-J60,"")</f>
        <v>-13.547806376234782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IF(913389&gt;0,100*284637/913389,"")</f>
        <v>31.162735701875103</v>
      </c>
      <c r="L61" s="1">
        <f>IF(COUNT(J61:K61)=2,K61-J61,"")</f>
        <v>-25.0098255419266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IF(641867&gt;0,100*76693/641867,"")</f>
        <v>11.948425452624921</v>
      </c>
      <c r="S61" s="1">
        <f>IF(COUNT(Q61:R61)=2,R61-Q61,"")</f>
        <v>-34.30923114689958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IF(815239&gt;0,100*154198/815239,"")</f>
        <v>18.91445330755766</v>
      </c>
      <c r="E62" s="1">
        <f>IF(COUNT(C62:D62)=2,D62-C62,"")</f>
        <v>0.2554006429016873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IF(767032&gt;0,100*88853/767032,"")</f>
        <v>11.584001710489263</v>
      </c>
      <c r="S62" s="1">
        <f>IF(COUNT(Q62:R62)=2,R62-Q62,"")</f>
        <v>-10.01366017480259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IF(404324&gt;0,100*160619/404324,"")</f>
        <v>39.72531929838446</v>
      </c>
      <c r="E63" s="1">
        <f>IF(COUNT(C63:D63)=2,D63-C63,"")</f>
        <v>-6.54342719291396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IF(602275&gt;0,100*32710/602275,"")</f>
        <v>5.4310738450043585</v>
      </c>
      <c r="L63" s="1">
        <f>IF(COUNT(J63:K63)=2,K63-J63,"")</f>
        <v>-34.73578101889301</v>
      </c>
      <c r="O63" s="1">
        <v>25</v>
      </c>
      <c r="P63" s="1">
        <v>24</v>
      </c>
      <c r="Q63" s="1">
        <f>IF(550634&gt;0,100*246413/550634,"")</f>
        <v>44.7507781938638</v>
      </c>
      <c r="R63" s="1">
        <f>IF(861126&gt;0,100*152480/861126,"")</f>
        <v>17.707048678126082</v>
      </c>
      <c r="S63" s="1">
        <f>IF(COUNT(Q63:R63)=2,R63-Q63,"")</f>
        <v>-27.04372951573772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IF(626669&gt;0,100*245880/626669,"")</f>
        <v>39.23602412118678</v>
      </c>
      <c r="E64" s="1">
        <f>IF(COUNT(C64:D64)=2,D64-C64,"")</f>
        <v>-11.458735151825302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IF(580829&gt;0,100*94952/580829,"")</f>
        <v>16.347668590927796</v>
      </c>
      <c r="L64" s="1">
        <f>IF(COUNT(J64:K64)=2,K64-J64,"")</f>
        <v>-2.29144207385308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IF(480688&gt;0,100*46985/480688,"")</f>
        <v>9.774531504843058</v>
      </c>
      <c r="S64" s="1">
        <f>IF(COUNT(Q64:R64)=2,R64-Q64,"")</f>
        <v>-36.419337436752514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IF(415497&gt;0,100*130238/415497,"")</f>
        <v>31.345111998401915</v>
      </c>
      <c r="E65" s="1">
        <f>IF(COUNT(C65:D65)=2,D65-C65,"")</f>
        <v>5.678257572673015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IF(785920&gt;0,100*219269/785920,"")</f>
        <v>27.899658998371336</v>
      </c>
      <c r="L65" s="1">
        <f>IF(COUNT(J65:K65)=2,K65-J65,"")</f>
        <v>-9.293679744429781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IF(745955&gt;0,100*140023/745955,"")</f>
        <v>18.770971439295938</v>
      </c>
      <c r="S65" s="1">
        <f>IF(COUNT(Q65:R65)=2,R65-Q65,"")</f>
        <v>-6.494564800645332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IF(437737&gt;0,100*78986/437737,"")</f>
        <v>18.0441680735236</v>
      </c>
      <c r="L66" s="1">
        <f>IF(COUNT(J66:K66)=2,K66-J66,"")</f>
        <v>-21.888762304290417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IF(400072&gt;0,100*112324/400072,"")</f>
        <v>28.07594632966066</v>
      </c>
      <c r="S66" s="1">
        <f>IF(COUNT(Q66:R66)=2,R66-Q66,"")</f>
        <v>2.006218565138358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IF(469145&gt;0,100*164391/469145,"")</f>
        <v>35.04055249443136</v>
      </c>
      <c r="E67" s="1">
        <f>IF(COUNT(C67:D67)=2,D67-C67,"")</f>
        <v>-6.0227541877059565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IF(572525&gt;0,100*160568/572525,"")</f>
        <v>28.045587528928866</v>
      </c>
      <c r="L67" s="1">
        <f>IF(COUNT(J67:K67)=2,K67-J67,"")</f>
        <v>-23.507901616788548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IF(494642&gt;0,100*109616/494642,"")</f>
        <v>22.160673780228933</v>
      </c>
      <c r="S67" s="1">
        <f>IF(COUNT(Q67:R67)=2,R67-Q67,"")</f>
        <v>-22.79311252694083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IF(680289&gt;0,100*228456/680289,"")</f>
        <v>33.582198154019835</v>
      </c>
      <c r="E68" s="1">
        <f>IF(COUNT(C68:D68)=2,D68-C68,"")</f>
        <v>-11.623929872463094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IF(572184&gt;0,100*94468/572184,"")</f>
        <v>16.510073682591614</v>
      </c>
      <c r="L68" s="1">
        <f>IF(COUNT(J68:K68)=2,K68-J68,"")</f>
        <v>-1.9216514759311494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IF(460995&gt;0,100*41830/460995,"")</f>
        <v>9.073851126367964</v>
      </c>
      <c r="S68" s="1">
        <f>IF(COUNT(Q68:R68)=2,R68-Q68,"")</f>
        <v>5.21485904072663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IF(522722&gt;0,100*68586/522722,"")</f>
        <v>13.120932350274142</v>
      </c>
      <c r="E69" s="1">
        <f>IF(COUNT(C69:D69)=2,D69-C69,"")</f>
        <v>12.475152714047253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IF(689176&gt;0,100*63893/689176,"")</f>
        <v>9.270926439690296</v>
      </c>
      <c r="L69" s="1">
        <f>IF(COUNT(J69:K69)=2,K69-J69,"")</f>
        <v>-22.989254711028476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IF(469421&gt;0,100*61788/469421,"")</f>
        <v>13.162598179459376</v>
      </c>
      <c r="S69" s="1">
        <f>IF(COUNT(Q69:R69)=2,R69-Q69,"")</f>
        <v>-12.419938110524338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25.82856841193677</v>
      </c>
      <c r="E70" s="1">
        <f>IF(COUNT(E39:E69)&gt;0,AVERAGE(E39:E69),"")</f>
        <v>-7.238081307800845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17.012302837614147</v>
      </c>
      <c r="L70" s="1">
        <f>IF(COUNT(L39:L69)&gt;0,AVERAGE(L39:L69),"")</f>
        <v>-15.893076287454141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18.057617305159997</v>
      </c>
      <c r="S70" s="1">
        <f>IF(COUNT(S39:S69)&gt;0,AVERAGE(S39:S69),"")</f>
        <v>-13.785210395549544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IF(535928&gt;0,100*35626/535928,"")</f>
        <v>6.647534743473003</v>
      </c>
      <c r="E75" s="1">
        <f>IF(COUNT(C75:D75)=2,D75-C75,"")</f>
        <v>3.0236661606854582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IF(822435&gt;0,100*235773/822435,"")</f>
        <v>28.66767586496197</v>
      </c>
      <c r="L75" s="1">
        <f>IF(COUNT(J75:K75)=2,K75-J75,"")</f>
        <v>-25.649569392526324</v>
      </c>
      <c r="O75" s="1">
        <v>1</v>
      </c>
      <c r="P75" s="1">
        <v>0</v>
      </c>
      <c r="Q75" s="1">
        <f>IF(517487&gt;0,100*261929/517487,"")</f>
        <v>50.61557101917536</v>
      </c>
      <c r="R75" s="1">
        <f>IF(909055&gt;0,100*326865/909055,"")</f>
        <v>35.95657028452624</v>
      </c>
      <c r="S75" s="1">
        <f>IF(COUNT(Q75:R75)=2,R75-Q75,"")</f>
        <v>-14.659000734649126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IF(367398&gt;0,100*134610/367398,"")</f>
        <v>36.63874054839711</v>
      </c>
      <c r="E76" s="1">
        <f>IF(COUNT(C76:D76)=2,D76-C76,"")</f>
        <v>-6.720685970451271</v>
      </c>
      <c r="H76" s="1">
        <v>2</v>
      </c>
      <c r="I76" s="1">
        <v>1</v>
      </c>
      <c r="J76" s="1">
        <f>IF(591060&gt;0,100*305577/591060,"")</f>
        <v>51.69982742868744</v>
      </c>
      <c r="K76" s="1">
        <f>IF(563931&gt;0,100*217117/563931,"")</f>
        <v>38.50063216953847</v>
      </c>
      <c r="L76" s="1">
        <f>IF(COUNT(J76:K76)=2,K76-J76,"")</f>
        <v>-13.199195259148972</v>
      </c>
      <c r="O76" s="1">
        <v>2</v>
      </c>
      <c r="P76" s="1">
        <v>1</v>
      </c>
      <c r="Q76" s="1">
        <f>IF(548205&gt;0,100*279421/548205,"")</f>
        <v>50.97016626991728</v>
      </c>
      <c r="R76" s="1">
        <f>IF(560160&gt;0,100*223429/560160,"")</f>
        <v>39.88663953156241</v>
      </c>
      <c r="S76" s="1">
        <f>IF(COUNT(Q76:R76)=2,R76-Q76,"")</f>
        <v>-11.08352673835487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IF(314587&gt;0,100*127682/314587,"")</f>
        <v>40.587182559991355</v>
      </c>
      <c r="E77" s="1">
        <f>IF(COUNT(C77:D77)=2,D77-C77,"")</f>
        <v>-6.808174872531261</v>
      </c>
      <c r="H77" s="1">
        <v>3</v>
      </c>
      <c r="I77" s="1">
        <v>2</v>
      </c>
      <c r="J77" s="1">
        <f>IF(584205&gt;0,100*244646/584205,"")</f>
        <v>41.87673847365223</v>
      </c>
      <c r="K77" s="1">
        <f>IF(836955&gt;0,100*152670/836955,"")</f>
        <v>18.241124074771044</v>
      </c>
      <c r="L77" s="1">
        <f>IF(COUNT(J77:K77)=2,K77-J77,"")</f>
        <v>-23.635614398881188</v>
      </c>
      <c r="O77" s="1">
        <v>3</v>
      </c>
      <c r="P77" s="1">
        <v>2</v>
      </c>
      <c r="Q77" s="1">
        <f>IF(871024&gt;0,100*37031/871024,"")</f>
        <v>4.2514327963408585</v>
      </c>
      <c r="R77" s="1">
        <f>IF(397601&gt;0,100*30196/397601,"")</f>
        <v>7.594548303449941</v>
      </c>
      <c r="S77" s="1">
        <f>IF(COUNT(Q77:R77)=2,R77-Q77,"")</f>
        <v>3.343115507109083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IF(818742&gt;0,100*333246/818742,"")</f>
        <v>40.70219922759551</v>
      </c>
      <c r="E78" s="1">
        <f>IF(COUNT(C78:D78)=2,D78-C78,"")</f>
        <v>-8.361229322813415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IF(679566&gt;0,100*39478/679566,"")</f>
        <v>5.809295932992527</v>
      </c>
      <c r="L78" s="1">
        <f>IF(COUNT(J78:K78)=2,K78-J78,"")</f>
        <v>-37.47191221974282</v>
      </c>
      <c r="O78" s="1">
        <v>4</v>
      </c>
      <c r="P78" s="1">
        <v>3</v>
      </c>
      <c r="Q78" s="1">
        <f>IF(663228&gt;0,100*363210/663228,"")</f>
        <v>54.76397257051874</v>
      </c>
      <c r="R78" s="1">
        <f>IF(661490&gt;0,100*44755/661490,"")</f>
        <v>6.765786330859121</v>
      </c>
      <c r="S78" s="1">
        <f>IF(COUNT(Q78:R78)=2,R78-Q78,"")</f>
        <v>-47.99818623965962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IF(790235&gt;0,100*144472/790235,"")</f>
        <v>18.28215657367745</v>
      </c>
      <c r="E79" s="1">
        <f>IF(COUNT(C79:D79)=2,D79-C79,"")</f>
        <v>-30.61554211955612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IF(419259&gt;0,100*123468/419259,"")</f>
        <v>29.449099482658692</v>
      </c>
      <c r="L79" s="1">
        <f>IF(COUNT(J79:K79)=2,K79-J79,"")</f>
        <v>-16.059132489596077</v>
      </c>
      <c r="O79" s="1">
        <v>5</v>
      </c>
      <c r="P79" s="1">
        <v>4</v>
      </c>
      <c r="Q79" s="1">
        <f>IF(322593&gt;0,100*116626/322593,"")</f>
        <v>36.152675352534</v>
      </c>
      <c r="R79" s="1">
        <f>IF(565477&gt;0,100*148441/565477,"")</f>
        <v>26.25058136758878</v>
      </c>
      <c r="S79" s="1">
        <f>IF(COUNT(Q79:R79)=2,R79-Q79,"")</f>
        <v>-9.902093984945218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IF(959464&gt;0,100*262636/959464,"")</f>
        <v>27.37320003668715</v>
      </c>
      <c r="E80" s="1">
        <f>IF(COUNT(C80:D80)=2,D80-C80,"")</f>
        <v>-11.479671866262677</v>
      </c>
      <c r="H80" s="1">
        <v>6</v>
      </c>
      <c r="I80" s="1">
        <v>5</v>
      </c>
      <c r="J80" s="1">
        <f>IF(417286&gt;0,100*124193/417286,"")</f>
        <v>29.76208164184756</v>
      </c>
      <c r="K80" s="1">
        <f>IF(722216&gt;0,100*173410/722216,"")</f>
        <v>24.010822247083976</v>
      </c>
      <c r="L80" s="1">
        <f>IF(COUNT(J80:K80)=2,K80-J80,"")</f>
        <v>-5.751259394763583</v>
      </c>
      <c r="O80" s="1">
        <v>6</v>
      </c>
      <c r="P80" s="1">
        <v>5</v>
      </c>
      <c r="Q80" s="1">
        <f>IF(460762&gt;0,100*159245/460762,"")</f>
        <v>34.56122683728259</v>
      </c>
      <c r="R80" s="1">
        <f>IF(534777&gt;0,100*110584/534777,"")</f>
        <v>20.67852581543335</v>
      </c>
      <c r="S80" s="1">
        <f>IF(COUNT(Q80:R80)=2,R80-Q80,"")</f>
        <v>-13.88270102184924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IF(554644&gt;0,100*122575/554644,"")</f>
        <v>22.09976128832188</v>
      </c>
      <c r="E81" s="1">
        <f>IF(COUNT(C81:D81)=2,D81-C81,"")</f>
        <v>-29.722150931939268</v>
      </c>
      <c r="H81" s="1">
        <v>7</v>
      </c>
      <c r="I81" s="1">
        <v>6</v>
      </c>
      <c r="J81" s="1">
        <f>IF(667678&gt;0,100*4575/667678,"")</f>
        <v>0.6852105356174683</v>
      </c>
      <c r="K81" s="1">
        <f>IF(747122&gt;0,100*74612/747122,"")</f>
        <v>9.98658853574115</v>
      </c>
      <c r="L81" s="1">
        <f>IF(COUNT(J81:K81)=2,K81-J81,"")</f>
        <v>9.301378000123682</v>
      </c>
      <c r="O81" s="1">
        <v>7</v>
      </c>
      <c r="P81" s="1">
        <v>6</v>
      </c>
      <c r="Q81" s="1">
        <f>IF(457006&gt;0,100*8837/457006,"")</f>
        <v>1.9336726432475722</v>
      </c>
      <c r="R81" s="1">
        <f>IF(951620&gt;0,100*163777/951620,"")</f>
        <v>17.21033605851075</v>
      </c>
      <c r="S81" s="1">
        <f>IF(COUNT(Q81:R81)=2,R81-Q81,"")</f>
        <v>15.27666341526318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IF(563986&gt;0,100*226970/563986,"")</f>
        <v>40.24390676364307</v>
      </c>
      <c r="E82" s="1">
        <f>IF(COUNT(C82:D82)=2,D82-C82,"")</f>
        <v>-7.14654447492979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IF(366530&gt;0,100*164244/366530,"")</f>
        <v>44.81052028483344</v>
      </c>
      <c r="E83" s="1">
        <f>IF(COUNT(C83:D83)=2,D83-C83,"")</f>
        <v>-2.217795025354384</v>
      </c>
      <c r="H83" s="1">
        <v>9</v>
      </c>
      <c r="I83" s="1">
        <v>8</v>
      </c>
      <c r="J83" s="1">
        <f>IF(408350&gt;0,100*224416/408350,"")</f>
        <v>54.95677727439696</v>
      </c>
      <c r="K83" s="1">
        <f>IF(791347&gt;0,100*342996/791347,"")</f>
        <v>43.343312099496174</v>
      </c>
      <c r="L83" s="1">
        <f>IF(COUNT(J83:K83)=2,K83-J83,"")</f>
        <v>-11.613465174900789</v>
      </c>
      <c r="O83" s="1">
        <v>9</v>
      </c>
      <c r="P83" s="1">
        <v>8</v>
      </c>
      <c r="Q83" s="1">
        <f>IF(401424&gt;0,100*207750/401424,"")</f>
        <v>51.75325840009566</v>
      </c>
      <c r="R83" s="1">
        <f>IF(545136&gt;0,100*236339/545136,"")</f>
        <v>43.35413548178803</v>
      </c>
      <c r="S83" s="1">
        <f>IF(COUNT(Q83:R83)=2,R83-Q83,"")</f>
        <v>-8.399122918307633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IF(471837&gt;0,100*48138/471837,"")</f>
        <v>10.20225204890672</v>
      </c>
      <c r="E84" s="1">
        <f>IF(COUNT(C84:D84)=2,D84-C84,"")</f>
        <v>9.054238683920117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IF(719000&gt;0,100*6987/719000,"")</f>
        <v>0.9717663421418637</v>
      </c>
      <c r="L84" s="1">
        <f>IF(COUNT(J84:K84)=2,K84-J84,"")</f>
        <v>-52.417305933213484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IF(955684&gt;0,100*154460/955684,"")</f>
        <v>16.16224609808263</v>
      </c>
      <c r="S84" s="1">
        <f>IF(COUNT(Q84:R84)=2,R84-Q84,"")</f>
        <v>0.765237854629726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IF(2874&gt;0,100*984/2874,"")</f>
        <v>34.23799582463466</v>
      </c>
      <c r="E85" s="1">
        <f>IF(COUNT(C85:D85)=2,D85-C85,"")</f>
        <v>-20.472051744267624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IF(842462&gt;0,100*53252/842462,"")</f>
        <v>6.320997267532541</v>
      </c>
      <c r="L85" s="1">
        <f>IF(COUNT(J85:K85)=2,K85-J85,"")</f>
        <v>-53.46283331146039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IF(886808&gt;0,100*131592/886808,"")</f>
        <v>14.838837719100415</v>
      </c>
      <c r="S85" s="1">
        <f>IF(COUNT(Q85:R85)=2,R85-Q85,"")</f>
        <v>-36.4201589343737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IF(490918&gt;0,100*227887/490918,"")</f>
        <v>46.42058347829984</v>
      </c>
      <c r="E86" s="1">
        <f>IF(COUNT(C86:D86)=2,D86-C86,"")</f>
        <v>1.1643900367086673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IF(911931&gt;0,100*15975/911931,"")</f>
        <v>1.7517772726225997</v>
      </c>
      <c r="L86" s="1">
        <f>IF(COUNT(J86:K86)=2,K86-J86,"")</f>
        <v>-54.043157073743494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IF(1055321&gt;0,100*293443/1055321,"")</f>
        <v>27.806041953111897</v>
      </c>
      <c r="S86" s="1">
        <f>IF(COUNT(Q86:R86)=2,R86-Q86,"")</f>
        <v>-25.812172009201067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IF(521843&gt;0,100*74070/521843,"")</f>
        <v>14.193924226251957</v>
      </c>
      <c r="E87" s="1">
        <f>IF(COUNT(C87:D87)=2,D87-C87,"")</f>
        <v>-10.109121352189684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IF(1222039&gt;0,100*377307/1222039,"")</f>
        <v>30.875201200616345</v>
      </c>
      <c r="L87" s="1">
        <f>IF(COUNT(J87:K87)=2,K87-J87,"")</f>
        <v>-14.190448378805542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IF(642319&gt;0,100*26028/642319,"")</f>
        <v>4.052192135060617</v>
      </c>
      <c r="S87" s="1">
        <f>IF(COUNT(Q87:R87)=2,R87-Q87,"")</f>
        <v>2.4931732963523365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IF(446075&gt;0,100*29734/446075,"")</f>
        <v>6.665695230622653</v>
      </c>
      <c r="E88" s="1">
        <f>IF(COUNT(C88:D88)=2,D88-C88,"")</f>
        <v>-6.278717194073266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IF(420630&gt;0,100*18746/420630,"")</f>
        <v>4.456648360792145</v>
      </c>
      <c r="S88" s="1">
        <f>IF(COUNT(Q88:R88)=2,R88-Q88,"")</f>
        <v>-1.6147132391391725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IF(360683&gt;0,100*158533/360683,"")</f>
        <v>43.953554783563405</v>
      </c>
      <c r="E89" s="1">
        <f>IF(COUNT(C89:D89)=2,D89-C89,"")</f>
        <v>-7.061689145478596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IF(722762&gt;0,100*199924/722762,"")</f>
        <v>27.661111126484236</v>
      </c>
      <c r="L89" s="1">
        <f>IF(COUNT(J89:K89)=2,K89-J89,"")</f>
        <v>11.055628686773591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IF(1110646&gt;0,100*384548/1110646,"")</f>
        <v>34.623813528342964</v>
      </c>
      <c r="S89" s="1">
        <f>IF(COUNT(Q89:R89)=2,R89-Q89,"")</f>
        <v>14.070677918435138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IF(567819&gt;0,100*208794/567819,"")</f>
        <v>36.771224633201776</v>
      </c>
      <c r="E90" s="1">
        <f>IF(COUNT(C90:D90)=2,D90-C90,"")</f>
        <v>-5.323674665528323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IF(1001041&gt;0,100*199340/1001041,"")</f>
        <v>19.913270285632656</v>
      </c>
      <c r="L90" s="1">
        <f>IF(COUNT(J90:K90)=2,K90-J90,"")</f>
        <v>-32.11488939060334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IF(804811&gt;0,100*138814/804811,"")</f>
        <v>17.24802469151142</v>
      </c>
      <c r="S90" s="1">
        <f>IF(COUNT(Q90:R90)=2,R90-Q90,"")</f>
        <v>-40.33794503432115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IF(420031&gt;0,100*11672/420031,"")</f>
        <v>2.7788425140049187</v>
      </c>
      <c r="E91" s="1">
        <f>IF(COUNT(C91:D91)=2,D91-C91,"")</f>
        <v>-1.9166918875564827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IF(652756&gt;0,100*172952/652756,"")</f>
        <v>26.495658408348604</v>
      </c>
      <c r="L91" s="1">
        <f>IF(COUNT(J91:K91)=2,K91-J91,"")</f>
        <v>24.107927499461354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IF(645076&gt;0,100*135519/645076,"")</f>
        <v>21.00822228698634</v>
      </c>
      <c r="S91" s="1">
        <f>IF(COUNT(Q91:R91)=2,R91-Q91,"")</f>
        <v>-20.12379266363788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IF(472060&gt;0,100*9308/472060,"")</f>
        <v>1.971783247892217</v>
      </c>
      <c r="E92" s="1">
        <f>IF(COUNT(C92:D92)=2,D92-C92,"")</f>
        <v>-16.042139799827442</v>
      </c>
      <c r="H92" s="1">
        <v>18</v>
      </c>
      <c r="I92" s="1">
        <v>17</v>
      </c>
      <c r="J92" s="4"/>
      <c r="K92" s="1">
        <f>IF(862553&gt;0,100*189547/862553,"")</f>
        <v>21.97511341332069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IF(949023&gt;0,100*119988/949023,"")</f>
        <v>12.643318444336966</v>
      </c>
      <c r="S92" s="1">
        <f>IF(COUNT(Q92:R92)=2,R92-Q92,"")</f>
        <v>-38.87100913774549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IF(671107&gt;0,100*288519/671107,"")</f>
        <v>42.99150508041192</v>
      </c>
      <c r="E93" s="1">
        <f>IF(COUNT(C93:D93)=2,D93-C93,"")</f>
        <v>-8.528643898858249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IF(460519&gt;0,100*22394/460519,"")</f>
        <v>4.8627743915017625</v>
      </c>
      <c r="L93" s="1">
        <f>IF(COUNT(J93:K93)=2,K93-J93,"")</f>
        <v>-10.880194164044575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IF(597905&gt;0,100*139570/597905,"")</f>
        <v>23.343173246585994</v>
      </c>
      <c r="S93" s="1">
        <f>IF(COUNT(Q93:R93)=2,R93-Q93,"")</f>
        <v>-25.765315954114204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IF(890605&gt;0,100*226231/890605,"")</f>
        <v>25.401945868258093</v>
      </c>
      <c r="E94" s="1">
        <f>IF(COUNT(C94:D94)=2,D94-C94,"")</f>
        <v>-20.163383806505852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IF(814005&gt;0,100*181295/814005,"")</f>
        <v>22.271976216362308</v>
      </c>
      <c r="L94" s="1">
        <f>IF(COUNT(J94:K94)=2,K94-J94,"")</f>
        <v>0.6656398405197415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IF(762260&gt;0,100*156244/762260,"")</f>
        <v>20.497468055519114</v>
      </c>
      <c r="S94" s="1">
        <f>IF(COUNT(Q94:R94)=2,R94-Q94,"")</f>
        <v>-29.684407872991734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IF(524245&gt;0,100*161914/524245,"")</f>
        <v>30.88517773178571</v>
      </c>
      <c r="E95" s="1">
        <f>IF(COUNT(C95:D95)=2,D95-C95,"")</f>
        <v>-18.064349062016888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IF(812054&gt;0,100*363183/812054,"")</f>
        <v>44.723996187445664</v>
      </c>
      <c r="L95" s="1">
        <f>IF(COUNT(J95:K95)=2,K95-J95,"")</f>
        <v>-11.570895769198984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IF(232664&gt;0,100*3690/232664,"")</f>
        <v>1.58597806278582</v>
      </c>
      <c r="S95" s="1">
        <f>IF(COUNT(Q95:R95)=2,R95-Q95,"")</f>
        <v>-53.11972343688965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IF(405508&gt;0,100*162832/405508,"")</f>
        <v>40.155064758278506</v>
      </c>
      <c r="E96" s="1">
        <f>IF(COUNT(C96:D96)=2,D96-C96,"")</f>
        <v>3.5738285967178953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IF(170177&gt;0,100*64793/170177,"")</f>
        <v>38.073887775668865</v>
      </c>
      <c r="L96" s="1">
        <f>IF(COUNT(J96:K96)=2,K96-J96,"")</f>
        <v>-11.807146178721169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IF(230947&gt;0,100*77409/230947,"")</f>
        <v>33.518079905779246</v>
      </c>
      <c r="S96" s="1">
        <f>IF(COUNT(Q96:R96)=2,R96-Q96,"")</f>
        <v>-7.538718064888741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IF(352065&gt;0,100*5070/352065,"")</f>
        <v>1.4400749861531252</v>
      </c>
      <c r="E97" s="1">
        <f>IF(COUNT(C97:D97)=2,D97-C97,"")</f>
        <v>1.2482871112657523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IF(1012763&gt;0,100*406284/1012763,"")</f>
        <v>40.11639445753843</v>
      </c>
      <c r="L97" s="1">
        <f>IF(COUNT(J97:K97)=2,K97-J97,"")</f>
        <v>-14.174374489143403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IF(864358&gt;0,100*330088/864358,"")</f>
        <v>38.18880602713227</v>
      </c>
      <c r="S97" s="1">
        <f>IF(COUNT(Q97:R97)=2,R97-Q97,"")</f>
        <v>-5.294496244868498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IF(951366&gt;0,100*195263/951366,"")</f>
        <v>20.52448794680491</v>
      </c>
      <c r="E98" s="1">
        <f>IF(COUNT(C98:D98)=2,D98-C98,"")</f>
        <v>-19.987259782096636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IF(722077&gt;0,100*18846/722077,"")</f>
        <v>2.6099709587758646</v>
      </c>
      <c r="L98" s="1">
        <f>IF(COUNT(J98:K98)=2,K98-J98,"")</f>
        <v>-44.76962520046416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IF(730318&gt;0,100*148234/730318,"")</f>
        <v>20.297185609556387</v>
      </c>
      <c r="S98" s="1">
        <f>IF(COUNT(Q98:R98)=2,R98-Q98,"")</f>
        <v>-5.983584405871124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IF(440518&gt;0,100*188381/440518,"")</f>
        <v>42.76351931135618</v>
      </c>
      <c r="E99" s="1">
        <f>IF(COUNT(C99:D99)=2,D99-C99,"")</f>
        <v>-1.9268184163231439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IF(844675&gt;0,100*66462/844675,"")</f>
        <v>7.868351732915026</v>
      </c>
      <c r="L99" s="1">
        <f>IF(COUNT(J99:K99)=2,K99-J99,"")</f>
        <v>-43.40379991480373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IF(1161603&gt;0,100*250871/1161603,"")</f>
        <v>21.59696557257514</v>
      </c>
      <c r="S99" s="1">
        <f>IF(COUNT(Q99:R99)=2,R99-Q99,"")</f>
        <v>-20.971105525154247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IF(763110&gt;0,100*323012/763110,"")</f>
        <v>42.328366814744925</v>
      </c>
      <c r="E100" s="1">
        <f>IF(COUNT(C100:D100)=2,D100-C100,"")</f>
        <v>-8.864086586100363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IF(779616&gt;0,100*152723/779616,"")</f>
        <v>19.589515864220335</v>
      </c>
      <c r="L100" s="1">
        <f>IF(COUNT(J100:K100)=2,K100-J100,"")</f>
        <v>13.51333990378484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IF(733518&gt;0,100*165327/733518,"")</f>
        <v>22.53891520044498</v>
      </c>
      <c r="S100" s="1">
        <f>IF(COUNT(Q100:R100)=2,R100-Q100,"")</f>
        <v>-37.04904908663559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IF(490601&gt;0,100*158595/490601,"")</f>
        <v>32.32667687183679</v>
      </c>
      <c r="E101" s="1">
        <f>IF(COUNT(C101:D101)=2,D101-C101,"")</f>
        <v>-25.48821345066378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IF(803037&gt;0,100*272762/803037,"")</f>
        <v>33.96630541307561</v>
      </c>
      <c r="L101" s="1">
        <f>IF(COUNT(J101:K101)=2,K101-J101,"")</f>
        <v>14.136244679627172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IF(904321&gt;0,100*305565/904321,"")</f>
        <v>33.78943981174826</v>
      </c>
      <c r="S101" s="1">
        <f>IF(COUNT(Q101:R101)=2,R101-Q101,"")</f>
        <v>15.339525660419703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IF(684876&gt;0,100*210372/684876,"")</f>
        <v>30.71680128957651</v>
      </c>
      <c r="L102" s="1">
        <f>IF(COUNT(J102:K102)=2,K102-J102,"")</f>
        <v>-3.9309063622147917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IF(598901&gt;0,100*162112/598901,"")</f>
        <v>27.06824667182055</v>
      </c>
      <c r="S102" s="1">
        <f>IF(COUNT(Q102:R102)=2,R102-Q102,"")</f>
        <v>-1.5259320816094792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IF(557030&gt;0,100*214378/557030,"")</f>
        <v>38.48589842557851</v>
      </c>
      <c r="E103" s="1">
        <f>IF(COUNT(C103:D103)=2,D103-C103,"")</f>
        <v>-17.662246957012165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IF(697192&gt;0,100*271168/697192,"")</f>
        <v>38.89430745045841</v>
      </c>
      <c r="L103" s="1">
        <f>IF(COUNT(J103:K103)=2,K103-J103,"")</f>
        <v>-17.285465195261516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IF(875264&gt;0,100*212879/875264,"")</f>
        <v>24.321690369991227</v>
      </c>
      <c r="S103" s="1">
        <f>IF(COUNT(Q103:R103)=2,R103-Q103,"")</f>
        <v>-26.84480127562561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IF(807197&gt;0,100*366655/807197,"")</f>
        <v>45.42323621123468</v>
      </c>
      <c r="E104" s="1">
        <f>IF(COUNT(C104:D104)=2,D104-C104,"")</f>
        <v>-7.0845962686637165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IF(652747&gt;0,100*10064/652747,"")</f>
        <v>1.5417918427813533</v>
      </c>
      <c r="L104" s="1">
        <f>IF(COUNT(J104:K104)=2,K104-J104,"")</f>
        <v>-26.569381624903013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IF(811997&gt;0,100*13420/811997,"")</f>
        <v>1.6527154656975334</v>
      </c>
      <c r="E105" s="1">
        <f>IF(COUNT(C105:D105)=2,D105-C105,"")</f>
        <v>-20.814990547665495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IF(705768&gt;0,100*200789/705768,"")</f>
        <v>28.44971718751771</v>
      </c>
      <c r="L105" s="1">
        <f>IF(COUNT(J105:K105)=2,K105-J105,"")</f>
        <v>11.106117190494512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IF(628781&gt;0,100*85679/628781,"")</f>
        <v>13.62620689874535</v>
      </c>
      <c r="S105" s="1">
        <f>IF(COUNT(Q105:R105)=2,R105-Q105,"")</f>
        <v>-25.866951073433796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27.068228787852988</v>
      </c>
      <c r="E106" s="1">
        <f>IF(COUNT(E75:E105)&gt;0,AVERAGE(E75:E105),"")</f>
        <v>-9.705497995489443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20.92754987445771</v>
      </c>
      <c r="L106" s="1">
        <f>IF(COUNT(L75:L105)&gt;0,AVERAGE(L75:L105),"")</f>
        <v>-15.470788506218632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20.3846293457323</v>
      </c>
      <c r="S106" s="1">
        <f>IF(COUNT(S75:S105)&gt;0,AVERAGE(S75:S105),"")</f>
        <v>-14.797708393281892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IF(379261&gt;0,100*55009/379261,"")</f>
        <v>14.504259599589728</v>
      </c>
      <c r="E3" s="1">
        <f>IF(COUNT(C3:D3)=2,D3-C3,"")</f>
        <v>-1.134712946124587</v>
      </c>
      <c r="H3" s="1">
        <v>1</v>
      </c>
      <c r="I3" s="1">
        <v>0</v>
      </c>
      <c r="J3" s="1">
        <f>IF(215009&gt;0,100*58251/215009,"")</f>
        <v>27.09235427354204</v>
      </c>
      <c r="K3" s="1">
        <f>IF(368625&gt;0,100*73641/368625,"")</f>
        <v>19.977212614445573</v>
      </c>
      <c r="L3" s="1">
        <f>IF(COUNT(J3:K3)=2,K3-J3,"")</f>
        <v>-7.115141659096466</v>
      </c>
      <c r="O3" s="1">
        <v>1</v>
      </c>
      <c r="P3" s="1">
        <v>0</v>
      </c>
      <c r="Q3" s="1">
        <f>IF(558995&gt;0,100*195788/558995,"")</f>
        <v>35.0250002236156</v>
      </c>
      <c r="R3" s="1">
        <f>IF(493763&gt;0,100*75459/493763,"")</f>
        <v>15.282433070116635</v>
      </c>
      <c r="S3" s="1">
        <f>IF(COUNT(Q3:R3)=2,R3-Q3,"")</f>
        <v>-19.742567153498964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IF(134010&gt;0,100*40327/134010,"")</f>
        <v>30.092530408178494</v>
      </c>
      <c r="E4" s="1">
        <f>IF(COUNT(C4:D4)=2,D4-C4,"")</f>
        <v>-17.723035944112635</v>
      </c>
      <c r="H4" s="1">
        <v>2</v>
      </c>
      <c r="I4" s="1">
        <v>1</v>
      </c>
      <c r="J4" s="1">
        <f>IF(296332&gt;0,100*64971/296332,"")</f>
        <v>21.925070529001257</v>
      </c>
      <c r="K4" s="1">
        <f>IF(298023&gt;0,100*41423/298023,"")</f>
        <v>13.899262808575177</v>
      </c>
      <c r="L4" s="1">
        <f>IF(COUNT(J4:K4)=2,K4-J4,"")</f>
        <v>-8.02580772042608</v>
      </c>
      <c r="O4" s="1">
        <v>2</v>
      </c>
      <c r="P4" s="1">
        <v>1</v>
      </c>
      <c r="Q4" s="1">
        <f>IF(348213&gt;0,100*131600/348213,"")</f>
        <v>37.792960056057645</v>
      </c>
      <c r="R4" s="1">
        <f>IF(279950&gt;0,100*60846/279950,"")</f>
        <v>21.73459546347562</v>
      </c>
      <c r="S4" s="1">
        <f>IF(COUNT(Q4:R4)=2,R4-Q4,"")</f>
        <v>-16.058364592582024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IF(378091&gt;0,100*89178/378091,"")</f>
        <v>23.586385288197814</v>
      </c>
      <c r="E5" s="1">
        <f>IF(COUNT(C5:D5)=2,D5-C5,"")</f>
        <v>-18.633387644766334</v>
      </c>
      <c r="H5" s="1">
        <v>3</v>
      </c>
      <c r="I5" s="1">
        <v>2</v>
      </c>
      <c r="J5" s="1">
        <f>IF(328831&gt;0,100*62705/328831,"")</f>
        <v>19.069065872743142</v>
      </c>
      <c r="K5" s="1">
        <f>IF(445003&gt;0,100*32638/445003,"")</f>
        <v>7.334332577533186</v>
      </c>
      <c r="L5" s="1">
        <f>IF(COUNT(J5:K5)=2,K5-J5,"")</f>
        <v>-11.734733295209956</v>
      </c>
      <c r="O5" s="1">
        <v>3</v>
      </c>
      <c r="P5" s="1">
        <v>2</v>
      </c>
      <c r="Q5" s="1">
        <f>IF(499604&gt;0,100*190955/499604,"")</f>
        <v>38.221271246827484</v>
      </c>
      <c r="R5" s="1">
        <f>IF(508021&gt;0,100*81332/508021,"")</f>
        <v>16.009574407357174</v>
      </c>
      <c r="S5" s="1">
        <f>IF(COUNT(Q5:R5)=2,R5-Q5,"")</f>
        <v>-22.21169683947031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IF(463666&gt;0,100*18927/463666,"")</f>
        <v>4.082033187682513</v>
      </c>
      <c r="E6" s="1">
        <f>IF(COUNT(C6:D6)=2,D6-C6,"")</f>
        <v>-34.64389393582547</v>
      </c>
      <c r="H6" s="1">
        <v>4</v>
      </c>
      <c r="I6" s="1">
        <v>3</v>
      </c>
      <c r="J6" s="1">
        <f>IF(464767&gt;0,100*69099/464767,"")</f>
        <v>14.867449711360747</v>
      </c>
      <c r="K6" s="1">
        <f>IF(384967&gt;0,100*21735/384967,"")</f>
        <v>5.6459384830388055</v>
      </c>
      <c r="L6" s="1">
        <f>IF(COUNT(J6:K6)=2,K6-J6,"")</f>
        <v>-9.22151122832194</v>
      </c>
      <c r="O6" s="1">
        <v>4</v>
      </c>
      <c r="P6" s="1">
        <v>3</v>
      </c>
      <c r="Q6" s="1">
        <f>IF(332328&gt;0,100*11557/332328,"")</f>
        <v>3.477588406634409</v>
      </c>
      <c r="R6" s="1">
        <f>IF(445917&gt;0,100*34451/445917,"")</f>
        <v>7.725877237243703</v>
      </c>
      <c r="S6" s="1">
        <f>IF(COUNT(Q6:R6)=2,R6-Q6,"")</f>
        <v>4.248288830609294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IF(427623&gt;0,100*33071/427623,"")</f>
        <v>7.733681303391071</v>
      </c>
      <c r="E7" s="1">
        <f>IF(COUNT(C7:D7)=2,D7-C7,"")</f>
        <v>-27.32224022549267</v>
      </c>
      <c r="H7" s="1">
        <v>5</v>
      </c>
      <c r="I7" s="1">
        <v>4</v>
      </c>
      <c r="J7" s="1">
        <f>IF(411240&gt;0,100*106457/411240,"")</f>
        <v>25.88683007489544</v>
      </c>
      <c r="K7" s="1">
        <f>IF(440371&gt;0,100*98061/440371,"")</f>
        <v>22.267815092274468</v>
      </c>
      <c r="L7" s="1">
        <f>IF(COUNT(J7:K7)=2,K7-J7,"")</f>
        <v>-3.619014982620971</v>
      </c>
      <c r="O7" s="1">
        <v>5</v>
      </c>
      <c r="P7" s="1">
        <v>4</v>
      </c>
      <c r="Q7" s="1">
        <f>IF(258766&gt;0,100*96546/258766,"")</f>
        <v>37.3101566666409</v>
      </c>
      <c r="R7" s="1">
        <f>IF(321637&gt;0,100*88231/321637,"")</f>
        <v>27.43185640955487</v>
      </c>
      <c r="S7" s="1">
        <f>IF(COUNT(Q7:R7)=2,R7-Q7,"")</f>
        <v>-9.878300257086028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IF(500119&gt;0,100*101301/500119,"")</f>
        <v>20.255379219745702</v>
      </c>
      <c r="E8" s="1">
        <f>IF(COUNT(C8:D8)=2,D8-C8,"")</f>
        <v>-3.2350013303710767</v>
      </c>
      <c r="H8" s="1">
        <v>6</v>
      </c>
      <c r="I8" s="1">
        <v>5</v>
      </c>
      <c r="J8" s="1">
        <f>IF(324059&gt;0,100*91696/324059,"")</f>
        <v>28.29608188632317</v>
      </c>
      <c r="K8" s="1">
        <f>IF(348790&gt;0,100*79846/348790,"")</f>
        <v>22.892284755870296</v>
      </c>
      <c r="L8" s="1">
        <f>IF(COUNT(J8:K8)=2,K8-J8,"")</f>
        <v>-5.4037971304528725</v>
      </c>
      <c r="O8" s="1">
        <v>6</v>
      </c>
      <c r="P8" s="1">
        <v>5</v>
      </c>
      <c r="Q8" s="1">
        <f>IF(371148&gt;0,100*77908/371148,"")</f>
        <v>20.9910871134965</v>
      </c>
      <c r="R8" s="1">
        <f>IF(397441&gt;0,100*58048/397441,"")</f>
        <v>14.605438291469678</v>
      </c>
      <c r="S8" s="1">
        <f>IF(COUNT(Q8:R8)=2,R8-Q8,"")</f>
        <v>-6.385648822026823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IF(480754&gt;0,100*93496/480754,"")</f>
        <v>19.447784105800473</v>
      </c>
      <c r="E9" s="1">
        <f>IF(COUNT(C9:D9)=2,D9-C9,"")</f>
        <v>-25.017199769751464</v>
      </c>
      <c r="H9" s="1">
        <v>7</v>
      </c>
      <c r="I9" s="1">
        <v>6</v>
      </c>
      <c r="J9" s="1">
        <f>IF(325191&gt;0,100*2956/325191,"")</f>
        <v>0.9090042467349957</v>
      </c>
      <c r="K9" s="1">
        <f>IF(298397&gt;0,100*1998/298397,"")</f>
        <v>0.6695777772564737</v>
      </c>
      <c r="L9" s="1">
        <f>IF(COUNT(J9:K9)=2,K9-J9,"")</f>
        <v>-0.23942646947852197</v>
      </c>
      <c r="O9" s="1">
        <v>7</v>
      </c>
      <c r="P9" s="1">
        <v>6</v>
      </c>
      <c r="Q9" s="1">
        <f>IF(434887&gt;0,100*93317/434887,"")</f>
        <v>21.457757992306046</v>
      </c>
      <c r="R9" s="1">
        <f>IF(446070&gt;0,100*28274/446070,"")</f>
        <v>6.338467056739973</v>
      </c>
      <c r="S9" s="1">
        <f>IF(COUNT(Q9:R9)=2,R9-Q9,"")</f>
        <v>-15.119290935566074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IF(338842&gt;0,100*91458/338842,"")</f>
        <v>26.991341097030475</v>
      </c>
      <c r="E10" s="1">
        <f>IF(COUNT(C10:D10)=2,D10-C10,"")</f>
        <v>-18.53677717296321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IF(396868&gt;0,100*10840/396868,"")</f>
        <v>2.731386758317627</v>
      </c>
      <c r="L10" s="1">
        <f>IF(COUNT(J10:K10)=2,K10-J10,"")</f>
        <v>2.4186198187646797</v>
      </c>
      <c r="O10" s="1">
        <v>8</v>
      </c>
      <c r="P10" s="1">
        <v>7</v>
      </c>
      <c r="Q10" s="1">
        <f>IF(275738&gt;0,100*1113/275738,"")</f>
        <v>0.4036440389064982</v>
      </c>
      <c r="R10" s="1">
        <f>IF(352049&gt;0,100*2631/352049,"")</f>
        <v>0.7473391488116711</v>
      </c>
      <c r="S10" s="1">
        <f>IF(COUNT(Q10:R10)=2,R10-Q10,"")</f>
        <v>0.3436951099051729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IF(156532&gt;0,100*51641/156532,"")</f>
        <v>32.99069838755015</v>
      </c>
      <c r="E11" s="1">
        <f>IF(COUNT(C11:D11)=2,D11-C11,"")</f>
        <v>-13.558131366270345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IF(473701&gt;0,100*125872/473701,"")</f>
        <v>26.572035946725887</v>
      </c>
      <c r="L11" s="1">
        <f>IF(COUNT(J11:K11)=2,K11-J11,"")</f>
        <v>-7.558370522685305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IF(493453&gt;0,100*168074/493453,"")</f>
        <v>34.060792010586624</v>
      </c>
      <c r="S11" s="1">
        <f>IF(COUNT(Q11:R11)=2,R11-Q11,"")</f>
        <v>-4.44400133162214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IF(463390&gt;0,100*11629/463390,"")</f>
        <v>2.50954919182546</v>
      </c>
      <c r="E12" s="1">
        <f>IF(COUNT(C12:D12)=2,D12-C12,"")</f>
        <v>-28.413038690333366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IF(323414&gt;0,100*29028/323414,"")</f>
        <v>8.97549271212749</v>
      </c>
      <c r="L12" s="1">
        <f>IF(COUNT(J12:K12)=2,K12-J12,"")</f>
        <v>-7.762135558600026</v>
      </c>
      <c r="O12" s="1">
        <v>10</v>
      </c>
      <c r="P12" s="1">
        <v>9</v>
      </c>
      <c r="Q12" s="1">
        <f>IF(412598&gt;0,100*74901/412598,"")</f>
        <v>18.15350534903223</v>
      </c>
      <c r="R12" s="1">
        <f>IF(404010&gt;0,100*18758/404010,"")</f>
        <v>4.642954382317269</v>
      </c>
      <c r="S12" s="1">
        <f>IF(COUNT(Q12:R12)=2,R12-Q12,"")</f>
        <v>-13.51055096671496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IF(540210&gt;0,100*152902/540210,"")</f>
        <v>28.304178004849966</v>
      </c>
      <c r="E13" s="1">
        <f>IF(COUNT(C13:D13)=2,D13-C13,"")</f>
        <v>-4.149020881504079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IF(561904&gt;0,100*40606/561904,"")</f>
        <v>7.226501324069592</v>
      </c>
      <c r="L13" s="1">
        <f>IF(COUNT(J13:K13)=2,K13-J13,"")</f>
        <v>2.0297675693761565</v>
      </c>
      <c r="O13" s="1">
        <v>11</v>
      </c>
      <c r="P13" s="1">
        <v>10</v>
      </c>
      <c r="Q13" s="1">
        <f>IF(517486&gt;0,100*3762/517486,"")</f>
        <v>0.726976188727811</v>
      </c>
      <c r="R13" s="1">
        <f>IF(619657&gt;0,100*112788/619657,"")</f>
        <v>18.201682543729838</v>
      </c>
      <c r="S13" s="1">
        <f>IF(COUNT(Q13:R13)=2,R13-Q13,"")</f>
        <v>17.474706355002027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IF(337654&gt;0,100*97165/337654,"")</f>
        <v>28.776499019706563</v>
      </c>
      <c r="E14" s="1">
        <f>IF(COUNT(C14:D14)=2,D14-C14,"")</f>
        <v>-15.197232015172041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IF(526468&gt;0,100*31592/526468,"")</f>
        <v>6.000744584666115</v>
      </c>
      <c r="L14" s="1">
        <f>IF(COUNT(J14:K14)=2,K14-J14,"")</f>
        <v>1.9452136054577043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IF(479202&gt;0,100*43794/479202,"")</f>
        <v>9.13894349355804</v>
      </c>
      <c r="S14" s="1">
        <f>IF(COUNT(Q14:R14)=2,R14-Q14,"")</f>
        <v>-29.106907399548845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IF(472731&gt;0,100*21261/472731,"")</f>
        <v>4.497483769839507</v>
      </c>
      <c r="E15" s="1">
        <f>IF(COUNT(C15:D15)=2,D15-C15,"")</f>
        <v>-27.53983042880168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IF(616692&gt;0,100*98362/616692,"")</f>
        <v>15.949939353842762</v>
      </c>
      <c r="L15" s="1">
        <f>IF(COUNT(J15:K15)=2,K15-J15,"")</f>
        <v>-26.3071310242085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IF(547306&gt;0,100*47482/547306,"")</f>
        <v>8.675585504270007</v>
      </c>
      <c r="S15" s="1">
        <f>IF(COUNT(Q15:R15)=2,R15-Q15,"")</f>
        <v>0.8963194590907708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IF(301809&gt;0,100*34036/301809,"")</f>
        <v>11.277331027239082</v>
      </c>
      <c r="S16" s="1">
        <f>IF(COUNT(Q16:R16)=2,R16-Q16,"")</f>
        <v>9.80686677364196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IF(179704&gt;0,100*37522/179704,"")</f>
        <v>20.879891376930953</v>
      </c>
      <c r="E17" s="1">
        <f>IF(COUNT(C17:D17)=2,D17-C17,"")</f>
        <v>-21.111460936802015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IF(471176&gt;0,100*94069/471176,"")</f>
        <v>19.96472655653089</v>
      </c>
      <c r="L17" s="1">
        <f>IF(COUNT(J17:K17)=2,K17-J17,"")</f>
        <v>-25.96510383344077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IF(548263&gt;0,100*131141/548263,"")</f>
        <v>23.919359869259825</v>
      </c>
      <c r="S17" s="1">
        <f>IF(COUNT(Q17:R17)=2,R17-Q17,"")</f>
        <v>-9.111171542637774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IF(355455&gt;0,100*111403/355455,"")</f>
        <v>31.34095736450465</v>
      </c>
      <c r="E18" s="1">
        <f>IF(COUNT(C18:D18)=2,D18-C18,"")</f>
        <v>-7.667773863950568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IF(455908&gt;0,100*48569/455908,"")</f>
        <v>10.653245830299095</v>
      </c>
      <c r="L18" s="1">
        <f>IF(COUNT(J18:K18)=2,K18-J18,"")</f>
        <v>-13.932977556173128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IF(456161&gt;0,100*43321/456161,"")</f>
        <v>9.49686623801684</v>
      </c>
      <c r="S18" s="1">
        <f>IF(COUNT(Q18:R18)=2,R18-Q18,"")</f>
        <v>-22.873214547325915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IF(288233&gt;0,100*8950/288233,"")</f>
        <v>3.1051267550904997</v>
      </c>
      <c r="E19" s="1">
        <f>IF(COUNT(C19:D19)=2,D19-C19,"")</f>
        <v>-3.5536382621068405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IF(495170&gt;0,100*91379/495170,"")</f>
        <v>18.454066280267384</v>
      </c>
      <c r="L19" s="1">
        <f>IF(COUNT(J19:K19)=2,K19-J19,"")</f>
        <v>-19.222303818158714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IF(368937&gt;0,100*79786/368937,"")</f>
        <v>21.625914451518824</v>
      </c>
      <c r="S19" s="1">
        <f>IF(COUNT(Q19:R19)=2,R19-Q19,"")</f>
        <v>-0.5479197532017785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IF(222683&gt;0,100*5490/222683,"")</f>
        <v>2.4653880179447913</v>
      </c>
      <c r="E20" s="1">
        <f>IF(COUNT(C20:D20)=2,D20-C20,"")</f>
        <v>1.9567097126219526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IF(447256&gt;0,100*52948/447256,"")</f>
        <v>11.838410216967464</v>
      </c>
      <c r="L20" s="1">
        <f>IF(COUNT(J20:K20)=2,K20-J20,"")</f>
        <v>-9.950700571361196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IF(479797&gt;0,100*26047/479797,"")</f>
        <v>5.428754243982351</v>
      </c>
      <c r="S20" s="1">
        <f>IF(COUNT(Q20:R20)=2,R20-Q20,"")</f>
        <v>-27.939967392515232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IF(428778&gt;0,100*134780/428778,"")</f>
        <v>31.43351571209344</v>
      </c>
      <c r="E21" s="1">
        <f>IF(COUNT(C21:D21)=2,D21-C21,"")</f>
        <v>-8.41535499303744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IF(341597&gt;0,100*45899/341597,"")</f>
        <v>13.436593412705616</v>
      </c>
      <c r="L21" s="1">
        <f>IF(COUNT(J21:K21)=2,K21-J21,"")</f>
        <v>-0.458001281987082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IF(456550&gt;0,100*26564/456550,"")</f>
        <v>5.818420764428868</v>
      </c>
      <c r="S21" s="1">
        <f>IF(COUNT(Q21:R21)=2,R21-Q21,"")</f>
        <v>-12.351804927030617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IF(516066&gt;0,100*104590/516066,"")</f>
        <v>20.266787581433384</v>
      </c>
      <c r="E22" s="1">
        <f>IF(COUNT(C22:D22)=2,D22-C22,"")</f>
        <v>-14.571031466636569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IF(172482&gt;0,100*15549/172482,"")</f>
        <v>9.014853723866839</v>
      </c>
      <c r="L22" s="1">
        <f>IF(COUNT(J22:K22)=2,K22-J22,"")</f>
        <v>-3.356150222671504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IF(369262&gt;0,100*8656/369262,"")</f>
        <v>2.3441350585762954</v>
      </c>
      <c r="S22" s="1">
        <f>IF(COUNT(Q22:R22)=2,R22-Q22,"")</f>
        <v>-18.352561295726684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IF(404656&gt;0,100*62125/404656,"")</f>
        <v>15.352546360365347</v>
      </c>
      <c r="E23" s="1">
        <f>IF(COUNT(C23:D23)=2,D23-C23,"")</f>
        <v>0.48407150688299616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IF(351481&gt;0,100*50869/351481,"")</f>
        <v>14.472759551725414</v>
      </c>
      <c r="L23" s="1">
        <f>IF(COUNT(J23:K23)=2,K23-J23,"")</f>
        <v>-28.1617255275814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IF(415018&gt;0,100*53948/415018,"")</f>
        <v>12.998954262224771</v>
      </c>
      <c r="S23" s="1">
        <f>IF(COUNT(Q23:R23)=2,R23-Q23,"")</f>
        <v>-13.691214336243103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IF(204262&gt;0,100*68872/204262,"")</f>
        <v>33.71748049074228</v>
      </c>
      <c r="E24" s="1">
        <f>IF(COUNT(C24:D24)=2,D24-C24,"")</f>
        <v>-9.140746085018456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IF(384269&gt;0,100*119830/384269,"")</f>
        <v>31.183884206116026</v>
      </c>
      <c r="L24" s="1">
        <f>IF(COUNT(J24:K24)=2,K24-J24,"")</f>
        <v>4.849805433776954</v>
      </c>
      <c r="O24" s="1">
        <v>22</v>
      </c>
      <c r="P24" s="1">
        <v>21</v>
      </c>
      <c r="Q24" s="1">
        <f>IF(97184&gt;0,100*37074/97184,"")</f>
        <v>38.14825485676655</v>
      </c>
      <c r="R24" s="1">
        <f>IF(162510&gt;0,100*38058/162510,"")</f>
        <v>23.418866531290384</v>
      </c>
      <c r="S24" s="1">
        <f>IF(COUNT(Q24:R24)=2,R24-Q24,"")</f>
        <v>-14.729388325476165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IF(364572&gt;0,100*13905/364572,"")</f>
        <v>3.8140614199664262</v>
      </c>
      <c r="L25" s="1">
        <f>IF(COUNT(J25:K25)=2,K25-J25,"")</f>
        <v>-12.691154451657669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IF(643680&gt;0,100*88054/643680,"")</f>
        <v>13.67977877206065</v>
      </c>
      <c r="S25" s="1">
        <f>IF(COUNT(Q25:R25)=2,R25-Q25,"")</f>
        <v>-20.151448931245255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IF(351583&gt;0,100*14148/351583,"")</f>
        <v>4.024085351111971</v>
      </c>
      <c r="E26" s="1">
        <f>IF(COUNT(C26:D26)=2,D26-C26,"")</f>
        <v>-11.576722606149795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IF(510358&gt;0,100*63517/510358,"")</f>
        <v>12.445577418204476</v>
      </c>
      <c r="L26" s="1">
        <f>IF(COUNT(J26:K26)=2,K26-J26,"")</f>
        <v>-17.526022387808062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IF(393443&gt;0,100*17909/393443,"")</f>
        <v>4.5518664711279655</v>
      </c>
      <c r="S26" s="1">
        <f>IF(COUNT(Q26:R26)=2,R26-Q26,"")</f>
        <v>-19.90071618617837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IF(225298&gt;0,100*32197/225298,"")</f>
        <v>14.290850340437999</v>
      </c>
      <c r="E27" s="1">
        <f>IF(COUNT(C27:D27)=2,D27-C27,"")</f>
        <v>-31.238900591342464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IF(307526&gt;0,100*35720/307526,"")</f>
        <v>11.615278057790235</v>
      </c>
      <c r="L27" s="1">
        <f>IF(COUNT(J27:K27)=2,K27-J27,"")</f>
        <v>-7.719373558162907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IF(457250&gt;0,100*31978/457250,"")</f>
        <v>6.993548387096774</v>
      </c>
      <c r="S27" s="1">
        <f>IF(COUNT(Q27:R27)=2,R27-Q27,"")</f>
        <v>1.7277609580307915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IF(424840&gt;0,100*100593/424840,"")</f>
        <v>23.677855192543074</v>
      </c>
      <c r="E28" s="1">
        <f>IF(COUNT(C28:D28)=2,D28-C28,"")</f>
        <v>-18.56817893545178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IF(506154&gt;0,100*90756/506154,"")</f>
        <v>17.930511267321805</v>
      </c>
      <c r="L28" s="1">
        <f>IF(COUNT(J28:K28)=2,K28-J28,"")</f>
        <v>-13.538771021856633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IF(489391&gt;0,100*85061/489391,"")</f>
        <v>17.380989842477693</v>
      </c>
      <c r="S28" s="1">
        <f>IF(COUNT(Q28:R28)=2,R28-Q28,"")</f>
        <v>-6.524212352198187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IF(373697&gt;0,100*111907/373697,"")</f>
        <v>29.945918752358192</v>
      </c>
      <c r="E29" s="1">
        <f>IF(COUNT(C29:D29)=2,D29-C29,"")</f>
        <v>0.32676080859479484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IF(439343&gt;0,100*42598/439343,"")</f>
        <v>9.695841290290275</v>
      </c>
      <c r="L29" s="1">
        <f>IF(COUNT(J29:K29)=2,K29-J29,"")</f>
        <v>1.6221240453773778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IF(515869&gt;0,100*86658/515869,"")</f>
        <v>16.798450769478297</v>
      </c>
      <c r="S29" s="1">
        <f>IF(COUNT(Q29:R29)=2,R29-Q29,"")</f>
        <v>-27.81777696090005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IF(258171&gt;0,100*41017/258171,"")</f>
        <v>15.887531907146814</v>
      </c>
      <c r="L30" s="1">
        <f>IF(COUNT(J30:K30)=2,K30-J30,"")</f>
        <v>-19.269633447183892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IF(242079&gt;0,100*17521/242079,"")</f>
        <v>7.2377199178780485</v>
      </c>
      <c r="S30" s="1">
        <f>IF(COUNT(Q30:R30)=2,R30-Q30,"")</f>
        <v>-15.840908829192536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IF(363620&gt;0,100*125535/363620,"")</f>
        <v>34.52367856553545</v>
      </c>
      <c r="E31" s="1">
        <f>IF(COUNT(C31:D31)=2,D31-C31,"")</f>
        <v>-7.727287786406762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IF(426475&gt;0,100*84909/426475,"")</f>
        <v>19.90949059147664</v>
      </c>
      <c r="L31" s="1">
        <f>IF(COUNT(J31:K31)=2,K31-J31,"")</f>
        <v>-23.56119953524412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IF(436437&gt;0,100*62012/436437,"")</f>
        <v>14.208694496571097</v>
      </c>
      <c r="S31" s="1">
        <f>IF(COUNT(Q31:R31)=2,R31-Q31,"")</f>
        <v>-32.371178228518524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IF(503936&gt;0,100*95349/503936,"")</f>
        <v>18.92085502921006</v>
      </c>
      <c r="E32" s="1">
        <f>IF(COUNT(C32:D32)=2,D32-C32,"")</f>
        <v>-26.850163102123645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IF(292117&gt;0,100*34891/292117,"")</f>
        <v>11.944186747091063</v>
      </c>
      <c r="L32" s="1">
        <f>IF(COUNT(J32:K32)=2,K32-J32,"")</f>
        <v>-12.311143918231448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IF(351734&gt;0,100*14786/351734,"")</f>
        <v>4.2037448753887885</v>
      </c>
      <c r="S32" s="1">
        <f>IF(COUNT(Q32:R32)=2,R32-Q32,"")</f>
        <v>-15.109282255123983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IF(365572&gt;0,100*86001/365572,"")</f>
        <v>23.525051152714102</v>
      </c>
      <c r="L33" s="1">
        <f>IF(COUNT(J33:K33)=2,K33-J33,"")</f>
        <v>5.574741548055435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IF(384727&gt;0,100*108638/384727,"")</f>
        <v>28.237685423690046</v>
      </c>
      <c r="S33" s="1">
        <f>IF(COUNT(Q33:R33)=2,R33-Q33,"")</f>
        <v>2.6393804895917548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17.066533115672343</v>
      </c>
      <c r="E34" s="1">
        <f>IF(COUNT(E3:E33)&gt;0,AVERAGE(E3:E33),"")</f>
        <v>-13.218725211986248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13.42798870046126</v>
      </c>
      <c r="L34" s="1">
        <f>IF(COUNT(L3:L33)&gt;0,AVERAGE(L3:L33),"")</f>
        <v>-9.445971922084263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13.361826465210891</v>
      </c>
      <c r="S34" s="1">
        <f>IF(COUNT(S3:S33)&gt;0,AVERAGE(S3:S33),"")</f>
        <v>-11.504292780185759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IF(419459&gt;0,100*15460/419459,"")</f>
        <v>3.6856999134599566</v>
      </c>
      <c r="E39" s="1">
        <f>IF(COUNT(C39:D39)=2,D39-C39,"")</f>
        <v>-4.320665288828463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IF(410497&gt;0,100*19268/410497,"")</f>
        <v>4.693822366545919</v>
      </c>
      <c r="L39" s="1">
        <f>IF(COUNT(J39:K39)=2,K39-J39,"")</f>
        <v>-24.907299259812298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IF(294264&gt;0,100*103441/294264,"")</f>
        <v>35.15244814180464</v>
      </c>
      <c r="E40" s="1">
        <f>IF(COUNT(C40:D40)=2,D40-C40,"")</f>
        <v>-4.732594550501219</v>
      </c>
      <c r="H40" s="1">
        <v>2</v>
      </c>
      <c r="I40" s="1">
        <v>1</v>
      </c>
      <c r="J40" s="1">
        <f>IF(594344&gt;0,100*221110/594344,"")</f>
        <v>37.20236092229416</v>
      </c>
      <c r="K40" s="1">
        <f>IF(540853&gt;0,100*150332/540853,"")</f>
        <v>27.79535289625832</v>
      </c>
      <c r="L40" s="1">
        <f>IF(COUNT(J40:K40)=2,K40-J40,"")</f>
        <v>-9.407008026035843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IF(508456&gt;0,100*179740/508456,"")</f>
        <v>35.350158125776865</v>
      </c>
      <c r="E41" s="1">
        <f>IF(COUNT(C41:D41)=2,D41-C41,"")</f>
        <v>-16.249422966002683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IF(740482&gt;0,100*97965/740482,"")</f>
        <v>13.229896202743618</v>
      </c>
      <c r="L41" s="1">
        <f>IF(COUNT(J41:K41)=2,K41-J41,"")</f>
        <v>-19.583096764424518</v>
      </c>
      <c r="O41" s="1">
        <v>3</v>
      </c>
      <c r="P41" s="1">
        <v>2</v>
      </c>
      <c r="Q41" s="1">
        <f>IF(735676&gt;0,100*303277/735676,"")</f>
        <v>41.22426176740848</v>
      </c>
      <c r="R41" s="1">
        <f>IF(526901&gt;0,100*61040/526901,"")</f>
        <v>11.584718950998385</v>
      </c>
      <c r="S41" s="1">
        <f>IF(COUNT(Q41:R41)=2,R41-Q41,"")</f>
        <v>-29.639542816410092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IF(757628&gt;0,100*246610/757628,"")</f>
        <v>32.55027533301303</v>
      </c>
      <c r="E42" s="1">
        <f>IF(COUNT(C42:D42)=2,D42-C42,"")</f>
        <v>-10.827094501711215</v>
      </c>
      <c r="H42" s="1">
        <v>4</v>
      </c>
      <c r="I42" s="1">
        <v>3</v>
      </c>
      <c r="J42" s="1">
        <f>IF(584626&gt;0,100*38325/584626,"")</f>
        <v>6.555473071673172</v>
      </c>
      <c r="K42" s="1">
        <f>IF(438059&gt;0,100*38907/438059,"")</f>
        <v>8.881680321600514</v>
      </c>
      <c r="L42" s="1">
        <f>IF(COUNT(J42:K42)=2,K42-J42,"")</f>
        <v>2.326207249927342</v>
      </c>
      <c r="O42" s="1">
        <v>4</v>
      </c>
      <c r="P42" s="1">
        <v>3</v>
      </c>
      <c r="Q42" s="1">
        <f>IF(646087&gt;0,100*38069/646087,"")</f>
        <v>5.8922405186917555</v>
      </c>
      <c r="R42" s="1">
        <f>IF(623182&gt;0,100*11184/623182,"")</f>
        <v>1.79466030790363</v>
      </c>
      <c r="S42" s="1">
        <f>IF(COUNT(Q42:R42)=2,R42-Q42,"")</f>
        <v>-4.097580210788125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IF(674460&gt;0,100*75768/674460,"")</f>
        <v>11.233875989680634</v>
      </c>
      <c r="E43" s="1">
        <f>IF(COUNT(C43:D43)=2,D43-C43,"")</f>
        <v>-5.847830635432636</v>
      </c>
      <c r="H43" s="1">
        <v>5</v>
      </c>
      <c r="I43" s="1">
        <v>4</v>
      </c>
      <c r="J43" s="1">
        <f>IF(200432&gt;0,100*86329/200432,"")</f>
        <v>43.071465634230066</v>
      </c>
      <c r="K43" s="1">
        <f>IF(563884&gt;0,100*171924/563884,"")</f>
        <v>30.489249561966645</v>
      </c>
      <c r="L43" s="1">
        <f>IF(COUNT(J43:K43)=2,K43-J43,"")</f>
        <v>-12.58221607226342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IF(623520&gt;0,100*178259/623520,"")</f>
        <v>28.589139081344623</v>
      </c>
      <c r="S43" s="1">
        <f>IF(COUNT(Q43:R43)=2,R43-Q43,"")</f>
        <v>-12.786945191738592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IF(373202&gt;0,100*8918/373202,"")</f>
        <v>2.3895906238444597</v>
      </c>
      <c r="E44" s="1">
        <f>IF(COUNT(C44:D44)=2,D44-C44,"")</f>
        <v>-45.665144816702025</v>
      </c>
      <c r="H44" s="1">
        <v>6</v>
      </c>
      <c r="I44" s="1">
        <v>5</v>
      </c>
      <c r="J44" s="1">
        <f>IF(458928&gt;0,100*143171/458928,"")</f>
        <v>31.19683261862427</v>
      </c>
      <c r="K44" s="1">
        <f>IF(595222&gt;0,100*204010/595222,"")</f>
        <v>34.274606785367475</v>
      </c>
      <c r="L44" s="1">
        <f>IF(COUNT(J44:K44)=2,K44-J44,"")</f>
        <v>3.077774166743204</v>
      </c>
      <c r="O44" s="1">
        <v>6</v>
      </c>
      <c r="P44" s="1">
        <v>5</v>
      </c>
      <c r="Q44" s="1">
        <f>IF(652890&gt;0,100*52664/652890,"")</f>
        <v>8.066289880378012</v>
      </c>
      <c r="R44" s="1">
        <f>IF(623905&gt;0,100*64612/623905,"")</f>
        <v>10.356063823819332</v>
      </c>
      <c r="S44" s="1">
        <f>IF(COUNT(Q44:R44)=2,R44-Q44,"")</f>
        <v>2.28977394344132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IF(672203&gt;0,100*118882/672203,"")</f>
        <v>17.68543133547455</v>
      </c>
      <c r="E45" s="1">
        <f>IF(COUNT(C45:D45)=2,D45-C45,"")</f>
        <v>-37.434957505027796</v>
      </c>
      <c r="H45" s="1">
        <v>7</v>
      </c>
      <c r="I45" s="1">
        <v>6</v>
      </c>
      <c r="J45" s="1">
        <f>IF(516628&gt;0,100*1474/516628,"")</f>
        <v>0.28531167493825343</v>
      </c>
      <c r="K45" s="1">
        <f>IF(472949&gt;0,100*26896/472949,"")</f>
        <v>5.686871100266625</v>
      </c>
      <c r="L45" s="1">
        <f>IF(COUNT(J45:K45)=2,K45-J45,"")</f>
        <v>5.401559425328371</v>
      </c>
      <c r="O45" s="1">
        <v>7</v>
      </c>
      <c r="P45" s="1">
        <v>6</v>
      </c>
      <c r="Q45" s="1">
        <f>IF(639485&gt;0,100*13388/639485,"")</f>
        <v>2.093559661289944</v>
      </c>
      <c r="R45" s="1">
        <f>IF(777805&gt;0,100*39575/777805,"")</f>
        <v>5.08803620444713</v>
      </c>
      <c r="S45" s="1">
        <f>IF(COUNT(Q45:R45)=2,R45-Q45,"")</f>
        <v>2.994476543157186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IF(434086&gt;0,100*135401/434086,"")</f>
        <v>31.192206152697853</v>
      </c>
      <c r="E46" s="1">
        <f>IF(COUNT(C46:D46)=2,D46-C46,"")</f>
        <v>-12.445216566631753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IF(415171&gt;0,100*2777/415171,"")</f>
        <v>0.6688810152924939</v>
      </c>
      <c r="S46" s="1">
        <f>IF(COUNT(Q46:R46)=2,R46-Q46,"")</f>
        <v>-1.5478485222884002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IF(337056&gt;0,100*133039/337056,"")</f>
        <v>39.47088911041489</v>
      </c>
      <c r="E47" s="1">
        <f>IF(COUNT(C47:D47)=2,D47-C47,"")</f>
        <v>-21.136991609997082</v>
      </c>
      <c r="H47" s="1">
        <v>9</v>
      </c>
      <c r="I47" s="1">
        <v>8</v>
      </c>
      <c r="J47" s="1">
        <f>IF(433696&gt;0,100*195875/433696,"")</f>
        <v>45.16412417914853</v>
      </c>
      <c r="K47" s="1">
        <f>IF(618161&gt;0,100*158728/618161,"")</f>
        <v>25.67745296128355</v>
      </c>
      <c r="L47" s="1">
        <f>IF(COUNT(J47:K47)=2,K47-J47,"")</f>
        <v>-19.48667121786498</v>
      </c>
      <c r="O47" s="1">
        <v>9</v>
      </c>
      <c r="P47" s="1">
        <v>8</v>
      </c>
      <c r="Q47" s="1">
        <f>IF(341160&gt;0,100*196686/341160,"")</f>
        <v>57.65212803376715</v>
      </c>
      <c r="R47" s="1">
        <f>IF(288376&gt;0,100*75471/288376,"")</f>
        <v>26.17104058590174</v>
      </c>
      <c r="S47" s="1">
        <f>IF(COUNT(Q47:R47)=2,R47-Q47,"")</f>
        <v>-31.48108744786541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IF(625606&gt;0,100*5152/625606,"")</f>
        <v>0.8235215135404712</v>
      </c>
      <c r="E48" s="1">
        <f>IF(COUNT(C48:D48)=2,D48-C48,"")</f>
        <v>-21.03046865800525</v>
      </c>
      <c r="H48" s="1">
        <v>10</v>
      </c>
      <c r="I48" s="1">
        <v>9</v>
      </c>
      <c r="J48" s="1">
        <f>IF(716304&gt;0,100*319115/716304,"")</f>
        <v>44.550218901472</v>
      </c>
      <c r="K48" s="1">
        <f>IF(801035&gt;0,100*184537/801035,"")</f>
        <v>23.037320466646275</v>
      </c>
      <c r="L48" s="1">
        <f>IF(COUNT(J48:K48)=2,K48-J48,"")</f>
        <v>-21.512898434825726</v>
      </c>
      <c r="O48" s="1">
        <v>10</v>
      </c>
      <c r="P48" s="1">
        <v>9</v>
      </c>
      <c r="Q48" s="1">
        <f>IF(555605&gt;0,100*122007/555605,"")</f>
        <v>21.95930562179966</v>
      </c>
      <c r="R48" s="1">
        <f>IF(734954&gt;0,100*63308/734954,"")</f>
        <v>8.613872432832531</v>
      </c>
      <c r="S48" s="1">
        <f>IF(COUNT(Q48:R48)=2,R48-Q48,"")</f>
        <v>-13.34543318896713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IF(567883&gt;0,100*91216/567883,"")</f>
        <v>16.062463570841178</v>
      </c>
      <c r="E49" s="1">
        <f>IF(COUNT(C49:D49)=2,D49-C49,"")</f>
        <v>-30.6066820432718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IF(499612&gt;0,100*53997/499612,"")</f>
        <v>10.80778684258985</v>
      </c>
      <c r="L49" s="1">
        <f>IF(COUNT(J49:K49)=2,K49-J49,"")</f>
        <v>-22.545112964764236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IF(696665&gt;0,100*99557/696665,"")</f>
        <v>14.290512656728843</v>
      </c>
      <c r="S49" s="1">
        <f>IF(COUNT(Q49:R49)=2,R49-Q49,"")</f>
        <v>-30.337207364665012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IF(494410&gt;0,100*151549/494410,"")</f>
        <v>30.652494892902652</v>
      </c>
      <c r="E50" s="1">
        <f>IF(COUNT(C50:D50)=2,D50-C50,"")</f>
        <v>-17.01947801459599</v>
      </c>
      <c r="H50" s="1">
        <v>12</v>
      </c>
      <c r="I50" s="1">
        <v>11</v>
      </c>
      <c r="J50" s="4">
        <f>IF(0&gt;0,100*0/0,"")</f>
        <v/>
      </c>
      <c r="K50" s="1">
        <f>IF(5804&gt;0,100*1710/5804,"")</f>
        <v>29.462439696760853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IF(568840&gt;0,100*43486/568840,"")</f>
        <v>7.644680402222066</v>
      </c>
      <c r="S50" s="1">
        <f>IF(COUNT(Q50:R50)=2,R50-Q50,"")</f>
        <v>-34.87026813168325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IF(629040&gt;0,100*40516/629040,"")</f>
        <v>6.440925855271525</v>
      </c>
      <c r="E51" s="1">
        <f>IF(COUNT(C51:D51)=2,D51-C51,"")</f>
        <v>-41.031189425816336</v>
      </c>
      <c r="H51" s="1">
        <v>13</v>
      </c>
      <c r="I51" s="1">
        <v>12</v>
      </c>
      <c r="J51" s="1">
        <f>IF(654587&gt;0,100*63849/654587,"")</f>
        <v>9.75408921961481</v>
      </c>
      <c r="K51" s="1">
        <f>IF(431087&gt;0,100*29738/431087,"")</f>
        <v>6.898375501928845</v>
      </c>
      <c r="L51" s="1">
        <f>IF(COUNT(J51:K51)=2,K51-J51,"")</f>
        <v>-2.8557137176859655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IF(572067&gt;0,100*16661/572067,"")</f>
        <v>2.912421097528786</v>
      </c>
      <c r="S51" s="1">
        <f>IF(COUNT(Q51:R51)=2,R51-Q51,"")</f>
        <v>0.7613627668376766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IF(395410&gt;0,100*56455/395410,"")</f>
        <v>14.277585291216711</v>
      </c>
      <c r="L52" s="1">
        <f>IF(COUNT(J52:K52)=2,K52-J52,"")</f>
        <v>-3.822451673044684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IF(389063&gt;0,100*2487/389063,"")</f>
        <v>0.6392280941646983</v>
      </c>
      <c r="S52" s="1">
        <f>IF(COUNT(Q52:R52)=2,R52-Q52,"")</f>
        <v>-11.801831877070747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IF(453287&gt;0,100*140525/453287,"")</f>
        <v>31.001330283021574</v>
      </c>
      <c r="E53" s="1">
        <f>IF(COUNT(C53:D53)=2,D53-C53,"")</f>
        <v>-9.871608233099913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IF(754085&gt;0,100*199540/754085,"")</f>
        <v>26.46120795401049</v>
      </c>
      <c r="L53" s="1">
        <f>IF(COUNT(J53:K53)=2,K53-J53,"")</f>
        <v>-1.8611098778412618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IF(621792&gt;0,100*173129/621792,"")</f>
        <v>27.84355540116309</v>
      </c>
      <c r="S53" s="1">
        <f>IF(COUNT(Q53:R53)=2,R53-Q53,"")</f>
        <v>-26.08398714531776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IF(606110&gt;0,100*210750/606110,"")</f>
        <v>34.77091617033212</v>
      </c>
      <c r="E54" s="1">
        <f>IF(COUNT(C54:D54)=2,D54-C54,"")</f>
        <v>-11.347417029845928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IF(602757&gt;0,100*28694/602757,"")</f>
        <v>4.760459024117513</v>
      </c>
      <c r="L54" s="1">
        <f>IF(COUNT(J54:K54)=2,K54-J54,"")</f>
        <v>-44.7971398982727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IF(718393&gt;0,100*65833/718393,"")</f>
        <v>9.16392559504338</v>
      </c>
      <c r="S54" s="1">
        <f>IF(COUNT(Q54:R54)=2,R54-Q54,"")</f>
        <v>-42.2938083951044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IF(412845&gt;0,100*13794/412845,"")</f>
        <v>3.3412055371870797</v>
      </c>
      <c r="E55" s="1">
        <f>IF(COUNT(C55:D55)=2,D55-C55,"")</f>
        <v>0.9013086675443911</v>
      </c>
      <c r="H55" s="1">
        <v>17</v>
      </c>
      <c r="I55" s="1">
        <v>16</v>
      </c>
      <c r="J55" s="1">
        <f>IF(472489&gt;0,100*201035/472489,"")</f>
        <v>42.5480804844134</v>
      </c>
      <c r="K55" s="1">
        <f>IF(463039&gt;0,100*67844/463039,"")</f>
        <v>14.651897572342719</v>
      </c>
      <c r="L55" s="1">
        <f>IF(COUNT(J55:K55)=2,K55-J55,"")</f>
        <v>-27.896182912070678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IF(521213&gt;0,100*120832/521213,"")</f>
        <v>23.182844633575908</v>
      </c>
      <c r="S55" s="1">
        <f>IF(COUNT(Q55:R55)=2,R55-Q55,"")</f>
        <v>-7.274025258556712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IF(336039&gt;0,100*5781/336039,"")</f>
        <v>1.7203360324248078</v>
      </c>
      <c r="E56" s="1">
        <f>IF(COUNT(C56:D56)=2,D56-C56,"")</f>
        <v>-8.082962504024266</v>
      </c>
      <c r="H56" s="1">
        <v>18</v>
      </c>
      <c r="I56" s="1">
        <v>17</v>
      </c>
      <c r="J56" s="4">
        <f>IF(0&gt;0,100*0/0,"")</f>
        <v/>
      </c>
      <c r="K56" s="1">
        <f>IF(538807&gt;0,100*15319/538807,"")</f>
        <v>2.8431330699118607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IF(457571&gt;0,100*18590/457571,"")</f>
        <v>4.062757473703535</v>
      </c>
      <c r="S56" s="1">
        <f>IF(COUNT(Q56:R56)=2,R56-Q56,"")</f>
        <v>-45.39806106252677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IF(500415&gt;0,100*171706/500415,"")</f>
        <v>34.31272044203311</v>
      </c>
      <c r="E57" s="1">
        <f>IF(COUNT(C57:D57)=2,D57-C57,"")</f>
        <v>-9.62838293381241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IF(892247&gt;0,100*216966/892247,"")</f>
        <v>24.31680913469028</v>
      </c>
      <c r="L57" s="1">
        <f>IF(COUNT(J57:K57)=2,K57-J57,"")</f>
        <v>-6.250283830842722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IF(557078&gt;0,100*64872/557078,"")</f>
        <v>11.645047910705502</v>
      </c>
      <c r="S57" s="1">
        <f>IF(COUNT(Q57:R57)=2,R57-Q57,"")</f>
        <v>-27.07368412486425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IF(728976&gt;0,100*207683/728976,"")</f>
        <v>28.489689646847083</v>
      </c>
      <c r="E58" s="1">
        <f>IF(COUNT(C58:D58)=2,D58-C58,"")</f>
        <v>-15.91783439829976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IF(488023&gt;0,100*76238/488023,"")</f>
        <v>15.621804710023913</v>
      </c>
      <c r="L58" s="1">
        <f>IF(COUNT(J58:K58)=2,K58-J58,"")</f>
        <v>-32.79929088128726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IF(829682&gt;0,100*146692/829682,"")</f>
        <v>17.68050891787456</v>
      </c>
      <c r="S58" s="1">
        <f>IF(COUNT(Q58:R58)=2,R58-Q58,"")</f>
        <v>-23.745986647326422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IF(358532&gt;0,100*84081/358532,"")</f>
        <v>23.451463188780917</v>
      </c>
      <c r="E59" s="1">
        <f>IF(COUNT(C59:D59)=2,D59-C59,"")</f>
        <v>-1.3193938313102826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IF(447386&gt;0,100*17770/447386,"")</f>
        <v>3.9719615723335107</v>
      </c>
      <c r="L59" s="1">
        <f>IF(COUNT(J59:K59)=2,K59-J59,"")</f>
        <v>-38.91180891263845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IF(560890&gt;0,100*54705/560890,"")</f>
        <v>9.753249300219295</v>
      </c>
      <c r="S59" s="1">
        <f>IF(COUNT(Q59:R59)=2,R59-Q59,"")</f>
        <v>-37.234792657335916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IF(309970&gt;0,100*101886/309970,"")</f>
        <v>32.86963254508501</v>
      </c>
      <c r="E60" s="1">
        <f>IF(COUNT(C60:D60)=2,D60-C60,"")</f>
        <v>-19.705834902538328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IF(350789&gt;0,100*78358/350789,"")</f>
        <v>22.337644566961906</v>
      </c>
      <c r="L60" s="1">
        <f>IF(COUNT(J60:K60)=2,K60-J60,"")</f>
        <v>-29.957126030903474</v>
      </c>
      <c r="O60" s="1">
        <v>22</v>
      </c>
      <c r="P60" s="1">
        <v>21</v>
      </c>
      <c r="Q60" s="1">
        <f>IF(139068&gt;0,100*61286/139068,"")</f>
        <v>44.06908850346593</v>
      </c>
      <c r="R60" s="1">
        <f>IF(303024&gt;0,100*119533/303024,"")</f>
        <v>39.44671049157822</v>
      </c>
      <c r="S60" s="1">
        <f>IF(COUNT(Q60:R60)=2,R60-Q60,"")</f>
        <v>-4.6223780118877045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IF(331359&gt;0,100*573/331359,"")</f>
        <v>0.1729242302155668</v>
      </c>
      <c r="E61" s="1">
        <f>IF(COUNT(C61:D61)=2,D61-C61,"")</f>
        <v>-0.24433992738099164</v>
      </c>
      <c r="H61" s="1">
        <v>23</v>
      </c>
      <c r="I61" s="1">
        <v>22</v>
      </c>
      <c r="J61" s="1">
        <f>IF(547933&gt;0,100*307788/547933,"")</f>
        <v>56.1725612438017</v>
      </c>
      <c r="K61" s="1">
        <f>IF(744563&gt;0,100*106866/744563,"")</f>
        <v>14.352848583665855</v>
      </c>
      <c r="L61" s="1">
        <f>IF(COUNT(J61:K61)=2,K61-J61,"")</f>
        <v>-41.81971266013585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IF(698177&gt;0,100*72183/698177,"")</f>
        <v>10.338782285867337</v>
      </c>
      <c r="S61" s="1">
        <f>IF(COUNT(Q61:R61)=2,R61-Q61,"")</f>
        <v>-35.91887431365716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IF(825595&gt;0,100*113740/825595,"")</f>
        <v>13.77673072147966</v>
      </c>
      <c r="E62" s="1">
        <f>IF(COUNT(C62:D62)=2,D62-C62,"")</f>
        <v>-4.882321943176313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IF(837140&gt;0,100*151944/837140,"")</f>
        <v>18.15036911388776</v>
      </c>
      <c r="L62" s="1">
        <f>IF(COUNT(J62:K62)=2,K62-J62,"")</f>
        <v>-29.704252641104514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IF(688995&gt;0,100*9661/688995,"")</f>
        <v>1.4021872437390692</v>
      </c>
      <c r="S62" s="1">
        <f>IF(COUNT(Q62:R62)=2,R62-Q62,"")</f>
        <v>-20.195474641552785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IF(300527&gt;0,100*88391/300527,"")</f>
        <v>29.41199958739148</v>
      </c>
      <c r="E63" s="1">
        <f>IF(COUNT(C63:D63)=2,D63-C63,"")</f>
        <v>-16.85674690390694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IF(524197&gt;0,100*52570/524197,"")</f>
        <v>10.028672426587715</v>
      </c>
      <c r="L63" s="1">
        <f>IF(COUNT(J63:K63)=2,K63-J63,"")</f>
        <v>-30.13818243730965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IF(617088&gt;0,100*48924/617088,"")</f>
        <v>7.928204729309272</v>
      </c>
      <c r="S63" s="1">
        <f>IF(COUNT(Q63:R63)=2,R63-Q63,"")</f>
        <v>-36.82257346455453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IF(382408&gt;0,100*29551/382408,"")</f>
        <v>7.727610301039727</v>
      </c>
      <c r="L64" s="1">
        <f>IF(COUNT(J64:K64)=2,K64-J64,"")</f>
        <v>-10.91150036374115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IF(428024&gt;0,100*94352/428024,"")</f>
        <v>22.04362372203428</v>
      </c>
      <c r="S64" s="1">
        <f>IF(COUNT(Q64:R64)=2,R64-Q64,"")</f>
        <v>-24.150245219561295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IF(180062&gt;0,100*44430/180062,"")</f>
        <v>24.67483422376737</v>
      </c>
      <c r="E65" s="1">
        <f>IF(COUNT(C65:D65)=2,D65-C65,"")</f>
        <v>-0.9920202019615303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IF(680723&gt;0,100*189376/680723,"")</f>
        <v>27.819832736663813</v>
      </c>
      <c r="L65" s="1">
        <f>IF(COUNT(J65:K65)=2,K65-J65,"")</f>
        <v>-9.373506006137305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IF(608179&gt;0,100*83831/608179,"")</f>
        <v>13.78393532167339</v>
      </c>
      <c r="S65" s="1">
        <f>IF(COUNT(Q65:R65)=2,R65-Q65,"")</f>
        <v>-11.48160091826788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IF(636648&gt;0,100*13404/636648,"")</f>
        <v>2.105402043201267</v>
      </c>
      <c r="E66" s="1">
        <f>IF(COUNT(C66:D66)=2,D66-C66,"")</f>
        <v>2.002039351562504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IF(448702&gt;0,100*139289/448702,"")</f>
        <v>31.042651915970957</v>
      </c>
      <c r="L66" s="1">
        <f>IF(COUNT(J66:K66)=2,K66-J66,"")</f>
        <v>-8.89027846184306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IF(352222&gt;0,100*48783/352222,"")</f>
        <v>13.850071829698315</v>
      </c>
      <c r="S66" s="1">
        <f>IF(COUNT(Q66:R66)=2,R66-Q66,"")</f>
        <v>-12.219655934823987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IF(420607&gt;0,100*121836/420607,"")</f>
        <v>28.966707639197637</v>
      </c>
      <c r="E67" s="1">
        <f>IF(COUNT(C67:D67)=2,D67-C67,"")</f>
        <v>-12.09659904293968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IF(702203&gt;0,100*262645/702203,"")</f>
        <v>37.40300169609073</v>
      </c>
      <c r="L67" s="1">
        <f>IF(COUNT(J67:K67)=2,K67-J67,"")</f>
        <v>-14.15048744962668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IF(697354&gt;0,100*178913/697354,"")</f>
        <v>25.65597960289896</v>
      </c>
      <c r="S67" s="1">
        <f>IF(COUNT(Q67:R67)=2,R67-Q67,"")</f>
        <v>-19.297806704270805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IF(550810&gt;0,100*103688/550810,"")</f>
        <v>18.824640075525135</v>
      </c>
      <c r="E68" s="1">
        <f>IF(COUNT(C68:D68)=2,D68-C68,"")</f>
        <v>-26.381487950957794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IF(616580&gt;0,100*108048/616580,"")</f>
        <v>17.523760096013493</v>
      </c>
      <c r="L68" s="1">
        <f>IF(COUNT(J68:K68)=2,K68-J68,"")</f>
        <v>-0.9079650625092697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IF(414850&gt;0,100*5782/414850,"")</f>
        <v>1.3937567795588768</v>
      </c>
      <c r="S68" s="1">
        <f>IF(COUNT(Q68:R68)=2,R68-Q68,"")</f>
        <v>-2.465235306082458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IF(618852&gt;0,100*2550/618852,"")</f>
        <v>0.4120532857613775</v>
      </c>
      <c r="E69" s="1">
        <f>IF(COUNT(C69:D69)=2,D69-C69,"")</f>
        <v>-0.23372635046551232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IF(522149&gt;0,100*65010/522149,"")</f>
        <v>12.450469118967957</v>
      </c>
      <c r="L69" s="1">
        <f>IF(COUNT(J69:K69)=2,K69-J69,"")</f>
        <v>-19.809712031750813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IF(374866&gt;0,100*60893/374866,"")</f>
        <v>16.24393783378594</v>
      </c>
      <c r="S69" s="1">
        <f>IF(COUNT(Q69:R69)=2,R69-Q69,"")</f>
        <v>-9.338598456197776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19.725332130012696</v>
      </c>
      <c r="E70" s="1">
        <f>IF(COUNT(E39:E69)&gt;0,AVERAGE(E39:E69),"")</f>
        <v>-13.34131758972492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16.98967950138243</v>
      </c>
      <c r="L70" s="1">
        <f>IF(COUNT(L39:L69)&gt;0,AVERAGE(L39:L69),"")</f>
        <v>-16.3668210815787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14.344500441730348</v>
      </c>
      <c r="S70" s="1">
        <f>IF(COUNT(S39:S69)&gt;0,AVERAGE(S39:S69),"")</f>
        <v>-17.498327258979202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IF(586872&gt;0,100*37629/586872,"")</f>
        <v>6.411789964421543</v>
      </c>
      <c r="E75" s="1">
        <f>IF(COUNT(C75:D75)=2,D75-C75,"")</f>
        <v>2.787921381633998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IF(775248&gt;0,100*211814/775248,"")</f>
        <v>27.322095639072916</v>
      </c>
      <c r="L75" s="1">
        <f>IF(COUNT(J75:K75)=2,K75-J75,"")</f>
        <v>-26.99514961841538</v>
      </c>
      <c r="O75" s="1">
        <v>1</v>
      </c>
      <c r="P75" s="1">
        <v>0</v>
      </c>
      <c r="Q75" s="1">
        <f>IF(517487&gt;0,100*261929/517487,"")</f>
        <v>50.61557101917536</v>
      </c>
      <c r="R75" s="1">
        <f>IF(672475&gt;0,100*127601/672475,"")</f>
        <v>18.974831778133016</v>
      </c>
      <c r="S75" s="1">
        <f>IF(COUNT(Q75:R75)=2,R75-Q75,"")</f>
        <v>-31.640739241042347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IF(421864&gt;0,100*144929/421864,"")</f>
        <v>34.35443650086284</v>
      </c>
      <c r="E76" s="1">
        <f>IF(COUNT(C76:D76)=2,D76-C76,"")</f>
        <v>-9.004990017985541</v>
      </c>
      <c r="H76" s="1">
        <v>2</v>
      </c>
      <c r="I76" s="1">
        <v>1</v>
      </c>
      <c r="J76" s="1">
        <f>IF(591060&gt;0,100*305577/591060,"")</f>
        <v>51.69982742868744</v>
      </c>
      <c r="K76" s="1">
        <f>IF(709127&gt;0,100*110982/709127,"")</f>
        <v>15.650511121421127</v>
      </c>
      <c r="L76" s="1">
        <f>IF(COUNT(J76:K76)=2,K76-J76,"")</f>
        <v>-36.04931630726632</v>
      </c>
      <c r="O76" s="1">
        <v>2</v>
      </c>
      <c r="P76" s="1">
        <v>1</v>
      </c>
      <c r="Q76" s="1">
        <f>IF(548205&gt;0,100*279421/548205,"")</f>
        <v>50.97016626991728</v>
      </c>
      <c r="R76" s="1">
        <f>IF(611121&gt;0,100*170413/611121,"")</f>
        <v>27.885312401308415</v>
      </c>
      <c r="S76" s="1">
        <f>IF(COUNT(Q76:R76)=2,R76-Q76,"")</f>
        <v>-23.084853868608864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IF(389831&gt;0,100*145056/389831,"")</f>
        <v>37.20997047438505</v>
      </c>
      <c r="E77" s="1">
        <f>IF(COUNT(C77:D77)=2,D77-C77,"")</f>
        <v>-10.185386958137563</v>
      </c>
      <c r="H77" s="1">
        <v>3</v>
      </c>
      <c r="I77" s="1">
        <v>2</v>
      </c>
      <c r="J77" s="1">
        <f>IF(584205&gt;0,100*244646/584205,"")</f>
        <v>41.87673847365223</v>
      </c>
      <c r="K77" s="1">
        <f>IF(962406&gt;0,100*163898/962406,"")</f>
        <v>17.03002682859417</v>
      </c>
      <c r="L77" s="1">
        <f>IF(COUNT(J77:K77)=2,K77-J77,"")</f>
        <v>-24.84671164505806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IF(795840&gt;0,100*188863/795840,"")</f>
        <v>23.731277643747486</v>
      </c>
      <c r="S77" s="1">
        <f>IF(COUNT(Q77:R77)=2,R77-Q77,"")</f>
        <v>19.47984484740663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IF(624034&gt;0,100*198563/624034,"")</f>
        <v>31.8192598480211</v>
      </c>
      <c r="E78" s="1">
        <f>IF(COUNT(C78:D78)=2,D78-C78,"")</f>
        <v>-17.24416870238782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IF(458502&gt;0,100*19397/458502,"")</f>
        <v>4.2305158974224755</v>
      </c>
      <c r="L78" s="1">
        <f>IF(COUNT(J78:K78)=2,K78-J78,"")</f>
        <v>-39.05069225531287</v>
      </c>
      <c r="O78" s="1">
        <v>4</v>
      </c>
      <c r="P78" s="1">
        <v>3</v>
      </c>
      <c r="Q78" s="1">
        <f>IF(663228&gt;0,100*363210/663228,"")</f>
        <v>54.76397257051874</v>
      </c>
      <c r="R78" s="1">
        <f>IF(516373&gt;0,100*20262/516373,"")</f>
        <v>3.923907717870609</v>
      </c>
      <c r="S78" s="1">
        <f>IF(COUNT(Q78:R78)=2,R78-Q78,"")</f>
        <v>-50.840064852648126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IF(664640&gt;0,100*53824/664640,"")</f>
        <v>8.09821858449687</v>
      </c>
      <c r="E79" s="1">
        <f>IF(COUNT(C79:D79)=2,D79-C79,"")</f>
        <v>-40.7994801087367</v>
      </c>
      <c r="H79" s="1">
        <v>5</v>
      </c>
      <c r="I79" s="1">
        <v>4</v>
      </c>
      <c r="J79" s="1">
        <f>IF(383201&gt;0,100*174388/383201,"")</f>
        <v>45.50823197225477</v>
      </c>
      <c r="K79" s="1">
        <f>IF(573239&gt;0,100*176944/573239,"")</f>
        <v>30.867404346180216</v>
      </c>
      <c r="L79" s="1">
        <f>IF(COUNT(J79:K79)=2,K79-J79,"")</f>
        <v>-14.640827626074554</v>
      </c>
      <c r="O79" s="1">
        <v>5</v>
      </c>
      <c r="P79" s="1">
        <v>4</v>
      </c>
      <c r="Q79" s="1">
        <f>IF(322593&gt;0,100*116626/322593,"")</f>
        <v>36.152675352534</v>
      </c>
      <c r="R79" s="1">
        <f>IF(561813&gt;0,100*197136/561813,"")</f>
        <v>35.08925567760091</v>
      </c>
      <c r="S79" s="1">
        <f>IF(COUNT(Q79:R79)=2,R79-Q79,"")</f>
        <v>-1.0634196749330869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IF(717428&gt;0,100*133199/717428,"")</f>
        <v>18.566183644909316</v>
      </c>
      <c r="E80" s="1">
        <f>IF(COUNT(C80:D80)=2,D80-C80,"")</f>
        <v>-20.286688258040513</v>
      </c>
      <c r="H80" s="1">
        <v>6</v>
      </c>
      <c r="I80" s="1">
        <v>5</v>
      </c>
      <c r="J80" s="1">
        <f>IF(417286&gt;0,100*124193/417286,"")</f>
        <v>29.76208164184756</v>
      </c>
      <c r="K80" s="1">
        <f>IF(566252&gt;0,100*113243/566252,"")</f>
        <v>19.99869316134866</v>
      </c>
      <c r="L80" s="1">
        <f>IF(COUNT(J80:K80)=2,K80-J80,"")</f>
        <v>-9.7633884804989</v>
      </c>
      <c r="O80" s="1">
        <v>6</v>
      </c>
      <c r="P80" s="1">
        <v>5</v>
      </c>
      <c r="Q80" s="1">
        <f>IF(460762&gt;0,100*159245/460762,"")</f>
        <v>34.56122683728259</v>
      </c>
      <c r="R80" s="1">
        <f>IF(591484&gt;0,100*83103/591484,"")</f>
        <v>14.049915128727067</v>
      </c>
      <c r="S80" s="1">
        <f>IF(COUNT(Q80:R80)=2,R80-Q80,"")</f>
        <v>-20.511311708555525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IF(702852&gt;0,100*206010/702852,"")</f>
        <v>29.310580321319424</v>
      </c>
      <c r="E81" s="1">
        <f>IF(COUNT(C81:D81)=2,D81-C81,"")</f>
        <v>-22.511331898941723</v>
      </c>
      <c r="H81" s="1">
        <v>7</v>
      </c>
      <c r="I81" s="1">
        <v>6</v>
      </c>
      <c r="J81" s="1">
        <f>IF(667678&gt;0,100*4575/667678,"")</f>
        <v>0.6852105356174683</v>
      </c>
      <c r="K81" s="1">
        <f>IF(874750&gt;0,100*14601/874750,"")</f>
        <v>1.6691626178908259</v>
      </c>
      <c r="L81" s="1">
        <f>IF(COUNT(J81:K81)=2,K81-J81,"")</f>
        <v>0.9839520822733576</v>
      </c>
      <c r="O81" s="1">
        <v>7</v>
      </c>
      <c r="P81" s="1">
        <v>6</v>
      </c>
      <c r="Q81" s="1">
        <f>IF(457006&gt;0,100*8837/457006,"")</f>
        <v>1.9336726432475722</v>
      </c>
      <c r="R81" s="1">
        <f>IF(600990&gt;0,100*56658/600990,"")</f>
        <v>9.42744471621824</v>
      </c>
      <c r="S81" s="1">
        <f>IF(COUNT(Q81:R81)=2,R81-Q81,"")</f>
        <v>7.493772072970668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IF(566317&gt;0,100*155569/566317,"")</f>
        <v>27.470303734480865</v>
      </c>
      <c r="E82" s="1">
        <f>IF(COUNT(C82:D82)=2,D82-C82,"")</f>
        <v>-19.920147504091993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IF(560880&gt;0,100*4808/560880,"")</f>
        <v>0.8572243617173014</v>
      </c>
      <c r="S82" s="1">
        <f>IF(COUNT(Q82:R82)=2,R82-Q82,"")</f>
        <v>-0.023412664023865437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IF(86229&gt;0,100*17441/86229,"")</f>
        <v>20.226373957717243</v>
      </c>
      <c r="E83" s="1">
        <f>IF(COUNT(C83:D83)=2,D83-C83,"")</f>
        <v>-26.80194135247058</v>
      </c>
      <c r="H83" s="1">
        <v>9</v>
      </c>
      <c r="I83" s="1">
        <v>8</v>
      </c>
      <c r="J83" s="1">
        <f>IF(408350&gt;0,100*224416/408350,"")</f>
        <v>54.95677727439696</v>
      </c>
      <c r="K83" s="1">
        <f>IF(110594&gt;0,100*27456/110594,"")</f>
        <v>24.825939924408196</v>
      </c>
      <c r="L83" s="1">
        <f>IF(COUNT(J83:K83)=2,K83-J83,"")</f>
        <v>-30.130837349988767</v>
      </c>
      <c r="O83" s="1">
        <v>9</v>
      </c>
      <c r="P83" s="1">
        <v>8</v>
      </c>
      <c r="Q83" s="1">
        <f>IF(401424&gt;0,100*207750/401424,"")</f>
        <v>51.75325840009566</v>
      </c>
      <c r="R83" s="1">
        <f>IF(313320&gt;0,100*125976/313320,"")</f>
        <v>40.206817311374955</v>
      </c>
      <c r="S83" s="1">
        <f>IF(COUNT(Q83:R83)=2,R83-Q83,"")</f>
        <v>-11.546441088720705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IF(714264&gt;0,100*8816/714264,"")</f>
        <v>1.23427752203667</v>
      </c>
      <c r="E84" s="1">
        <f>IF(COUNT(C84:D84)=2,D84-C84,"")</f>
        <v>0.08626415705006618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IF(821212&gt;0,100*81555/821212,"")</f>
        <v>9.931053126354705</v>
      </c>
      <c r="L84" s="1">
        <f>IF(COUNT(J84:K84)=2,K84-J84,"")</f>
        <v>-43.45801914900064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IF(767389&gt;0,100*49619/767389,"")</f>
        <v>6.46595142750287</v>
      </c>
      <c r="S84" s="1">
        <f>IF(COUNT(Q84:R84)=2,R84-Q84,"")</f>
        <v>-8.931056815950033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IF(838655&gt;0,100*286269/838655,"")</f>
        <v>34.134298370605315</v>
      </c>
      <c r="E85" s="1">
        <f>IF(COUNT(C85:D85)=2,D85-C85,"")</f>
        <v>-20.57574919829697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IF(1029693&gt;0,100*218569/1029693,"")</f>
        <v>21.226618030811125</v>
      </c>
      <c r="L85" s="1">
        <f>IF(COUNT(J85:K85)=2,K85-J85,"")</f>
        <v>-38.55721254818181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IF(418311&gt;0,100*36559/418311,"")</f>
        <v>8.739669767230602</v>
      </c>
      <c r="S85" s="1">
        <f>IF(COUNT(Q85:R85)=2,R85-Q85,"")</f>
        <v>-42.51932688624352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IF(472040&gt;0,100*179198/472040,"")</f>
        <v>37.962460808406064</v>
      </c>
      <c r="E86" s="1">
        <f>IF(COUNT(C86:D86)=2,D86-C86,"")</f>
        <v>-7.293732633185108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IF(592699&gt;0,100*6688/592699,"")</f>
        <v>1.1283973821450686</v>
      </c>
      <c r="L86" s="1">
        <f>IF(COUNT(J86:K86)=2,K86-J86,"")</f>
        <v>-54.666536964221024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IF(997716&gt;0,100*144596/997716,"")</f>
        <v>14.492701329837349</v>
      </c>
      <c r="S86" s="1">
        <f>IF(COUNT(Q86:R86)=2,R86-Q86,"")</f>
        <v>-39.12551263247562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IF(707057&gt;0,100*126988/707057,"")</f>
        <v>17.960079597543054</v>
      </c>
      <c r="E87" s="1">
        <f>IF(COUNT(C87:D87)=2,D87-C87,"")</f>
        <v>-6.342965980898587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IF(865093&gt;0,100*11430/865093,"")</f>
        <v>1.3212452302815998</v>
      </c>
      <c r="L87" s="1">
        <f>IF(COUNT(J87:K87)=2,K87-J87,"")</f>
        <v>-43.74440434914029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IF(684707&gt;0,100*12144/684707,"")</f>
        <v>1.7736053523623974</v>
      </c>
      <c r="S87" s="1">
        <f>IF(COUNT(Q87:R87)=2,R87-Q87,"")</f>
        <v>0.21458651365411718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IF(742424&gt;0,100*15676/742424,"")</f>
        <v>2.1114619139467474</v>
      </c>
      <c r="E88" s="1">
        <f>IF(COUNT(C88:D88)=2,D88-C88,"")</f>
        <v>-10.832950510749171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IF(291860&gt;0,100*12749/291860,"")</f>
        <v>4.368190228191598</v>
      </c>
      <c r="L88" s="1">
        <f>IF(COUNT(J88:K88)=2,K88-J88,"")</f>
        <v>-19.440089416389927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IF(436884&gt;0,100*35401/436884,"")</f>
        <v>8.103066260151436</v>
      </c>
      <c r="S88" s="1">
        <f>IF(COUNT(Q88:R88)=2,R88-Q88,"")</f>
        <v>2.031704660220119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IF(352328&gt;0,100*86415/352328,"")</f>
        <v>24.526861333757182</v>
      </c>
      <c r="E89" s="1">
        <f>IF(COUNT(C89:D89)=2,D89-C89,"")</f>
        <v>-26.48838259528482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IF(56886&gt;0,100*5122/56886,"")</f>
        <v>9.003972857996695</v>
      </c>
      <c r="L89" s="1">
        <f>IF(COUNT(J89:K89)=2,K89-J89,"")</f>
        <v>-7.60150958171395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IF(817726&gt;0,100*103922/817726,"")</f>
        <v>12.708657912308034</v>
      </c>
      <c r="S89" s="1">
        <f>IF(COUNT(Q89:R89)=2,R89-Q89,"")</f>
        <v>-7.8444776975997925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IF(424539&gt;0,100*127986/424539,"")</f>
        <v>30.14705362758192</v>
      </c>
      <c r="E90" s="1">
        <f>IF(COUNT(C90:D90)=2,D90-C90,"")</f>
        <v>-11.94784567114818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IF(686916&gt;0,100*33294/686916,"")</f>
        <v>4.846880841325577</v>
      </c>
      <c r="L90" s="1">
        <f>IF(COUNT(J90:K90)=2,K90-J90,"")</f>
        <v>-47.181278834910415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IF(790362&gt;0,100*44977/790362,"")</f>
        <v>5.690683509581685</v>
      </c>
      <c r="S90" s="1">
        <f>IF(COUNT(Q90:R90)=2,R90-Q90,"")</f>
        <v>-51.895286216250895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IF(395288&gt;0,100*4048/395288,"")</f>
        <v>1.024063467648904</v>
      </c>
      <c r="E91" s="1">
        <f>IF(COUNT(C91:D91)=2,D91-C91,"")</f>
        <v>-3.6714709339124973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IF(561938&gt;0,100*166625/561938,"")</f>
        <v>29.65184771273699</v>
      </c>
      <c r="L91" s="1">
        <f>IF(COUNT(J91:K91)=2,K91-J91,"")</f>
        <v>27.264116803849742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IF(659958&gt;0,100*158610/659958,"")</f>
        <v>24.03334757666397</v>
      </c>
      <c r="S91" s="1">
        <f>IF(COUNT(Q91:R91)=2,R91-Q91,"")</f>
        <v>-17.098667373960247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IF(465386&gt;0,100*4968/465386,"")</f>
        <v>1.0675009561955022</v>
      </c>
      <c r="E92" s="1">
        <f>IF(COUNT(C92:D92)=2,D92-C92,"")</f>
        <v>-16.946422091524155</v>
      </c>
      <c r="H92" s="1">
        <v>18</v>
      </c>
      <c r="I92" s="1">
        <v>17</v>
      </c>
      <c r="J92" s="4"/>
      <c r="K92" s="1">
        <f>IF(512941&gt;0,100*28150/512941,"")</f>
        <v>5.4879606036561706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IF(1890828&gt;0,100*93484/1890828,"")</f>
        <v>4.944077409473522</v>
      </c>
      <c r="S92" s="1">
        <f>IF(COUNT(Q92:R92)=2,R92-Q92,"")</f>
        <v>-46.57025017260893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IF(698906&gt;0,100*250925/698906,"")</f>
        <v>35.9025391111251</v>
      </c>
      <c r="E93" s="1">
        <f>IF(COUNT(C93:D93)=2,D93-C93,"")</f>
        <v>-15.617609868145067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IF(707688&gt;0,100*17919/707688,"")</f>
        <v>2.532048021161868</v>
      </c>
      <c r="L93" s="1">
        <f>IF(COUNT(J93:K93)=2,K93-J93,"")</f>
        <v>-13.210920534384469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IF(915000&gt;0,100*38241/915000,"")</f>
        <v>4.179344262295082</v>
      </c>
      <c r="S93" s="1">
        <f>IF(COUNT(Q93:R93)=2,R93-Q93,"")</f>
        <v>-44.929144938405116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IF(720186&gt;0,100*188638/720186,"")</f>
        <v>26.19295570866415</v>
      </c>
      <c r="E94" s="1">
        <f>IF(COUNT(C94:D94)=2,D94-C94,"")</f>
        <v>-19.372373966099794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IF(654541&gt;0,100*89611/654541,"")</f>
        <v>13.690662617009476</v>
      </c>
      <c r="L94" s="1">
        <f>IF(COUNT(J94:K94)=2,K94-J94,"")</f>
        <v>-7.9156737588330905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IF(873703&gt;0,100*200254/873703,"")</f>
        <v>22.92014563301259</v>
      </c>
      <c r="S94" s="1">
        <f>IF(COUNT(Q94:R94)=2,R94-Q94,"")</f>
        <v>-27.261730295498257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IF(591664&gt;0,100*76031/591664,"")</f>
        <v>12.85036777630547</v>
      </c>
      <c r="E95" s="1">
        <f>IF(COUNT(C95:D95)=2,D95-C95,"")</f>
        <v>-36.09915901749713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IF(565079&gt;0,100*30739/565079,"")</f>
        <v>5.439770368390969</v>
      </c>
      <c r="L95" s="1">
        <f>IF(COUNT(J95:K95)=2,K95-J95,"")</f>
        <v>-50.85512158825368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IF(832526&gt;0,100*250192/832526,"")</f>
        <v>30.052154527306055</v>
      </c>
      <c r="S95" s="1">
        <f>IF(COUNT(Q95:R95)=2,R95-Q95,"")</f>
        <v>-24.653546972369416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IF(333143&gt;0,100*116327/333143,"")</f>
        <v>34.918038199812095</v>
      </c>
      <c r="E96" s="1">
        <f>IF(COUNT(C96:D96)=2,D96-C96,"")</f>
        <v>-1.6631979617485158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IF(381280&gt;0,100*123736/381280,"")</f>
        <v>32.45279060008393</v>
      </c>
      <c r="L96" s="1">
        <f>IF(COUNT(J96:K96)=2,K96-J96,"")</f>
        <v>-17.428243354306105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IF(165998&gt;0,100*51545/165998,"")</f>
        <v>31.05157893468596</v>
      </c>
      <c r="S96" s="1">
        <f>IF(COUNT(Q96:R96)=2,R96-Q96,"")</f>
        <v>-10.005219035982027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IF(679546&gt;0,100*6239/679546,"")</f>
        <v>0.9181129754277121</v>
      </c>
      <c r="E97" s="1">
        <f>IF(COUNT(C97:D97)=2,D97-C97,"")</f>
        <v>0.7263251005403392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IF(812704&gt;0,100*109392/812704,"")</f>
        <v>13.460251210772926</v>
      </c>
      <c r="L97" s="1">
        <f>IF(COUNT(J97:K97)=2,K97-J97,"")</f>
        <v>-40.83051773590891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IF(559562&gt;0,100*158953/559562,"")</f>
        <v>28.406682369424658</v>
      </c>
      <c r="S97" s="1">
        <f>IF(COUNT(Q97:R97)=2,R97-Q97,"")</f>
        <v>-15.076619902576113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IF(883609&gt;0,100*75802/883609,"")</f>
        <v>8.578681294554492</v>
      </c>
      <c r="E98" s="1">
        <f>IF(COUNT(C98:D98)=2,D98-C98,"")</f>
        <v>-31.933066434347054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IF(893214&gt;0,100*161356/893214,"")</f>
        <v>18.064651919920646</v>
      </c>
      <c r="L98" s="1">
        <f>IF(COUNT(J98:K98)=2,K98-J98,"")</f>
        <v>-29.314944239319377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IF(475073&gt;0,100*23053/475073,"")</f>
        <v>4.852517402588655</v>
      </c>
      <c r="S98" s="1">
        <f>IF(COUNT(Q98:R98)=2,R98-Q98,"")</f>
        <v>-21.428252612838854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IF(508757&gt;0,100*184514/508757,"")</f>
        <v>36.26760909432205</v>
      </c>
      <c r="E99" s="1">
        <f>IF(COUNT(C99:D99)=2,D99-C99,"")</f>
        <v>-8.422728633357274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IF(492188&gt;0,100*23560/492188,"")</f>
        <v>4.786788788024088</v>
      </c>
      <c r="L99" s="1">
        <f>IF(COUNT(J99:K99)=2,K99-J99,"")</f>
        <v>-46.48536285969466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IF(791576&gt;0,100*18940/791576,"")</f>
        <v>2.3926950791838055</v>
      </c>
      <c r="S99" s="1">
        <f>IF(COUNT(Q99:R99)=2,R99-Q99,"")</f>
        <v>-40.175376018545585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IF(716159&gt;0,100*192064/716159,"")</f>
        <v>26.818625472834942</v>
      </c>
      <c r="E100" s="1">
        <f>IF(COUNT(C100:D100)=2,D100-C100,"")</f>
        <v>-24.373827928010346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IF(670922&gt;0,100*36811/670922,"")</f>
        <v>5.486628848062815</v>
      </c>
      <c r="L100" s="1">
        <f>IF(COUNT(J100:K100)=2,K100-J100,"")</f>
        <v>-0.5895471123726805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IF(785903&gt;0,100*189112/785903,"")</f>
        <v>24.063020499985367</v>
      </c>
      <c r="S100" s="1">
        <f>IF(COUNT(Q100:R100)=2,R100-Q100,"")</f>
        <v>-35.52494378709521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IF(571954&gt;0,100*210589/571954,"")</f>
        <v>36.8192197274606</v>
      </c>
      <c r="E101" s="1">
        <f>IF(COUNT(C101:D101)=2,D101-C101,"")</f>
        <v>-20.995670595039968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IF(534707&gt;0,100*41819/534707,"")</f>
        <v>7.820918746154436</v>
      </c>
      <c r="L101" s="1">
        <f>IF(COUNT(J101:K101)=2,K101-J101,"")</f>
        <v>-12.009141987294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IF(711624&gt;0,100*91513/711624,"")</f>
        <v>12.85974053713759</v>
      </c>
      <c r="S101" s="1">
        <f>IF(COUNT(Q101:R101)=2,R101-Q101,"")</f>
        <v>-5.590173614190967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IF(614016&gt;0,100*148850/614016,"")</f>
        <v>24.242039295392953</v>
      </c>
      <c r="L102" s="1">
        <f>IF(COUNT(J102:K102)=2,K102-J102,"")</f>
        <v>-10.405668356398348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IF(486325&gt;0,100*96746/486325,"")</f>
        <v>19.89328124196782</v>
      </c>
      <c r="S102" s="1">
        <f>IF(COUNT(Q102:R102)=2,R102-Q102,"")</f>
        <v>-8.700897511462209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IF(585161&gt;0,100*212938/585161,"")</f>
        <v>36.38964319221547</v>
      </c>
      <c r="E103" s="1">
        <f>IF(COUNT(C103:D103)=2,D103-C103,"")</f>
        <v>-19.758502190375204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IF(754685&gt;0,100*249635/754685,"")</f>
        <v>33.078039181910334</v>
      </c>
      <c r="L103" s="1">
        <f>IF(COUNT(J103:K103)=2,K103-J103,"")</f>
        <v>-23.101733463809595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IF(741587&gt;0,100*289346/741587,"")</f>
        <v>39.0171348742629</v>
      </c>
      <c r="S103" s="1">
        <f>IF(COUNT(Q103:R103)=2,R103-Q103,"")</f>
        <v>-12.149356771353936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IF(744186&gt;0,100*210465/744186,"")</f>
        <v>28.28123614257726</v>
      </c>
      <c r="E104" s="1">
        <f>IF(COUNT(C104:D104)=2,D104-C104,"")</f>
        <v>-24.226596337321137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IF(552528&gt;0,100*18531/552528,"")</f>
        <v>3.353857180088611</v>
      </c>
      <c r="L104" s="1">
        <f>IF(COUNT(J104:K104)=2,K104-J104,"")</f>
        <v>-24.757316287595756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IF(599813&gt;0,100*7595/599813,"")</f>
        <v>1.2662279743853502</v>
      </c>
      <c r="S104" s="1">
        <f>IF(COUNT(Q104:R104)=2,R104-Q104,"")</f>
        <v>-0.1368670595274899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IF(771332&gt;0,100*18697/771332,"")</f>
        <v>2.4239886326510502</v>
      </c>
      <c r="E105" s="1">
        <f>IF(COUNT(C105:D105)=2,D105-C105,"")</f>
        <v>-20.04371738071198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IF(554954&gt;0,100*131987/554954,"")</f>
        <v>23.78341267924909</v>
      </c>
      <c r="L105" s="1">
        <f>IF(COUNT(J105:K105)=2,K105-J105,"")</f>
        <v>6.439812682225892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IF(749586&gt;0,100*193259/749586,"")</f>
        <v>25.78209838497517</v>
      </c>
      <c r="S105" s="1">
        <f>IF(COUNT(Q105:R105)=2,R105-Q105,"")</f>
        <v>-13.711059587203977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20.977350925461685</v>
      </c>
      <c r="E106" s="1">
        <f>IF(COUNT(E75:E105)&gt;0,AVERAGE(E75:E105),"")</f>
        <v>-15.79637585788075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13.459843622010052</v>
      </c>
      <c r="L106" s="1">
        <f>IF(COUNT(L75:L105)&gt;0,AVERAGE(L75:L105),"")</f>
        <v>-22.637846540092383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16.381753838807125</v>
      </c>
      <c r="S106" s="1">
        <f>IF(COUNT(S75:S105)&gt;0,AVERAGE(S75:S105),"")</f>
        <v>-18.80058390020707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IF(325491&gt;0,100*16730/325491,"")</f>
        <v>5.1399270640355645</v>
      </c>
      <c r="E3" s="1">
        <f>IF(COUNT(C3:D3)=2,D3-C3,"")</f>
        <v>-10.49904548167875</v>
      </c>
      <c r="H3" s="1">
        <v>1</v>
      </c>
      <c r="I3" s="1">
        <v>0</v>
      </c>
      <c r="J3" s="1">
        <f>IF(215009&gt;0,100*58251/215009,"")</f>
        <v>27.09235427354204</v>
      </c>
      <c r="K3" s="1">
        <f>IF(327634&gt;0,100*39966/327634,"")</f>
        <v>12.198367690776903</v>
      </c>
      <c r="L3" s="1">
        <f>IF(COUNT(J3:K3)=2,K3-J3,"")</f>
        <v>-14.893986582765136</v>
      </c>
      <c r="O3" s="1">
        <v>1</v>
      </c>
      <c r="P3" s="1">
        <v>0</v>
      </c>
      <c r="Q3" s="1">
        <f>IF(558995&gt;0,100*195788/558995,"")</f>
        <v>35.0250002236156</v>
      </c>
      <c r="R3" s="1">
        <f>IF(386300&gt;0,100*31997/386300,"")</f>
        <v>8.282940719647941</v>
      </c>
      <c r="S3" s="1">
        <f>IF(COUNT(Q3:R3)=2,R3-Q3,"")</f>
        <v>-26.74205950396766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IF(212397&gt;0,100*60090/212397,"")</f>
        <v>28.291360047458298</v>
      </c>
      <c r="E4" s="1">
        <f>IF(COUNT(C4:D4)=2,D4-C4,"")</f>
        <v>-19.52420630483283</v>
      </c>
      <c r="H4" s="1">
        <v>2</v>
      </c>
      <c r="I4" s="1">
        <v>1</v>
      </c>
      <c r="J4" s="1">
        <f>IF(296332&gt;0,100*64971/296332,"")</f>
        <v>21.925070529001257</v>
      </c>
      <c r="K4" s="1">
        <f>IF(332371&gt;0,100*70654/332371,"")</f>
        <v>21.257570606340504</v>
      </c>
      <c r="L4" s="1">
        <f>IF(COUNT(J4:K4)=2,K4-J4,"")</f>
        <v>-0.6674999226607525</v>
      </c>
      <c r="O4" s="1">
        <v>2</v>
      </c>
      <c r="P4" s="1">
        <v>1</v>
      </c>
      <c r="Q4" s="1">
        <f>IF(348213&gt;0,100*131600/348213,"")</f>
        <v>37.792960056057645</v>
      </c>
      <c r="R4" s="1">
        <f>IF(260523&gt;0,100*52930/260523,"")</f>
        <v>20.31682423432864</v>
      </c>
      <c r="S4" s="1">
        <f>IF(COUNT(Q4:R4)=2,R4-Q4,"")</f>
        <v>-17.476135821729006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IF(237620&gt;0,100*55994/237620,"")</f>
        <v>23.564514771483882</v>
      </c>
      <c r="E5" s="1">
        <f>IF(COUNT(C5:D5)=2,D5-C5,"")</f>
        <v>-18.655258161480265</v>
      </c>
      <c r="H5" s="1">
        <v>3</v>
      </c>
      <c r="I5" s="1">
        <v>2</v>
      </c>
      <c r="J5" s="1">
        <f>IF(328831&gt;0,100*62705/328831,"")</f>
        <v>19.069065872743142</v>
      </c>
      <c r="K5" s="1">
        <f>IF(669083&gt;0,100*156618/669083,"")</f>
        <v>23.40785821788926</v>
      </c>
      <c r="L5" s="1">
        <f>IF(COUNT(J5:K5)=2,K5-J5,"")</f>
        <v>4.338792345146118</v>
      </c>
      <c r="O5" s="1">
        <v>3</v>
      </c>
      <c r="P5" s="1">
        <v>2</v>
      </c>
      <c r="Q5" s="1">
        <f>IF(499604&gt;0,100*190955/499604,"")</f>
        <v>38.221271246827484</v>
      </c>
      <c r="R5" s="1">
        <f>IF(366136&gt;0,100*68970/366136,"")</f>
        <v>18.837262656499224</v>
      </c>
      <c r="S5" s="1">
        <f>IF(COUNT(Q5:R5)=2,R5-Q5,"")</f>
        <v>-19.38400859032826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IF(556432&gt;0,100*176525/556432,"")</f>
        <v>31.72445150530523</v>
      </c>
      <c r="E6" s="1">
        <f>IF(COUNT(C6:D6)=2,D6-C6,"")</f>
        <v>-7.00147561820275</v>
      </c>
      <c r="H6" s="1">
        <v>4</v>
      </c>
      <c r="I6" s="1">
        <v>3</v>
      </c>
      <c r="J6" s="1">
        <f>IF(464767&gt;0,100*69099/464767,"")</f>
        <v>14.867449711360747</v>
      </c>
      <c r="K6" s="1">
        <f>IF(239427&gt;0,100*14784/239427,"")</f>
        <v>6.174742196995326</v>
      </c>
      <c r="L6" s="1">
        <f>IF(COUNT(J6:K6)=2,K6-J6,"")</f>
        <v>-8.69270751436542</v>
      </c>
      <c r="O6" s="1">
        <v>4</v>
      </c>
      <c r="P6" s="1">
        <v>3</v>
      </c>
      <c r="Q6" s="1">
        <f>IF(332328&gt;0,100*11557/332328,"")</f>
        <v>3.477588406634409</v>
      </c>
      <c r="R6" s="1">
        <f>IF(399738&gt;0,100*26557/399738,"")</f>
        <v>6.643601559021159</v>
      </c>
      <c r="S6" s="1">
        <f>IF(COUNT(Q6:R6)=2,R6-Q6,"")</f>
        <v>3.1660131523867494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IF(504129&gt;0,100*31518/504129,"")</f>
        <v>6.251971221651601</v>
      </c>
      <c r="E7" s="1">
        <f>IF(COUNT(C7:D7)=2,D7-C7,"")</f>
        <v>-28.803950307232142</v>
      </c>
      <c r="H7" s="1">
        <v>5</v>
      </c>
      <c r="I7" s="1">
        <v>4</v>
      </c>
      <c r="J7" s="1">
        <f>IF(411240&gt;0,100*106457/411240,"")</f>
        <v>25.88683007489544</v>
      </c>
      <c r="K7" s="1">
        <f>IF(416114&gt;0,100*86810/416114,"")</f>
        <v>20.862071451573367</v>
      </c>
      <c r="L7" s="1">
        <f>IF(COUNT(J7:K7)=2,K7-J7,"")</f>
        <v>-5.024758623322072</v>
      </c>
      <c r="O7" s="1">
        <v>5</v>
      </c>
      <c r="P7" s="1">
        <v>4</v>
      </c>
      <c r="Q7" s="1">
        <f>IF(258766&gt;0,100*96546/258766,"")</f>
        <v>37.3101566666409</v>
      </c>
      <c r="R7" s="1">
        <f>IF(295691&gt;0,100*59059/295691,"")</f>
        <v>19.973215282169562</v>
      </c>
      <c r="S7" s="1">
        <f>IF(COUNT(Q7:R7)=2,R7-Q7,"")</f>
        <v>-17.336941384471338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IF(383608&gt;0,100*54923/383608,"")</f>
        <v>14.317480344518362</v>
      </c>
      <c r="E8" s="1">
        <f>IF(COUNT(C8:D8)=2,D8-C8,"")</f>
        <v>-9.172900205598417</v>
      </c>
      <c r="H8" s="1">
        <v>6</v>
      </c>
      <c r="I8" s="1">
        <v>5</v>
      </c>
      <c r="J8" s="1">
        <f>IF(324059&gt;0,100*91696/324059,"")</f>
        <v>28.29608188632317</v>
      </c>
      <c r="K8" s="1">
        <f>IF(253432&gt;0,100*50282/253432,"")</f>
        <v>19.840430569146754</v>
      </c>
      <c r="L8" s="1">
        <f>IF(COUNT(J8:K8)=2,K8-J8,"")</f>
        <v>-8.455651317176414</v>
      </c>
      <c r="O8" s="1">
        <v>6</v>
      </c>
      <c r="P8" s="1">
        <v>5</v>
      </c>
      <c r="Q8" s="1">
        <f>IF(371148&gt;0,100*77908/371148,"")</f>
        <v>20.9910871134965</v>
      </c>
      <c r="R8" s="1">
        <f>IF(282425&gt;0,100*36338/282425,"")</f>
        <v>12.86642471452598</v>
      </c>
      <c r="S8" s="1">
        <f>IF(COUNT(Q8:R8)=2,R8-Q8,"")</f>
        <v>-8.124662398970521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IF(368742&gt;0,100*77724/368742,"")</f>
        <v>21.078152203980018</v>
      </c>
      <c r="E9" s="1">
        <f>IF(COUNT(C9:D9)=2,D9-C9,"")</f>
        <v>-23.38683167157192</v>
      </c>
      <c r="H9" s="1">
        <v>7</v>
      </c>
      <c r="I9" s="1">
        <v>6</v>
      </c>
      <c r="J9" s="1">
        <f>IF(325191&gt;0,100*2956/325191,"")</f>
        <v>0.9090042467349957</v>
      </c>
      <c r="K9" s="1">
        <f>IF(483261&gt;0,100*12451/483261,"")</f>
        <v>2.5764545452664294</v>
      </c>
      <c r="L9" s="1">
        <f>IF(COUNT(J9:K9)=2,K9-J9,"")</f>
        <v>1.6674502985314337</v>
      </c>
      <c r="O9" s="1">
        <v>7</v>
      </c>
      <c r="P9" s="1">
        <v>6</v>
      </c>
      <c r="Q9" s="1">
        <f>IF(434887&gt;0,100*93317/434887,"")</f>
        <v>21.457757992306046</v>
      </c>
      <c r="R9" s="1">
        <f>IF(499432&gt;0,100*27034/499432,"")</f>
        <v>5.4129491101891745</v>
      </c>
      <c r="S9" s="1">
        <f>IF(COUNT(Q9:R9)=2,R9-Q9,"")</f>
        <v>-16.04480888211687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IF(387948&gt;0,100*96636/387948,"")</f>
        <v>24.909523956818955</v>
      </c>
      <c r="E10" s="1">
        <f>IF(COUNT(C10:D10)=2,D10-C10,"")</f>
        <v>-20.61859431317473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IF(316170&gt;0,100*5724/316170,"")</f>
        <v>1.8104184457728438</v>
      </c>
      <c r="S10" s="1">
        <f>IF(COUNT(Q10:R10)=2,R10-Q10,"")</f>
        <v>1.4067744068663457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IF(214361&gt;0,100*60629/214361,"")</f>
        <v>28.283596363144415</v>
      </c>
      <c r="E11" s="1">
        <f>IF(COUNT(C11:D11)=2,D11-C11,"")</f>
        <v>-18.265233390676077</v>
      </c>
      <c r="H11" s="1">
        <v>9</v>
      </c>
      <c r="I11" s="1">
        <v>8</v>
      </c>
      <c r="J11" s="1">
        <f>IF(422295&gt;0,100*144131/422295,"")</f>
        <v>34.13040646941119</v>
      </c>
      <c r="K11" s="1">
        <f>IF(325138&gt;0,100*70216/325138,"")</f>
        <v>21.595753187877147</v>
      </c>
      <c r="L11" s="1">
        <f>IF(COUNT(J11:K11)=2,K11-J11,"")</f>
        <v>-12.534653281534045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IF(309578&gt;0,100*61117/309578,"")</f>
        <v>19.74203593278592</v>
      </c>
      <c r="S11" s="1">
        <f>IF(COUNT(Q11:R11)=2,R11-Q11,"")</f>
        <v>-18.762757409422843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IF(367916&gt;0,100*6994/367916,"")</f>
        <v>1.9009773970145358</v>
      </c>
      <c r="E12" s="1">
        <f>IF(COUNT(C12:D12)=2,D12-C12,"")</f>
        <v>-29.02161048514429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IF(490450&gt;0,100*7563/490450,"")</f>
        <v>1.5420532164338872</v>
      </c>
      <c r="L12" s="1">
        <f>IF(COUNT(J12:K12)=2,K12-J12,"")</f>
        <v>-15.195575054293629</v>
      </c>
      <c r="O12" s="1">
        <v>10</v>
      </c>
      <c r="P12" s="1">
        <v>9</v>
      </c>
      <c r="Q12" s="1">
        <f>IF(412598&gt;0,100*74901/412598,"")</f>
        <v>18.15350534903223</v>
      </c>
      <c r="R12" s="1">
        <f>IF(487932&gt;0,100*33541/487932,"")</f>
        <v>6.874113605994278</v>
      </c>
      <c r="S12" s="1">
        <f>IF(COUNT(Q12:R12)=2,R12-Q12,"")</f>
        <v>-11.279391743037952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IF(423583&gt;0,100*135457/423583,"")</f>
        <v>31.978856564120846</v>
      </c>
      <c r="E13" s="1">
        <f>IF(COUNT(C13:D13)=2,D13-C13,"")</f>
        <v>-0.4743423222331984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IF(459979&gt;0,100*32749/459979,"")</f>
        <v>7.11967285463032</v>
      </c>
      <c r="L13" s="1">
        <f>IF(COUNT(J13:K13)=2,K13-J13,"")</f>
        <v>1.922939099936884</v>
      </c>
      <c r="O13" s="1">
        <v>11</v>
      </c>
      <c r="P13" s="1">
        <v>10</v>
      </c>
      <c r="Q13" s="1">
        <f>IF(517486&gt;0,100*3762/517486,"")</f>
        <v>0.726976188727811</v>
      </c>
      <c r="R13" s="1">
        <f>IF(565448&gt;0,100*91268/565448,"")</f>
        <v>16.140829926005573</v>
      </c>
      <c r="S13" s="1">
        <f>IF(COUNT(Q13:R13)=2,R13-Q13,"")</f>
        <v>15.413853737277762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IF(222685&gt;0,100*51053/222685,"")</f>
        <v>22.926106383456453</v>
      </c>
      <c r="E14" s="1">
        <f>IF(COUNT(C14:D14)=2,D14-C14,"")</f>
        <v>-21.04762465142215</v>
      </c>
      <c r="H14" s="1">
        <v>12</v>
      </c>
      <c r="I14" s="1">
        <v>11</v>
      </c>
      <c r="J14" s="1">
        <f>IF(461148&gt;0,100*18702/461148,"")</f>
        <v>4.05553097920841</v>
      </c>
      <c r="K14" s="1">
        <f>IF(571447&gt;0,100*50880/571447,"")</f>
        <v>8.903712855260418</v>
      </c>
      <c r="L14" s="1">
        <f>IF(COUNT(J14:K14)=2,K14-J14,"")</f>
        <v>4.848181876052007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IF(515386&gt;0,100*38573/515386,"")</f>
        <v>7.484293325779125</v>
      </c>
      <c r="S14" s="1">
        <f>IF(COUNT(Q14:R14)=2,R14-Q14,"")</f>
        <v>-30.76155756732776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IF(363138&gt;0,100*14259/363138,"")</f>
        <v>3.9266064140905113</v>
      </c>
      <c r="E15" s="1">
        <f>IF(COUNT(C15:D15)=2,D15-C15,"")</f>
        <v>-28.110707784550673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IF(467545&gt;0,100*87456/467545,"")</f>
        <v>18.70536525895903</v>
      </c>
      <c r="L15" s="1">
        <f>IF(COUNT(J15:K15)=2,K15-J15,"")</f>
        <v>-23.55170511909223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IF(513378&gt;0,100*83462/513378,"")</f>
        <v>16.257416562454956</v>
      </c>
      <c r="S15" s="1">
        <f>IF(COUNT(Q15:R15)=2,R15-Q15,"")</f>
        <v>8.47815051727572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IF(485022&gt;0,100*12031/485022,"")</f>
        <v>2.480506038901328</v>
      </c>
      <c r="E16" s="1">
        <f>IF(COUNT(C16:D16)=2,D16-C16,"")</f>
        <v>-14.065949268385104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IF(237195&gt;0,100*30475/237195,"")</f>
        <v>12.848078585130377</v>
      </c>
      <c r="L16" s="1">
        <f>IF(COUNT(J16:K16)=2,K16-J16,"")</f>
        <v>-4.105047592745901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IF(261696&gt;0,100*25915/261696,"")</f>
        <v>9.902711543164587</v>
      </c>
      <c r="S16" s="1">
        <f>IF(COUNT(Q16:R16)=2,R16-Q16,"")</f>
        <v>8.432247289567465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IF(400643&gt;0,100*119595/400643,"")</f>
        <v>29.850764895430597</v>
      </c>
      <c r="E17" s="1">
        <f>IF(COUNT(C17:D17)=2,D17-C17,"")</f>
        <v>-12.14058741830237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IF(586688&gt;0,100*108435/586688,"")</f>
        <v>18.4825665430348</v>
      </c>
      <c r="L17" s="1">
        <f>IF(COUNT(J17:K17)=2,K17-J17,"")</f>
        <v>-27.447263846936863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IF(391428&gt;0,100*47428/391428,"")</f>
        <v>12.116660024321204</v>
      </c>
      <c r="S17" s="1">
        <f>IF(COUNT(Q17:R17)=2,R17-Q17,"")</f>
        <v>-20.913871387576393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IF(320831&gt;0,100*77501/320831,"")</f>
        <v>24.156331526566948</v>
      </c>
      <c r="E18" s="1">
        <f>IF(COUNT(C18:D18)=2,D18-C18,"")</f>
        <v>-14.85239970188827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IF(422212&gt;0,100*19798/422212,"")</f>
        <v>4.689113525906417</v>
      </c>
      <c r="L18" s="1">
        <f>IF(COUNT(J18:K18)=2,K18-J18,"")</f>
        <v>-19.897109860565806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IF(452345&gt;0,100*65894/452345,"")</f>
        <v>14.56719981430103</v>
      </c>
      <c r="S18" s="1">
        <f>IF(COUNT(Q18:R18)=2,R18-Q18,"")</f>
        <v>-17.802880971041727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IF(283426&gt;0,100*13145/283426,"")</f>
        <v>4.637894900256152</v>
      </c>
      <c r="E19" s="1">
        <f>IF(COUNT(C19:D19)=2,D19-C19,"")</f>
        <v>-2.0208701169411887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IF(334366&gt;0,100*66766/334366,"")</f>
        <v>19.967939323974328</v>
      </c>
      <c r="L19" s="1">
        <f>IF(COUNT(J19:K19)=2,K19-J19,"")</f>
        <v>-17.70843077445177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IF(410444&gt;0,100*70982/410444,"")</f>
        <v>17.293954839149798</v>
      </c>
      <c r="S19" s="1">
        <f>IF(COUNT(Q19:R19)=2,R19-Q19,"")</f>
        <v>-4.879879365570805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IF(449909&gt;0,100*29552/449909,"")</f>
        <v>6.568439395522206</v>
      </c>
      <c r="L20" s="1">
        <f>IF(COUNT(J20:K20)=2,K20-J20,"")</f>
        <v>-15.220671392806455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IF(493560&gt;0,100*60403/493560,"")</f>
        <v>12.238228381554421</v>
      </c>
      <c r="S20" s="1">
        <f>IF(COUNT(Q20:R20)=2,R20-Q20,"")</f>
        <v>-21.13049325494316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IF(319091&gt;0,100*80424/319091,"")</f>
        <v>25.20409538344861</v>
      </c>
      <c r="E21" s="1">
        <f>IF(COUNT(C21:D21)=2,D21-C21,"")</f>
        <v>-14.644775321682268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IF(485418&gt;0,100*39870/485418,"")</f>
        <v>8.213539670963995</v>
      </c>
      <c r="L21" s="1">
        <f>IF(COUNT(J21:K21)=2,K21-J21,"")</f>
        <v>-5.681055023728703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IF(468281&gt;0,100*65033/468281,"")</f>
        <v>13.887601675062623</v>
      </c>
      <c r="S21" s="1">
        <f>IF(COUNT(Q21:R21)=2,R21-Q21,"")</f>
        <v>-4.282624016396863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IF(389469&gt;0,100*66816/389469,"")</f>
        <v>17.155665791115595</v>
      </c>
      <c r="E22" s="1">
        <f>IF(COUNT(C22:D22)=2,D22-C22,"")</f>
        <v>-17.682153256954358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IF(252135&gt;0,100*25107/252135,"")</f>
        <v>9.957760723421977</v>
      </c>
      <c r="L22" s="1">
        <f>IF(COUNT(J22:K22)=2,K22-J22,"")</f>
        <v>-2.413243223116366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IF(492682&gt;0,100*39604/492682,"")</f>
        <v>8.03845076540243</v>
      </c>
      <c r="S22" s="1">
        <f>IF(COUNT(Q22:R22)=2,R22-Q22,"")</f>
        <v>-12.658245588900549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IF(317124&gt;0,100*53980/317124,"")</f>
        <v>17.021732823753485</v>
      </c>
      <c r="E23" s="1">
        <f>IF(COUNT(C23:D23)=2,D23-C23,"")</f>
        <v>2.1532579702711345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IF(380139&gt;0,100*61177/380139,"")</f>
        <v>16.093323757888562</v>
      </c>
      <c r="L23" s="1">
        <f>IF(COUNT(J23:K23)=2,K23-J23,"")</f>
        <v>-26.54116132141825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IF(531133&gt;0,100*100990/531133,"")</f>
        <v>19.01406992222287</v>
      </c>
      <c r="S23" s="1">
        <f>IF(COUNT(Q23:R23)=2,R23-Q23,"")</f>
        <v>-7.6760986762450045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IF(108600&gt;0,100*27723/108600,"")</f>
        <v>25.527624309392266</v>
      </c>
      <c r="E24" s="1">
        <f>IF(COUNT(C24:D24)=2,D24-C24,"")</f>
        <v>-17.330602266368473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IF(236116&gt;0,100*53245/236116,"")</f>
        <v>22.550356604380898</v>
      </c>
      <c r="L24" s="1">
        <f>IF(COUNT(J24:K24)=2,K24-J24,"")</f>
        <v>-3.7837221679581745</v>
      </c>
      <c r="O24" s="1">
        <v>22</v>
      </c>
      <c r="P24" s="1">
        <v>21</v>
      </c>
      <c r="Q24" s="1">
        <f>IF(97184&gt;0,100*37074/97184,"")</f>
        <v>38.14825485676655</v>
      </c>
      <c r="R24" s="1">
        <f>IF(128396&gt;0,100*30460/128396,"")</f>
        <v>23.723480482258015</v>
      </c>
      <c r="S24" s="1">
        <f>IF(COUNT(Q24:R24)=2,R24-Q24,"")</f>
        <v>-14.424774374508534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IF(455938&gt;0,100*39570/455938,"")</f>
        <v>8.678811592804285</v>
      </c>
      <c r="L25" s="1">
        <f>IF(COUNT(J25:K25)=2,K25-J25,"")</f>
        <v>-7.82640427881981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IF(450401&gt;0,100*71619/450401,"")</f>
        <v>15.901163629743273</v>
      </c>
      <c r="S25" s="1">
        <f>IF(COUNT(Q25:R25)=2,R25-Q25,"")</f>
        <v>-17.930064073562633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IF(499832&gt;0,100*11052/499832,"")</f>
        <v>2.2111429440291936</v>
      </c>
      <c r="E26" s="1">
        <f>IF(COUNT(C26:D26)=2,D26-C26,"")</f>
        <v>-13.389665013232573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IF(523843&gt;0,100*57813/523843,"")</f>
        <v>11.036321951424377</v>
      </c>
      <c r="L26" s="1">
        <f>IF(COUNT(J26:K26)=2,K26-J26,"")</f>
        <v>-18.93527785458816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IF(409967&gt;0,100*30364/409967,"")</f>
        <v>7.406449787421915</v>
      </c>
      <c r="S26" s="1">
        <f>IF(COUNT(Q26:R26)=2,R26-Q26,"")</f>
        <v>-17.046132869884424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IF(396909&gt;0,100*89536/396909,"")</f>
        <v>22.558319413266013</v>
      </c>
      <c r="E27" s="1">
        <f>IF(COUNT(C27:D27)=2,D27-C27,"")</f>
        <v>-22.97143151851445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IF(441090&gt;0,100*12158/441090,"")</f>
        <v>2.7563535786347457</v>
      </c>
      <c r="L27" s="1">
        <f>IF(COUNT(J27:K27)=2,K27-J27,"")</f>
        <v>-16.578298037318397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IF(432799&gt;0,100*27489/432799,"")</f>
        <v>6.3514472075952115</v>
      </c>
      <c r="S27" s="1">
        <f>IF(COUNT(Q27:R27)=2,R27-Q27,"")</f>
        <v>1.0856597785292292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IF(30095&gt;0,100*5723/30095,"")</f>
        <v>19.016447914936037</v>
      </c>
      <c r="E28" s="1">
        <f>IF(COUNT(C28:D28)=2,D28-C28,"")</f>
        <v>-23.229586213058816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IF(488787&gt;0,100*80958/488787,"")</f>
        <v>16.563042797783083</v>
      </c>
      <c r="L28" s="1">
        <f>IF(COUNT(J28:K28)=2,K28-J28,"")</f>
        <v>-14.906239491395354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IF(428240&gt;0,100*45570/428240,"")</f>
        <v>10.64122921726135</v>
      </c>
      <c r="S28" s="1">
        <f>IF(COUNT(Q28:R28)=2,R28-Q28,"")</f>
        <v>-13.26397297741453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IF(270762&gt;0,100*52146/270762,"")</f>
        <v>19.258980211403372</v>
      </c>
      <c r="E29" s="1">
        <f>IF(COUNT(C29:D29)=2,D29-C29,"")</f>
        <v>-10.360177732360025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IF(421616&gt;0,100*54159/421616,"")</f>
        <v>12.845575120488785</v>
      </c>
      <c r="L29" s="1">
        <f>IF(COUNT(J29:K29)=2,K29-J29,"")</f>
        <v>4.771857875575888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IF(371817&gt;0,100*68597/371817,"")</f>
        <v>18.449129544910534</v>
      </c>
      <c r="S29" s="1">
        <f>IF(COUNT(Q29:R29)=2,R29-Q29,"")</f>
        <v>-26.167098185467815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IF(385266&gt;0,100*62546/385266,"")</f>
        <v>16.234497723650673</v>
      </c>
      <c r="L30" s="1">
        <f>IF(COUNT(J30:K30)=2,K30-J30,"")</f>
        <v>-18.922667630680035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IF(398895&gt;0,100*30226/398895,"")</f>
        <v>7.577432657716943</v>
      </c>
      <c r="S30" s="1">
        <f>IF(COUNT(Q30:R30)=2,R30-Q30,"")</f>
        <v>-15.501196089353641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IF(331719&gt;0,100*89817/331719,"")</f>
        <v>27.07623018277518</v>
      </c>
      <c r="E31" s="1">
        <f>IF(COUNT(C31:D31)=2,D31-C31,"")</f>
        <v>-15.17473616916703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IF(378208&gt;0,100*62586/378208,"")</f>
        <v>16.54803705897284</v>
      </c>
      <c r="L31" s="1">
        <f>IF(COUNT(J31:K31)=2,K31-J31,"")</f>
        <v>-26.92265306774792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IF(354807&gt;0,100*62491/354807,"")</f>
        <v>17.612673932588702</v>
      </c>
      <c r="S31" s="1">
        <f>IF(COUNT(Q31:R31)=2,R31-Q31,"")</f>
        <v>-28.96719879250092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IF(466883&gt;0,100*88475/466883,"")</f>
        <v>18.950143826183435</v>
      </c>
      <c r="E32" s="1">
        <f>IF(COUNT(C32:D32)=2,D32-C32,"")</f>
        <v>-26.82087430515027</v>
      </c>
      <c r="H32" s="1">
        <v>30</v>
      </c>
      <c r="I32" s="1">
        <v>29</v>
      </c>
      <c r="J32" s="1">
        <f>IF(295601&gt;0,100*71699/295601,"")</f>
        <v>24.25533066532251</v>
      </c>
      <c r="K32" s="1">
        <f>IF(403090&gt;0,100*61492/403090,"")</f>
        <v>15.255153935845593</v>
      </c>
      <c r="L32" s="1">
        <f>IF(COUNT(J32:K32)=2,K32-J32,"")</f>
        <v>-9.000176729476918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IF(448695&gt;0,100*71780/448695,"")</f>
        <v>15.9975038723409</v>
      </c>
      <c r="S32" s="1">
        <f>IF(COUNT(Q32:R32)=2,R32-Q32,"")</f>
        <v>-3.315523258171872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IF(289515&gt;0,100*52020/289515,"")</f>
        <v>17.967980933630383</v>
      </c>
      <c r="L33" s="1">
        <f>IF(COUNT(J33:K33)=2,K33-J33,"")</f>
        <v>0.01767132897171564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IF(299614&gt;0,100*45858/299614,"")</f>
        <v>15.30569332541203</v>
      </c>
      <c r="S33" s="1">
        <f>IF(COUNT(Q33:R33)=2,R33-Q33,"")</f>
        <v>-10.292611608686261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16.183804559117956</v>
      </c>
      <c r="E34" s="1">
        <f>IF(COUNT(E3:E33)&gt;0,AVERAGE(E3:E33),"")</f>
        <v>-14.101453768540626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12.953468490001573</v>
      </c>
      <c r="L34" s="1">
        <f>IF(COUNT(L3:L33)&gt;0,AVERAGE(L3:L33),"")</f>
        <v>-9.920492132543945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13.118303441858135</v>
      </c>
      <c r="S34" s="1">
        <f>IF(COUNT(S3:S33)&gt;0,AVERAGE(S3:S33),"")</f>
        <v>-11.74781580353852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IF(448316&gt;0,100*45373/448316,"")</f>
        <v>10.12076303321764</v>
      </c>
      <c r="E39" s="1">
        <f>IF(COUNT(C39:D39)=2,D39-C39,"")</f>
        <v>2.114397830929221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IF(476023&gt;0,100*20529/476023,"")</f>
        <v>4.312606743791791</v>
      </c>
      <c r="L39" s="1">
        <f>IF(COUNT(J39:K39)=2,K39-J39,"")</f>
        <v>-25.288514882566425</v>
      </c>
      <c r="O39" s="1">
        <v>1</v>
      </c>
      <c r="P39" s="1">
        <v>0</v>
      </c>
      <c r="Q39" s="1">
        <f>IF(523211&gt;0,100*80163/523211,"")</f>
        <v>15.321352188696338</v>
      </c>
      <c r="R39" s="1">
        <f>IF(244982&gt;0,100*15021/244982,"")</f>
        <v>6.13147088357512</v>
      </c>
      <c r="S39" s="1">
        <f>IF(COUNT(Q39:R39)=2,R39-Q39,"")</f>
        <v>-9.189881305121219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IF(180054&gt;0,100*41667/180054,"")</f>
        <v>23.141390916058516</v>
      </c>
      <c r="E40" s="1">
        <f>IF(COUNT(C40:D40)=2,D40-C40,"")</f>
        <v>-16.743651776247344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IF(428573&gt;0,100*65958/428573,"")</f>
        <v>15.390143569473578</v>
      </c>
      <c r="L40" s="1">
        <f>IF(COUNT(J40:K40)=2,K40-J40,"")</f>
        <v>-21.812217352820582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IF(442865&gt;0,100*55255/442865,"")</f>
        <v>12.47671412281395</v>
      </c>
      <c r="S40" s="1">
        <f>IF(COUNT(Q40:R40)=2,R40-Q40,"")</f>
        <v>-36.07833892494325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IF(511096&gt;0,100*88057/511096,"")</f>
        <v>17.22905285895409</v>
      </c>
      <c r="E41" s="1">
        <f>IF(COUNT(C41:D41)=2,D41-C41,"")</f>
        <v>-34.37052823282546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IF(566020&gt;0,100*57356/566020,"")</f>
        <v>10.133210840606338</v>
      </c>
      <c r="L41" s="1">
        <f>IF(COUNT(J41:K41)=2,K41-J41,"")</f>
        <v>-22.679782126561797</v>
      </c>
      <c r="O41" s="1">
        <v>3</v>
      </c>
      <c r="P41" s="1">
        <v>2</v>
      </c>
      <c r="Q41" s="1">
        <f>IF(735676&gt;0,100*303277/735676,"")</f>
        <v>41.22426176740848</v>
      </c>
      <c r="R41" s="1">
        <f>IF(654128&gt;0,100*52299/654128,"")</f>
        <v>7.9952241763080005</v>
      </c>
      <c r="S41" s="1">
        <f>IF(COUNT(Q41:R41)=2,R41-Q41,"")</f>
        <v>-33.22903759110048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IF(631559&gt;0,100*112941/631559,"")</f>
        <v>17.882889801269556</v>
      </c>
      <c r="E42" s="1">
        <f>IF(COUNT(C42:D42)=2,D42-C42,"")</f>
        <v>-25.494480033454693</v>
      </c>
      <c r="H42" s="1">
        <v>4</v>
      </c>
      <c r="I42" s="1">
        <v>3</v>
      </c>
      <c r="J42" s="1">
        <f>IF(584626&gt;0,100*38325/584626,"")</f>
        <v>6.555473071673172</v>
      </c>
      <c r="K42" s="1">
        <f>IF(666278&gt;0,100*31185/666278,"")</f>
        <v>4.680478719093231</v>
      </c>
      <c r="L42" s="1">
        <f>IF(COUNT(J42:K42)=2,K42-J42,"")</f>
        <v>-1.8749943525799413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IF(558397&gt;0,100*24447/558397,"")</f>
        <v>4.378067933746062</v>
      </c>
      <c r="S42" s="1">
        <f>IF(COUNT(Q42:R42)=2,R42-Q42,"")</f>
        <v>-1.514172584945693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IF(645110&gt;0,100*20774/645110,"")</f>
        <v>3.2202260079676335</v>
      </c>
      <c r="E43" s="1">
        <f>IF(COUNT(C43:D43)=2,D43-C43,"")</f>
        <v>-13.861480617145636</v>
      </c>
      <c r="H43" s="1">
        <v>5</v>
      </c>
      <c r="I43" s="1">
        <v>4</v>
      </c>
      <c r="J43" s="1">
        <f>IF(200432&gt;0,100*86329/200432,"")</f>
        <v>43.071465634230066</v>
      </c>
      <c r="K43" s="1">
        <f>IF(348485&gt;0,100*44292/348485,"")</f>
        <v>12.70987273483794</v>
      </c>
      <c r="L43" s="1">
        <f>IF(COUNT(J43:K43)=2,K43-J43,"")</f>
        <v>-30.361592899392125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IF(564517&gt;0,100*147089/564517,"")</f>
        <v>26.055725514023493</v>
      </c>
      <c r="S43" s="1">
        <f>IF(COUNT(Q43:R43)=2,R43-Q43,"")</f>
        <v>-15.320358759059722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IF(712230&gt;0,100*132954/712230,"")</f>
        <v>18.66728444463165</v>
      </c>
      <c r="E44" s="1">
        <f>IF(COUNT(C44:D44)=2,D44-C44,"")</f>
        <v>-29.387450995914836</v>
      </c>
      <c r="H44" s="1">
        <v>6</v>
      </c>
      <c r="I44" s="1">
        <v>5</v>
      </c>
      <c r="J44" s="1">
        <f>IF(458928&gt;0,100*143171/458928,"")</f>
        <v>31.19683261862427</v>
      </c>
      <c r="K44" s="1">
        <f>IF(611342&gt;0,100*102902/611342,"")</f>
        <v>16.8321495987516</v>
      </c>
      <c r="L44" s="1">
        <f>IF(COUNT(J44:K44)=2,K44-J44,"")</f>
        <v>-14.364683019872672</v>
      </c>
      <c r="O44" s="1">
        <v>6</v>
      </c>
      <c r="P44" s="1">
        <v>5</v>
      </c>
      <c r="Q44" s="1">
        <f>IF(652890&gt;0,100*52664/652890,"")</f>
        <v>8.066289880378012</v>
      </c>
      <c r="R44" s="1">
        <f>IF(585742&gt;0,100*90675/585742,"")</f>
        <v>15.480365075408628</v>
      </c>
      <c r="S44" s="1">
        <f>IF(COUNT(Q44:R44)=2,R44-Q44,"")</f>
        <v>7.414075195030616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IF(167878&gt;0,100*44191/167878,"")</f>
        <v>26.323282383635735</v>
      </c>
      <c r="E45" s="1">
        <f>IF(COUNT(C45:D45)=2,D45-C45,"")</f>
        <v>-28.797106456866608</v>
      </c>
      <c r="H45" s="1">
        <v>7</v>
      </c>
      <c r="I45" s="1">
        <v>6</v>
      </c>
      <c r="J45" s="1">
        <f>IF(516628&gt;0,100*1474/516628,"")</f>
        <v>0.28531167493825343</v>
      </c>
      <c r="K45" s="1">
        <f>IF(639787&gt;0,100*13958/639787,"")</f>
        <v>2.1816635849118535</v>
      </c>
      <c r="L45" s="1">
        <f>IF(COUNT(J45:K45)=2,K45-J45,"")</f>
        <v>1.8963519099736001</v>
      </c>
      <c r="O45" s="1">
        <v>7</v>
      </c>
      <c r="P45" s="1">
        <v>6</v>
      </c>
      <c r="Q45" s="1">
        <f>IF(639485&gt;0,100*13388/639485,"")</f>
        <v>2.093559661289944</v>
      </c>
      <c r="R45" s="1">
        <f>IF(753538&gt;0,100*88719/753538,"")</f>
        <v>11.773659722535559</v>
      </c>
      <c r="S45" s="1">
        <f>IF(COUNT(Q45:R45)=2,R45-Q45,"")</f>
        <v>9.680100061245614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IF(519915&gt;0,100*154248/519915,"")</f>
        <v>29.667926487983614</v>
      </c>
      <c r="E46" s="1">
        <f>IF(COUNT(C46:D46)=2,D46-C46,"")</f>
        <v>-13.969496231345992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IF(376898&gt;0,100*5963/376898,"")</f>
        <v>1.5821256679526026</v>
      </c>
      <c r="L46" s="1">
        <f>IF(COUNT(J46:K46)=2,K46-J46,"")</f>
        <v>1.0162900945077613</v>
      </c>
      <c r="O46" s="1">
        <v>8</v>
      </c>
      <c r="P46" s="1">
        <v>7</v>
      </c>
      <c r="Q46" s="1">
        <f>IF(448273&gt;0,100*9937/448273,"")</f>
        <v>2.216729537580894</v>
      </c>
      <c r="R46" s="1">
        <f>IF(651970&gt;0,100*6630/651970,"")</f>
        <v>1.0169179563476847</v>
      </c>
      <c r="S46" s="1">
        <f>IF(COUNT(Q46:R46)=2,R46-Q46,"")</f>
        <v>-1.1998115812332093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IF(244283&gt;0,100*80230/244283,"")</f>
        <v>32.843054981312655</v>
      </c>
      <c r="E47" s="1">
        <f>IF(COUNT(C47:D47)=2,D47-C47,"")</f>
        <v>-27.764825739099315</v>
      </c>
      <c r="H47" s="1">
        <v>9</v>
      </c>
      <c r="I47" s="1">
        <v>8</v>
      </c>
      <c r="J47" s="1">
        <f>IF(433696&gt;0,100*195875/433696,"")</f>
        <v>45.16412417914853</v>
      </c>
      <c r="K47" s="1">
        <f>IF(688267&gt;0,100*215176/688267,"")</f>
        <v>31.26344863258009</v>
      </c>
      <c r="L47" s="1">
        <f>IF(COUNT(J47:K47)=2,K47-J47,"")</f>
        <v>-13.90067554656844</v>
      </c>
      <c r="O47" s="1">
        <v>9</v>
      </c>
      <c r="P47" s="1">
        <v>8</v>
      </c>
      <c r="Q47" s="1">
        <f>IF(341160&gt;0,100*196686/341160,"")</f>
        <v>57.65212803376715</v>
      </c>
      <c r="R47" s="1">
        <f>IF(377725&gt;0,100*102777/377725,"")</f>
        <v>27.209477794691907</v>
      </c>
      <c r="S47" s="1">
        <f>IF(COUNT(Q47:R47)=2,R47-Q47,"")</f>
        <v>-30.442650239075242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IF(474811&gt;0,100*9950/474811,"")</f>
        <v>2.095570658641017</v>
      </c>
      <c r="E48" s="1">
        <f>IF(COUNT(C48:D48)=2,D48-C48,"")</f>
        <v>-19.758419512904705</v>
      </c>
      <c r="H48" s="1">
        <v>10</v>
      </c>
      <c r="I48" s="1">
        <v>9</v>
      </c>
      <c r="J48" s="1">
        <f>IF(716304&gt;0,100*319115/716304,"")</f>
        <v>44.550218901472</v>
      </c>
      <c r="K48" s="1">
        <f>IF(720294&gt;0,100*28049/720294,"")</f>
        <v>3.894104351834112</v>
      </c>
      <c r="L48" s="1">
        <f>IF(COUNT(J48:K48)=2,K48-J48,"")</f>
        <v>-40.65611454963789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IF(514674&gt;0,100*11078/514674,"")</f>
        <v>2.15243047055029</v>
      </c>
      <c r="S48" s="1">
        <f>IF(COUNT(Q48:R48)=2,R48-Q48,"")</f>
        <v>-19.806875151249372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IF(758231&gt;0,100*279905/758231,"")</f>
        <v>36.915531018911125</v>
      </c>
      <c r="E49" s="1">
        <f>IF(COUNT(C49:D49)=2,D49-C49,"")</f>
        <v>-9.753614595201853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IF(948018&gt;0,100*85394/948018,"")</f>
        <v>9.007634876131045</v>
      </c>
      <c r="L49" s="1">
        <f>IF(COUNT(J49:K49)=2,K49-J49,"")</f>
        <v>-24.345264931223042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IF(789337&gt;0,100*26959/789337,"")</f>
        <v>3.4153979859046264</v>
      </c>
      <c r="S49" s="1">
        <f>IF(COUNT(Q49:R49)=2,R49-Q49,"")</f>
        <v>-41.21232203548923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IF(379494&gt;0,100*119894/379494,"")</f>
        <v>31.59312136687273</v>
      </c>
      <c r="E50" s="1">
        <f>IF(COUNT(C50:D50)=2,D50-C50,"")</f>
        <v>-16.078851540625912</v>
      </c>
      <c r="H50" s="1">
        <v>12</v>
      </c>
      <c r="I50" s="1">
        <v>11</v>
      </c>
      <c r="J50" s="4">
        <f>IF(0&gt;0,100*0/0,"")</f>
        <v/>
      </c>
      <c r="K50" s="1">
        <f>IF(812041&gt;0,100*118895/812041,"")</f>
        <v>14.641502091643156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IF(491985&gt;0,100*20843/491985,"")</f>
        <v>4.236511275750277</v>
      </c>
      <c r="S50" s="1">
        <f>IF(COUNT(Q50:R50)=2,R50-Q50,"")</f>
        <v>-38.27843725815504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IF(498278&gt;0,100*84967/498278,"")</f>
        <v>17.05212752720369</v>
      </c>
      <c r="E51" s="1">
        <f>IF(COUNT(C51:D51)=2,D51-C51,"")</f>
        <v>-30.41998775388417</v>
      </c>
      <c r="H51" s="1">
        <v>13</v>
      </c>
      <c r="I51" s="1">
        <v>12</v>
      </c>
      <c r="J51" s="1">
        <f>IF(654587&gt;0,100*63849/654587,"")</f>
        <v>9.75408921961481</v>
      </c>
      <c r="K51" s="1">
        <f>IF(839165&gt;0,100*11450/839165,"")</f>
        <v>1.3644515679276423</v>
      </c>
      <c r="L51" s="1">
        <f>IF(COUNT(J51:K51)=2,K51-J51,"")</f>
        <v>-8.389637651687169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IF(689256&gt;0,100*47273/689256,"")</f>
        <v>6.85855473147858</v>
      </c>
      <c r="S51" s="1">
        <f>IF(COUNT(Q51:R51)=2,R51-Q51,"")</f>
        <v>4.70749640078747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IF(660591&gt;0,100*11137/660591,"")</f>
        <v>1.6859145825480517</v>
      </c>
      <c r="E52" s="1">
        <f>IF(COUNT(C52:D52)=2,D52-C52,"")</f>
        <v>1.3121634718049766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IF(321855&gt;0,100*54092/321855,"")</f>
        <v>16.80632582995448</v>
      </c>
      <c r="L52" s="1">
        <f>IF(COUNT(J52:K52)=2,K52-J52,"")</f>
        <v>-1.293711134306914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IF(340760&gt;0,100*38923/340760,"")</f>
        <v>11.422408733419415</v>
      </c>
      <c r="S52" s="1">
        <f>IF(COUNT(Q52:R52)=2,R52-Q52,"")</f>
        <v>-1.0186512378160302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IF(603185&gt;0,100*216067/603185,"")</f>
        <v>35.821016769316216</v>
      </c>
      <c r="E53" s="1">
        <f>IF(COUNT(C53:D53)=2,D53-C53,"")</f>
        <v>-5.05192174680527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IF(712364&gt;0,100*126706/712364,"")</f>
        <v>17.78669331970734</v>
      </c>
      <c r="L53" s="1">
        <f>IF(COUNT(J53:K53)=2,K53-J53,"")</f>
        <v>-10.535624512144413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IF(484828&gt;0,100*60896/484828,"")</f>
        <v>12.560330673970975</v>
      </c>
      <c r="S53" s="1">
        <f>IF(COUNT(Q53:R53)=2,R53-Q53,"")</f>
        <v>-41.36721187250988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IF(375454&gt;0,100*76453/375454,"")</f>
        <v>20.362814086412715</v>
      </c>
      <c r="E54" s="1">
        <f>IF(COUNT(C54:D54)=2,D54-C54,"")</f>
        <v>-25.755519113765335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IF(307788&gt;0,100*6779/307788,"")</f>
        <v>2.202490025602038</v>
      </c>
      <c r="L54" s="1">
        <f>IF(COUNT(J54:K54)=2,K54-J54,"")</f>
        <v>-47.355108896788174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IF(500746&gt;0,100*25116/500746,"")</f>
        <v>5.015716550906048</v>
      </c>
      <c r="S54" s="1">
        <f>IF(COUNT(Q54:R54)=2,R54-Q54,"")</f>
        <v>-46.44201743924173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IF(334684&gt;0,100*8472/334684,"")</f>
        <v>2.5313429981714095</v>
      </c>
      <c r="E55" s="1">
        <f>IF(COUNT(C55:D55)=2,D55-C55,"")</f>
        <v>0.09144612852872092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IF(606954&gt;0,100*97275/606954,"")</f>
        <v>16.02674996787236</v>
      </c>
      <c r="L55" s="1">
        <f>IF(COUNT(J55:K55)=2,K55-J55,"")</f>
        <v>-26.52133051654104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IF(489667&gt;0,100*108143/489667,"")</f>
        <v>22.085008791689045</v>
      </c>
      <c r="S55" s="1">
        <f>IF(COUNT(Q55:R55)=2,R55-Q55,"")</f>
        <v>-8.371861100443574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IF(450687&gt;0,100*51332/450687,"")</f>
        <v>11.389722800968299</v>
      </c>
      <c r="E56" s="1">
        <f>IF(COUNT(C56:D56)=2,D56-C56,"")</f>
        <v>1.5864242645192252</v>
      </c>
      <c r="H56" s="1">
        <v>18</v>
      </c>
      <c r="I56" s="1">
        <v>17</v>
      </c>
      <c r="J56" s="4">
        <f>IF(0&gt;0,100*0/0,"")</f>
        <v/>
      </c>
      <c r="K56" s="1">
        <f>IF(837613&gt;0,100*58445/837613,"")</f>
        <v>6.97756601198883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IF(456030&gt;0,100*25396/456030,"")</f>
        <v>5.5689318685174225</v>
      </c>
      <c r="S56" s="1">
        <f>IF(COUNT(Q56:R56)=2,R56-Q56,"")</f>
        <v>-43.89188666771288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IF(377941&gt;0,100*73435/377941,"")</f>
        <v>19.43028144604581</v>
      </c>
      <c r="E57" s="1">
        <f>IF(COUNT(C57:D57)=2,D57-C57,"")</f>
        <v>-24.51082192979971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IF(493038&gt;0,100*43422/493038,"")</f>
        <v>8.807029072809804</v>
      </c>
      <c r="L57" s="1">
        <f>IF(COUNT(J57:K57)=2,K57-J57,"")</f>
        <v>-21.7600638927232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IF(892681&gt;0,100*139286/892681,"")</f>
        <v>15.603110181576621</v>
      </c>
      <c r="S57" s="1">
        <f>IF(COUNT(Q57:R57)=2,R57-Q57,"")</f>
        <v>-23.11562185399313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IF(476421&gt;0,100*31282/476421,"")</f>
        <v>6.566041379368248</v>
      </c>
      <c r="E58" s="1">
        <f>IF(COUNT(C58:D58)=2,D58-C58,"")</f>
        <v>-37.84148266577859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IF(579876&gt;0,100*30334/579876,"")</f>
        <v>5.231118377032331</v>
      </c>
      <c r="L58" s="1">
        <f>IF(COUNT(J58:K58)=2,K58-J58,"")</f>
        <v>-43.18997721427885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IF(832280&gt;0,100*150080/832280,"")</f>
        <v>18.03239294468208</v>
      </c>
      <c r="S58" s="1">
        <f>IF(COUNT(Q58:R58)=2,R58-Q58,"")</f>
        <v>-23.3941026205189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IF(353064&gt;0,100*27838/353064,"")</f>
        <v>7.884689461400765</v>
      </c>
      <c r="E59" s="1">
        <f>IF(COUNT(C59:D59)=2,D59-C59,"")</f>
        <v>-16.886167558690435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IF(768419&gt;0,100*186831/768419,"")</f>
        <v>24.3136882351946</v>
      </c>
      <c r="L59" s="1">
        <f>IF(COUNT(J59:K59)=2,K59-J59,"")</f>
        <v>-18.57008224977736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IF(568241&gt;0,100*115487/568241,"")</f>
        <v>20.323595094334973</v>
      </c>
      <c r="S59" s="1">
        <f>IF(COUNT(Q59:R59)=2,R59-Q59,"")</f>
        <v>-26.66444686322024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IF(160601&gt;0,100*39888/160601,"")</f>
        <v>24.83670711888469</v>
      </c>
      <c r="E60" s="1">
        <f>IF(COUNT(C60:D60)=2,D60-C60,"")</f>
        <v>-27.73876032873865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IF(439069&gt;0,100*153713/439069,"")</f>
        <v>35.00884826758437</v>
      </c>
      <c r="L60" s="1">
        <f>IF(COUNT(J60:K60)=2,K60-J60,"")</f>
        <v>-17.28592233028101</v>
      </c>
      <c r="O60" s="1">
        <v>22</v>
      </c>
      <c r="P60" s="1">
        <v>21</v>
      </c>
      <c r="Q60" s="1">
        <f>IF(139068&gt;0,100*61286/139068,"")</f>
        <v>44.06908850346593</v>
      </c>
      <c r="R60" s="1">
        <f>IF(74283&gt;0,100*18953/74283,"")</f>
        <v>25.51458610987709</v>
      </c>
      <c r="S60" s="1">
        <f>IF(COUNT(Q60:R60)=2,R60-Q60,"")</f>
        <v>-18.554502393588837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IF(453764&gt;0,100*1008/453764,"")</f>
        <v>0.22214190636542344</v>
      </c>
      <c r="E61" s="1">
        <f>IF(COUNT(C61:D61)=2,D61-C61,"")</f>
        <v>-0.195122251231135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IF(911954&gt;0,100*126924/911954,"")</f>
        <v>13.917807257822215</v>
      </c>
      <c r="L61" s="1">
        <f>IF(COUNT(J61:K61)=2,K61-J61,"")</f>
        <v>-42.25475398597949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IF(765898&gt;0,100*251014/765898,"")</f>
        <v>32.77381583448449</v>
      </c>
      <c r="S61" s="1">
        <f>IF(COUNT(Q61:R61)=2,R61-Q61,"")</f>
        <v>-13.483840765040014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IF(722058&gt;0,100*33961/722058,"")</f>
        <v>4.7033617798016225</v>
      </c>
      <c r="E62" s="1">
        <f>IF(COUNT(C62:D62)=2,D62-C62,"")</f>
        <v>-13.955690884854352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IF(592939&gt;0,100*76731/592939,"")</f>
        <v>12.940791548540407</v>
      </c>
      <c r="L62" s="1">
        <f>IF(COUNT(J62:K62)=2,K62-J62,"")</f>
        <v>-34.91383020645186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IF(502816&gt;0,100*23587/502816,"")</f>
        <v>4.690980398396232</v>
      </c>
      <c r="S62" s="1">
        <f>IF(COUNT(Q62:R62)=2,R62-Q62,"")</f>
        <v>-16.90668148689562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IF(444757&gt;0,100*134680/444757,"")</f>
        <v>30.281704391386757</v>
      </c>
      <c r="E63" s="1">
        <f>IF(COUNT(C63:D63)=2,D63-C63,"")</f>
        <v>-15.987042099911665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IF(551464&gt;0,100*9778/551464,"")</f>
        <v>1.7730985159502706</v>
      </c>
      <c r="L63" s="1">
        <f>IF(COUNT(J63:K63)=2,K63-J63,"")</f>
        <v>-38.39375634794709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IF(591138&gt;0,100*31102/591138,"")</f>
        <v>5.261377208029259</v>
      </c>
      <c r="S63" s="1">
        <f>IF(COUNT(Q63:R63)=2,R63-Q63,"")</f>
        <v>-39.48940098583454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IF(665957&gt;0,100*176855/665957,"")</f>
        <v>26.55651941491718</v>
      </c>
      <c r="E64" s="1">
        <f>IF(COUNT(C64:D64)=2,D64-C64,"")</f>
        <v>-24.138239858094902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IF(715044&gt;0,100*102213/715044,"")</f>
        <v>14.294644805074933</v>
      </c>
      <c r="L64" s="1">
        <f>IF(COUNT(J64:K64)=2,K64-J64,"")</f>
        <v>-4.344465859705943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IF(397160&gt;0,100*50325/397160,"")</f>
        <v>12.671215630979958</v>
      </c>
      <c r="S64" s="1">
        <f>IF(COUNT(Q64:R64)=2,R64-Q64,"")</f>
        <v>-33.52265331061562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IF(262888&gt;0,100*55814/262888,"")</f>
        <v>21.231094610632663</v>
      </c>
      <c r="E65" s="1">
        <f>IF(COUNT(C65:D65)=2,D65-C65,"")</f>
        <v>-4.435759815096237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IF(683019&gt;0,100*111846/683019,"")</f>
        <v>16.375239927439793</v>
      </c>
      <c r="L65" s="1">
        <f>IF(COUNT(J65:K65)=2,K65-J65,"")</f>
        <v>-20.818098815361324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IF(412988&gt;0,100*53559/412988,"")</f>
        <v>12.968657684969054</v>
      </c>
      <c r="S65" s="1">
        <f>IF(COUNT(Q65:R65)=2,R65-Q65,"")</f>
        <v>-12.296878554972215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IF(414342&gt;0,100*3484/414342,"")</f>
        <v>0.8408512774471331</v>
      </c>
      <c r="E66" s="1">
        <f>IF(COUNT(C66:D66)=2,D66-C66,"")</f>
        <v>0.7374885858083702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IF(467553&gt;0,100*115451/467553,"")</f>
        <v>24.692601694353367</v>
      </c>
      <c r="L66" s="1">
        <f>IF(COUNT(J66:K66)=2,K66-J66,"")</f>
        <v>-15.24032868346065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IF(521652&gt;0,100*83015/521652,"")</f>
        <v>15.913865948946807</v>
      </c>
      <c r="S66" s="1">
        <f>IF(COUNT(Q66:R66)=2,R66-Q66,"")</f>
        <v>-10.155861815575495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IF(427420&gt;0,100*108598/427420,"")</f>
        <v>25.40779561087455</v>
      </c>
      <c r="E67" s="1">
        <f>IF(COUNT(C67:D67)=2,D67-C67,"")</f>
        <v>-15.655511071262765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IF(406652&gt;0,100*97195/406652,"")</f>
        <v>23.901271849148657</v>
      </c>
      <c r="L67" s="1">
        <f>IF(COUNT(J67:K67)=2,K67-J67,"")</f>
        <v>-27.652217296568757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IF(645046&gt;0,100*143378/645046,"")</f>
        <v>22.227562065341075</v>
      </c>
      <c r="S67" s="1">
        <f>IF(COUNT(Q67:R67)=2,R67-Q67,"")</f>
        <v>-22.72622424182869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IF(693243&gt;0,100*151401/693243,"")</f>
        <v>21.839528130828583</v>
      </c>
      <c r="E68" s="1">
        <f>IF(COUNT(C68:D68)=2,D68-C68,"")</f>
        <v>-23.366599895654346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IF(646307&gt;0,100*73618/646307,"")</f>
        <v>11.390562070347373</v>
      </c>
      <c r="L68" s="1">
        <f>IF(COUNT(J68:K68)=2,K68-J68,"")</f>
        <v>-7.04116308817539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IF(467262&gt;0,100*55911/467262,"")</f>
        <v>11.965663803176804</v>
      </c>
      <c r="S68" s="1">
        <f>IF(COUNT(Q68:R68)=2,R68-Q68,"")</f>
        <v>8.10667171753547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IF(547502&gt;0,100*16335/547502,"")</f>
        <v>2.9835507450201093</v>
      </c>
      <c r="E69" s="1">
        <f>IF(COUNT(C69:D69)=2,D69-C69,"")</f>
        <v>2.3377711087932194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IF(481999&gt;0,100*99956/481999,"")</f>
        <v>20.73780236058581</v>
      </c>
      <c r="L69" s="1">
        <f>IF(COUNT(J69:K69)=2,K69-J69,"")</f>
        <v>-11.522378790132962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IF(341170&gt;0,100*53463/341170,"")</f>
        <v>15.670486854061025</v>
      </c>
      <c r="S69" s="1">
        <f>IF(COUNT(Q69:R69)=2,R69-Q69,"")</f>
        <v>-9.91204943592269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17.13959032248548</v>
      </c>
      <c r="E70" s="1">
        <f>IF(COUNT(E39:E69)&gt;0,AVERAGE(E39:E69),"")</f>
        <v>-15.927059397252131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12.94121684246916</v>
      </c>
      <c r="L70" s="1">
        <f>IF(COUNT(L39:L69)&gt;0,AVERAGE(L39:L69),"")</f>
        <v>-20.32598790100183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12.885491097435244</v>
      </c>
      <c r="S70" s="1">
        <f>IF(COUNT(S39:S69)&gt;0,AVERAGE(S39:S69),"")</f>
        <v>-18.957336603274296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IF(486328&gt;0,100*57321/486328,"")</f>
        <v>11.786489776447171</v>
      </c>
      <c r="E75" s="1">
        <f>IF(COUNT(C75:D75)=2,D75-C75,"")</f>
        <v>8.162621193659625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IF(754807&gt;0,100*92702/754807,"")</f>
        <v>12.281550118109662</v>
      </c>
      <c r="L75" s="1">
        <f>IF(COUNT(J75:K75)=2,K75-J75,"")</f>
        <v>-42.03569513937863</v>
      </c>
      <c r="O75" s="1">
        <v>1</v>
      </c>
      <c r="P75" s="1">
        <v>0</v>
      </c>
      <c r="Q75" s="1">
        <f>IF(517487&gt;0,100*261929/517487,"")</f>
        <v>50.61557101917536</v>
      </c>
      <c r="R75" s="1">
        <f>IF(1157143&gt;0,100*337947/1157143,"")</f>
        <v>29.205292690704606</v>
      </c>
      <c r="S75" s="1">
        <f>IF(COUNT(Q75:R75)=2,R75-Q75,"")</f>
        <v>-21.410278328470756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IF(297453&gt;0,100*87908/297453,"")</f>
        <v>29.553576531418408</v>
      </c>
      <c r="E76" s="1">
        <f>IF(COUNT(C76:D76)=2,D76-C76,"")</f>
        <v>-13.805849987429973</v>
      </c>
      <c r="H76" s="1">
        <v>2</v>
      </c>
      <c r="I76" s="1">
        <v>1</v>
      </c>
      <c r="J76" s="1">
        <f>IF(591060&gt;0,100*305577/591060,"")</f>
        <v>51.69982742868744</v>
      </c>
      <c r="K76" s="1">
        <f>IF(605834&gt;0,100*94867/605834,"")</f>
        <v>15.658909866399046</v>
      </c>
      <c r="L76" s="1">
        <f>IF(COUNT(J76:K76)=2,K76-J76,"")</f>
        <v>-36.0409175622884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IF(547010&gt;0,100*164742/547010,"")</f>
        <v>30.11681687720517</v>
      </c>
      <c r="S76" s="1">
        <f>IF(COUNT(Q76:R76)=2,R76-Q76,"")</f>
        <v>-20.853349392712108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IF(366553&gt;0,100*104261/366553,"")</f>
        <v>28.443635708887935</v>
      </c>
      <c r="E77" s="1">
        <f>IF(COUNT(C77:D77)=2,D77-C77,"")</f>
        <v>-18.95172172363468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IF(918097&gt;0,100*113937/918097,"")</f>
        <v>12.410126598823435</v>
      </c>
      <c r="L77" s="1">
        <f>IF(COUNT(J77:K77)=2,K77-J77,"")</f>
        <v>-29.466611874828796</v>
      </c>
      <c r="O77" s="1">
        <v>3</v>
      </c>
      <c r="P77" s="1">
        <v>2</v>
      </c>
      <c r="Q77" s="1">
        <f>IF(871024&gt;0,100*37031/871024,"")</f>
        <v>4.2514327963408585</v>
      </c>
      <c r="R77" s="1">
        <f>IF(817771&gt;0,100*174634/817771,"")</f>
        <v>21.3548780771145</v>
      </c>
      <c r="S77" s="1">
        <f>IF(COUNT(Q77:R77)=2,R77-Q77,"")</f>
        <v>17.10344528077364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IF(841282&gt;0,100*244558/841282,"")</f>
        <v>29.069681747618514</v>
      </c>
      <c r="E78" s="1">
        <f>IF(COUNT(C78:D78)=2,D78-C78,"")</f>
        <v>-19.993746802790408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IF(581248&gt;0,100*4563/581248,"")</f>
        <v>0.7850349592600748</v>
      </c>
      <c r="L78" s="1">
        <f>IF(COUNT(J78:K78)=2,K78-J78,"")</f>
        <v>-42.49617319347527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IF(772986&gt;0,100*71788/772986,"")</f>
        <v>9.287102224361114</v>
      </c>
      <c r="S78" s="1">
        <f>IF(COUNT(Q78:R78)=2,R78-Q78,"")</f>
        <v>-45.476870346157625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IF(600220&gt;0,100*11399/600220,"")</f>
        <v>1.8991369831061944</v>
      </c>
      <c r="E79" s="1">
        <f>IF(COUNT(C79:D79)=2,D79-C79,"")</f>
        <v>-46.998561710127376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IF(541703&gt;0,100*143625/541703,"")</f>
        <v>26.513606164263443</v>
      </c>
      <c r="S79" s="1">
        <f>IF(COUNT(Q79:R79)=2,R79-Q79,"")</f>
        <v>-9.639069188270554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IF(981969&gt;0,100*182919/981969,"")</f>
        <v>18.62777745529645</v>
      </c>
      <c r="E80" s="1">
        <f>IF(COUNT(C80:D80)=2,D80-C80,"")</f>
        <v>-20.22509444765338</v>
      </c>
      <c r="H80" s="1">
        <v>6</v>
      </c>
      <c r="I80" s="1">
        <v>5</v>
      </c>
      <c r="J80" s="1">
        <f>IF(417286&gt;0,100*124193/417286,"")</f>
        <v>29.76208164184756</v>
      </c>
      <c r="K80" s="1">
        <f>IF(544223&gt;0,100*37171/544223,"")</f>
        <v>6.830104571104124</v>
      </c>
      <c r="L80" s="1">
        <f>IF(COUNT(J80:K80)=2,K80-J80,"")</f>
        <v>-22.931977070743436</v>
      </c>
      <c r="O80" s="1">
        <v>6</v>
      </c>
      <c r="P80" s="1">
        <v>5</v>
      </c>
      <c r="Q80" s="1">
        <f>IF(460762&gt;0,100*159245/460762,"")</f>
        <v>34.56122683728259</v>
      </c>
      <c r="R80" s="1">
        <f>IF(705755&gt;0,100*77858/705755,"")</f>
        <v>11.031873667207458</v>
      </c>
      <c r="S80" s="1">
        <f>IF(COUNT(Q80:R80)=2,R80-Q80,"")</f>
        <v>-23.529353170075133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IF(548276&gt;0,100*90813/548276,"")</f>
        <v>16.563373191604228</v>
      </c>
      <c r="E81" s="1">
        <f>IF(COUNT(C81:D81)=2,D81-C81,"")</f>
        <v>-35.25853902865692</v>
      </c>
      <c r="H81" s="1">
        <v>7</v>
      </c>
      <c r="I81" s="1">
        <v>6</v>
      </c>
      <c r="J81" s="1">
        <f>IF(667678&gt;0,100*4575/667678,"")</f>
        <v>0.6852105356174683</v>
      </c>
      <c r="K81" s="1">
        <f>IF(885802&gt;0,100*33066/885802,"")</f>
        <v>3.7328883881499477</v>
      </c>
      <c r="L81" s="1">
        <f>IF(COUNT(J81:K81)=2,K81-J81,"")</f>
        <v>3.0476778525324795</v>
      </c>
      <c r="O81" s="1">
        <v>7</v>
      </c>
      <c r="P81" s="1">
        <v>6</v>
      </c>
      <c r="Q81" s="1">
        <f>IF(457006&gt;0,100*8837/457006,"")</f>
        <v>1.9336726432475722</v>
      </c>
      <c r="R81" s="1">
        <f>IF(863714&gt;0,100*57297/863714,"")</f>
        <v>6.63379313059647</v>
      </c>
      <c r="S81" s="1">
        <f>IF(COUNT(Q81:R81)=2,R81-Q81,"")</f>
        <v>4.700120487348898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IF(506928&gt;0,100*145607/506928,"")</f>
        <v>28.723408452482403</v>
      </c>
      <c r="E82" s="1">
        <f>IF(COUNT(C82:D82)=2,D82-C82,"")</f>
        <v>-18.667042786090455</v>
      </c>
      <c r="H82" s="1">
        <v>8</v>
      </c>
      <c r="I82" s="1">
        <v>7</v>
      </c>
      <c r="J82" s="1">
        <f>IF(581531&gt;0,100*7536/581531,"")</f>
        <v>1.2958896430284885</v>
      </c>
      <c r="K82" s="1">
        <f>IF(472526&gt;0,100*1522/472526,"")</f>
        <v>0.32209867816797383</v>
      </c>
      <c r="L82" s="1">
        <f>IF(COUNT(J82:K82)=2,K82-J82,"")</f>
        <v>-0.9737909648605148</v>
      </c>
      <c r="O82" s="1">
        <v>8</v>
      </c>
      <c r="P82" s="1">
        <v>7</v>
      </c>
      <c r="Q82" s="1">
        <f>IF(579694&gt;0,100*5105/579694,"")</f>
        <v>0.8806370257411669</v>
      </c>
      <c r="R82" s="1">
        <f>IF(597668&gt;0,100*13834/597668,"")</f>
        <v>2.3146629901550693</v>
      </c>
      <c r="S82" s="1">
        <f>IF(COUNT(Q82:R82)=2,R82-Q82,"")</f>
        <v>1.4340259644139024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IF(263159&gt;0,100*77374/263159,"")</f>
        <v>29.40199651161465</v>
      </c>
      <c r="E83" s="1">
        <f>IF(COUNT(C83:D83)=2,D83-C83,"")</f>
        <v>-17.62631879857317</v>
      </c>
      <c r="H83" s="1">
        <v>9</v>
      </c>
      <c r="I83" s="1">
        <v>8</v>
      </c>
      <c r="J83" s="1">
        <f>IF(408350&gt;0,100*224416/408350,"")</f>
        <v>54.95677727439696</v>
      </c>
      <c r="K83" s="1">
        <f>IF(328881&gt;0,100*58707/328881,"")</f>
        <v>17.850529522836528</v>
      </c>
      <c r="L83" s="1">
        <f>IF(COUNT(J83:K83)=2,K83-J83,"")</f>
        <v>-37.10624775156043</v>
      </c>
      <c r="O83" s="1">
        <v>9</v>
      </c>
      <c r="P83" s="1">
        <v>8</v>
      </c>
      <c r="Q83" s="1">
        <f>IF(401424&gt;0,100*207750/401424,"")</f>
        <v>51.75325840009566</v>
      </c>
      <c r="R83" s="1">
        <f>IF(457289&gt;0,100*152543/457289,"")</f>
        <v>33.35811707694696</v>
      </c>
      <c r="S83" s="1">
        <f>IF(COUNT(Q83:R83)=2,R83-Q83,"")</f>
        <v>-18.3951413231487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IF(839604&gt;0,100*110104/839604,"")</f>
        <v>13.113801268216921</v>
      </c>
      <c r="E84" s="1">
        <f>IF(COUNT(C84:D84)=2,D84-C84,"")</f>
        <v>11.965787903230318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IF(83894&gt;0,100*3682/83894,"")</f>
        <v>4.388871671394855</v>
      </c>
      <c r="L84" s="1">
        <f>IF(COUNT(J84:K84)=2,K84-J84,"")</f>
        <v>-49.000200603960494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IF(562486&gt;0,100*88211/562486,"")</f>
        <v>15.682345871719473</v>
      </c>
      <c r="S84" s="1">
        <f>IF(COUNT(Q84:R84)=2,R84-Q84,"")</f>
        <v>0.2853376282665696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IF(753879&gt;0,100*217978/753879,"")</f>
        <v>28.914189147064715</v>
      </c>
      <c r="E85" s="1">
        <f>IF(COUNT(C85:D85)=2,D85-C85,"")</f>
        <v>-25.79585842183757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IF(873439&gt;0,100*84396/873439,"")</f>
        <v>9.662495033997795</v>
      </c>
      <c r="L85" s="1">
        <f>IF(COUNT(J85:K85)=2,K85-J85,"")</f>
        <v>-50.12133554499514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IF(819062&gt;0,100*33232/819062,"")</f>
        <v>4.057324109774352</v>
      </c>
      <c r="S85" s="1">
        <f>IF(COUNT(Q85:R85)=2,R85-Q85,"")</f>
        <v>-47.20167254369977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IF(395694&gt;0,100*103930/395694,"")</f>
        <v>26.265245366368962</v>
      </c>
      <c r="E86" s="1">
        <f>IF(COUNT(C86:D86)=2,D86-C86,"")</f>
        <v>-18.99094807522221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IF(885374&gt;0,100*35776/885374,"")</f>
        <v>4.040778247384721</v>
      </c>
      <c r="L86" s="1">
        <f>IF(COUNT(J86:K86)=2,K86-J86,"")</f>
        <v>-51.75415609898137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IF(854090&gt;0,100*29867/854090,"")</f>
        <v>3.496938261775691</v>
      </c>
      <c r="S86" s="1">
        <f>IF(COUNT(Q86:R86)=2,R86-Q86,"")</f>
        <v>-50.121275700537275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IF(844976&gt;0,100*75758/844976,"")</f>
        <v>8.965698434038364</v>
      </c>
      <c r="E87" s="1">
        <f>IF(COUNT(C87:D87)=2,D87-C87,"")</f>
        <v>-15.337347144403276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IF(750920&gt;0,100*15290/750920,"")</f>
        <v>2.0361689660682893</v>
      </c>
      <c r="L87" s="1">
        <f>IF(COUNT(J87:K87)=2,K87-J87,"")</f>
        <v>-43.0294806133536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IF(339504&gt;0,100*5166/339504,"")</f>
        <v>1.5216315566237806</v>
      </c>
      <c r="E88" s="1">
        <f>IF(COUNT(C88:D88)=2,D88-C88,"")</f>
        <v>-11.422780868072138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IF(655804&gt;0,100*212578/655804,"")</f>
        <v>32.41486785685967</v>
      </c>
      <c r="E89" s="1">
        <f>IF(COUNT(C89:D89)=2,D89-C89,"")</f>
        <v>-18.60037607218233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IF(797451&gt;0,100*105919/797451,"")</f>
        <v>13.282195395077565</v>
      </c>
      <c r="L89" s="1">
        <f>IF(COUNT(J89:K89)=2,K89-J89,"")</f>
        <v>-3.32328704463308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IF(1044541&gt;0,100*163595/1044541,"")</f>
        <v>15.661903170866438</v>
      </c>
      <c r="S89" s="1">
        <f>IF(COUNT(Q89:R89)=2,R89-Q89,"")</f>
        <v>-4.891232439041389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IF(479773&gt;0,100*114959/479773,"")</f>
        <v>23.96112328121841</v>
      </c>
      <c r="E90" s="1">
        <f>IF(COUNT(C90:D90)=2,D90-C90,"")</f>
        <v>-18.13377601751169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IF(719656&gt;0,100*29586/719656,"")</f>
        <v>4.1111308736396275</v>
      </c>
      <c r="L90" s="1">
        <f>IF(COUNT(J90:K90)=2,K90-J90,"")</f>
        <v>-47.91702880259636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IF(769705&gt;0,100*92807/769705,"")</f>
        <v>12.057476565697248</v>
      </c>
      <c r="S90" s="1">
        <f>IF(COUNT(Q90:R90)=2,R90-Q90,"")</f>
        <v>-45.528493160135326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IF(407035&gt;0,100*8075/407035,"")</f>
        <v>1.9838588819143317</v>
      </c>
      <c r="E91" s="1">
        <f>IF(COUNT(C91:D91)=2,D91-C91,"")</f>
        <v>-2.71167551964707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IF(827112&gt;0,100*254608/827112,"")</f>
        <v>30.782771861610037</v>
      </c>
      <c r="L91" s="1">
        <f>IF(COUNT(J91:K91)=2,K91-J91,"")</f>
        <v>28.395040952722788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IF(630433&gt;0,100*91980/630433,"")</f>
        <v>14.58997228888716</v>
      </c>
      <c r="S91" s="1">
        <f>IF(COUNT(Q91:R91)=2,R91-Q91,"")</f>
        <v>-26.542042661737057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IF(813757&gt;0,100*59241/813757,"")</f>
        <v>7.2799373768827795</v>
      </c>
      <c r="S92" s="1">
        <f>IF(COUNT(Q92:R92)=2,R92-Q92,"")</f>
        <v>-44.234390205199674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IF(398570&gt;0,100*98101/398570,"")</f>
        <v>24.6132423413704</v>
      </c>
      <c r="E93" s="1">
        <f>IF(COUNT(C93:D93)=2,D93-C93,"")</f>
        <v>-26.90690663789977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IF(616059&gt;0,100*50744/616059,"")</f>
        <v>8.236873416344864</v>
      </c>
      <c r="L93" s="1">
        <f>IF(COUNT(J93:K93)=2,K93-J93,"")</f>
        <v>-7.506095139201474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IF(921674&gt;0,100*19664/921674,"")</f>
        <v>2.133509245134397</v>
      </c>
      <c r="S93" s="1">
        <f>IF(COUNT(Q93:R93)=2,R93-Q93,"")</f>
        <v>-46.9749799555658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IF(857755&gt;0,100*171705/857755,"")</f>
        <v>20.017953844629293</v>
      </c>
      <c r="E94" s="1">
        <f>IF(COUNT(C94:D94)=2,D94-C94,"")</f>
        <v>-25.54737583013465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IF(460377&gt;0,100*89180/460377,"")</f>
        <v>19.371080657808708</v>
      </c>
      <c r="L94" s="1">
        <f>IF(COUNT(J94:K94)=2,K94-J94,"")</f>
        <v>-2.2352557180338586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IF(930833&gt;0,100*133023/930833,"")</f>
        <v>14.290748179318953</v>
      </c>
      <c r="S94" s="1">
        <f>IF(COUNT(Q94:R94)=2,R94-Q94,"")</f>
        <v>-35.891127749191895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IF(555617&gt;0,100*113822/555617,"")</f>
        <v>20.48569428221239</v>
      </c>
      <c r="E95" s="1">
        <f>IF(COUNT(C95:D95)=2,D95-C95,"")</f>
        <v>-28.46383251159021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IF(581296&gt;0,100*39967/581296,"")</f>
        <v>6.875498885249511</v>
      </c>
      <c r="L95" s="1">
        <f>IF(COUNT(J95:K95)=2,K95-J95,"")</f>
        <v>-49.419393071395135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IF(231983&gt;0,100*15530/231983,"")</f>
        <v>6.694456059280206</v>
      </c>
      <c r="S95" s="1">
        <f>IF(COUNT(Q95:R95)=2,R95-Q95,"")</f>
        <v>-48.011245440395264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IF(306175&gt;0,100*96772/306175,"")</f>
        <v>31.60676083938924</v>
      </c>
      <c r="E96" s="1">
        <f>IF(COUNT(C96:D96)=2,D96-C96,"")</f>
        <v>-4.974475322171372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IF(378533&gt;0,100*66859/378533,"")</f>
        <v>17.66266085123358</v>
      </c>
      <c r="L96" s="1">
        <f>IF(COUNT(J96:K96)=2,K96-J96,"")</f>
        <v>-32.21837310315645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IF(181275&gt;0,100*46888/181275,"")</f>
        <v>25.865673700179286</v>
      </c>
      <c r="S96" s="1">
        <f>IF(COUNT(Q96:R96)=2,R96-Q96,"")</f>
        <v>-15.1911242704887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IF(416143&gt;0,100*2497/416143,"")</f>
        <v>0.6000341228856427</v>
      </c>
      <c r="E97" s="1">
        <f>IF(COUNT(C97:D97)=2,D97-C97,"")</f>
        <v>0.4082462479982698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IF(951204&gt;0,100*151768/951204,"")</f>
        <v>15.955357630960341</v>
      </c>
      <c r="L97" s="1">
        <f>IF(COUNT(J97:K97)=2,K97-J97,"")</f>
        <v>-38.335411315721494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IF(704075&gt;0,100*176654/704075,"")</f>
        <v>25.090224762986896</v>
      </c>
      <c r="S97" s="1">
        <f>IF(COUNT(Q97:R97)=2,R97-Q97,"")</f>
        <v>-18.393077509013875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IF(797698&gt;0,100*22657/797698,"")</f>
        <v>2.840297957372339</v>
      </c>
      <c r="E98" s="1">
        <f>IF(COUNT(C98:D98)=2,D98-C98,"")</f>
        <v>-37.67144977152921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IF(878790&gt;0,100*23451/878790,"")</f>
        <v>2.668555627624347</v>
      </c>
      <c r="L98" s="1">
        <f>IF(COUNT(J98:K98)=2,K98-J98,"")</f>
        <v>-44.71104053161567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IF(809296&gt;0,100*114515/809296,"")</f>
        <v>14.149952551353275</v>
      </c>
      <c r="S98" s="1">
        <f>IF(COUNT(Q98:R98)=2,R98-Q98,"")</f>
        <v>-12.130817464074235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IF(326207&gt;0,100*76377/326207,"")</f>
        <v>23.41366065105899</v>
      </c>
      <c r="E99" s="1">
        <f>IF(COUNT(C99:D99)=2,D99-C99,"")</f>
        <v>-21.27667707662033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IF(498161&gt;0,100*48597/498161,"")</f>
        <v>9.755279919544083</v>
      </c>
      <c r="L99" s="1">
        <f>IF(COUNT(J99:K99)=2,K99-J99,"")</f>
        <v>-41.516871728174664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IF(869374&gt;0,100*118335/869374,"")</f>
        <v>13.611518172846209</v>
      </c>
      <c r="S99" s="1">
        <f>IF(COUNT(Q99:R99)=2,R99-Q99,"")</f>
        <v>-28.956552924883177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IF(730844&gt;0,100*182276/730844,"")</f>
        <v>24.94047977406943</v>
      </c>
      <c r="L100" s="1">
        <f>IF(COUNT(J100:K100)=2,K100-J100,"")</f>
        <v>18.864303813633935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IF(578808&gt;0,100*90560/578808,"")</f>
        <v>15.645948224627166</v>
      </c>
      <c r="S100" s="1">
        <f>IF(COUNT(Q100:R100)=2,R100-Q100,"")</f>
        <v>-43.942016062453405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IF(678609&gt;0,100*206515/678609,"")</f>
        <v>30.432104496108952</v>
      </c>
      <c r="E101" s="1">
        <f>IF(COUNT(C101:D101)=2,D101-C101,"")</f>
        <v>-27.382785826391615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IF(682297&gt;0,100*131750/682297,"")</f>
        <v>19.309772723608635</v>
      </c>
      <c r="L101" s="1">
        <f>IF(COUNT(J101:K101)=2,K101-J101,"")</f>
        <v>-0.5202880098398026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IF(767537&gt;0,100*79666/767537,"")</f>
        <v>10.37943447677441</v>
      </c>
      <c r="S101" s="1">
        <f>IF(COUNT(Q101:R101)=2,R101-Q101,"")</f>
        <v>-8.070479674554146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IF(745928&gt;0,100*3133/745928,"")</f>
        <v>0.4200137278664965</v>
      </c>
      <c r="E102" s="1">
        <f>IF(COUNT(C102:D102)=2,D102-C102,"")</f>
        <v>0.19026948975794855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IF(577172&gt;0,100*83837/577172,"")</f>
        <v>14.525479406485415</v>
      </c>
      <c r="L102" s="1">
        <f>IF(COUNT(J102:K102)=2,K102-J102,"")</f>
        <v>-20.122228245305884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IF(479791&gt;0,100*113571/479791,"")</f>
        <v>23.670931718185628</v>
      </c>
      <c r="S102" s="1">
        <f>IF(COUNT(Q102:R102)=2,R102-Q102,"")</f>
        <v>-4.923247035244401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IF(527613&gt;0,100*159302/527613,"")</f>
        <v>30.19296340310038</v>
      </c>
      <c r="E103" s="1">
        <f>IF(COUNT(C103:D103)=2,D103-C103,"")</f>
        <v>-25.9551819794903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IF(773941&gt;0,100*176916/773941,"")</f>
        <v>22.859106831140874</v>
      </c>
      <c r="L103" s="1">
        <f>IF(COUNT(J103:K103)=2,K103-J103,"")</f>
        <v>-33.32066581457906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IF(678332&gt;0,100*111507/678332,"")</f>
        <v>16.438410689750743</v>
      </c>
      <c r="S103" s="1">
        <f>IF(COUNT(Q103:R103)=2,R103-Q103,"")</f>
        <v>-34.72808095586609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IF(604913&gt;0,100*105373/604913,"")</f>
        <v>17.41952975055917</v>
      </c>
      <c r="E104" s="1">
        <f>IF(COUNT(C104:D104)=2,D104-C104,"")</f>
        <v>-35.088302729339226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IF(536382&gt;0,100*11717/536382,"")</f>
        <v>2.184450634063037</v>
      </c>
      <c r="L104" s="1">
        <f>IF(COUNT(J104:K104)=2,K104-J104,"")</f>
        <v>-25.92672283362133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IF(633391&gt;0,100*16023/633391,"")</f>
        <v>2.5297170310282273</v>
      </c>
      <c r="S104" s="1">
        <f>IF(COUNT(Q104:R104)=2,R104-Q104,"")</f>
        <v>1.1266219971153872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IF(571462&gt;0,100*171476/571462,"")</f>
        <v>30.006544617139898</v>
      </c>
      <c r="L105" s="1">
        <f>IF(COUNT(J105:K105)=2,K105-J105,"")</f>
        <v>12.6629446201167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IF(728002&gt;0,100*44343/728002,"")</f>
        <v>6.091054694904685</v>
      </c>
      <c r="S105" s="1">
        <f>IF(COUNT(Q105:R105)=2,R105-Q105,"")</f>
        <v>-33.40210327727446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18.50149418859503</v>
      </c>
      <c r="E106" s="1">
        <f>IF(COUNT(E75:E105)&gt;0,AVERAGE(E75:E105),"")</f>
        <v>-18.272232594747408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11.971499908252106</v>
      </c>
      <c r="L106" s="1">
        <f>IF(COUNT(L75:L105)&gt;0,AVERAGE(L75:L105),"")</f>
        <v>-24.051031857966912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13.590150002664316</v>
      </c>
      <c r="S106" s="1">
        <f>IF(COUNT(S75:S105)&gt;0,AVERAGE(S75:S105),"")</f>
        <v>-21.592187736349878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IF(324303&gt;0,100*47279/324303,"")</f>
        <v>14.578650212918166</v>
      </c>
      <c r="E3" s="1">
        <f>IF(COUNT(C3:D3)=2,D3-C3,"")</f>
        <v>-1.060322332796149</v>
      </c>
      <c r="H3" s="1">
        <v>1</v>
      </c>
      <c r="I3" s="1">
        <v>0</v>
      </c>
      <c r="J3" s="1">
        <f>IF(215009&gt;0,100*58251/215009,"")</f>
        <v>27.09235427354204</v>
      </c>
      <c r="K3" s="1">
        <f>IF(334272&gt;0,100*85750/334272,"")</f>
        <v>25.652761822707255</v>
      </c>
      <c r="L3" s="1">
        <f>IF(COUNT(J3:K3)=2,K3-J3,"")</f>
        <v>-1.439592450834784</v>
      </c>
      <c r="O3" s="1">
        <v>1</v>
      </c>
      <c r="P3" s="1">
        <v>0</v>
      </c>
      <c r="Q3" s="1">
        <f>IF(558995&gt;0,100*195788/558995,"")</f>
        <v>35.0250002236156</v>
      </c>
      <c r="R3" s="1">
        <f>IF(386163&gt;0,100*66441/386163,"")</f>
        <v>17.205428795612214</v>
      </c>
      <c r="S3" s="1">
        <f>IF(COUNT(Q3:R3)=2,R3-Q3,"")</f>
        <v>-17.819571428003385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IF(230043&gt;0,100*86278/230043,"")</f>
        <v>37.50516207839404</v>
      </c>
      <c r="E4" s="1">
        <f>IF(COUNT(C4:D4)=2,D4-C4,"")</f>
        <v>-10.310404273897092</v>
      </c>
      <c r="H4" s="1">
        <v>2</v>
      </c>
      <c r="I4" s="1">
        <v>1</v>
      </c>
      <c r="J4" s="1">
        <f>IF(296332&gt;0,100*64971/296332,"")</f>
        <v>21.925070529001257</v>
      </c>
      <c r="K4" s="1">
        <f>IF(384151&gt;0,100*80945/384151,"")</f>
        <v>21.071141296000793</v>
      </c>
      <c r="L4" s="1">
        <f>IF(COUNT(J4:K4)=2,K4-J4,"")</f>
        <v>-0.8539292330004642</v>
      </c>
      <c r="O4" s="1">
        <v>2</v>
      </c>
      <c r="P4" s="1">
        <v>1</v>
      </c>
      <c r="Q4" s="1">
        <f>IF(348213&gt;0,100*131600/348213,"")</f>
        <v>37.792960056057645</v>
      </c>
      <c r="R4" s="1">
        <f>IF(492227&gt;0,100*143670/492227,"")</f>
        <v>29.18775280510821</v>
      </c>
      <c r="S4" s="1">
        <f>IF(COUNT(Q4:R4)=2,R4-Q4,"")</f>
        <v>-8.605207250949434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IF(107164&gt;0,100*8941/107164,"")</f>
        <v>8.343286924713523</v>
      </c>
      <c r="E5" s="1">
        <f>IF(COUNT(C5:D5)=2,D5-C5,"")</f>
        <v>-33.87648600825062</v>
      </c>
      <c r="H5" s="1">
        <v>3</v>
      </c>
      <c r="I5" s="1">
        <v>2</v>
      </c>
      <c r="J5" s="1">
        <f>IF(328831&gt;0,100*62705/328831,"")</f>
        <v>19.069065872743142</v>
      </c>
      <c r="K5" s="1">
        <f>IF(388888&gt;0,100*36364/388888,"")</f>
        <v>9.35076423031824</v>
      </c>
      <c r="L5" s="1">
        <f>IF(COUNT(J5:K5)=2,K5-J5,"")</f>
        <v>-9.718301642424901</v>
      </c>
      <c r="O5" s="1">
        <v>3</v>
      </c>
      <c r="P5" s="1">
        <v>2</v>
      </c>
      <c r="Q5" s="1">
        <f>IF(499604&gt;0,100*190955/499604,"")</f>
        <v>38.221271246827484</v>
      </c>
      <c r="R5" s="1">
        <f>IF(599493&gt;0,100*169858/599493,"")</f>
        <v>28.333608565904857</v>
      </c>
      <c r="S5" s="1">
        <f>IF(COUNT(Q5:R5)=2,R5-Q5,"")</f>
        <v>-9.887662680922627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IF(491514&gt;0,100*160615/491514,"")</f>
        <v>32.6776043001827</v>
      </c>
      <c r="E6" s="1">
        <f>IF(COUNT(C6:D6)=2,D6-C6,"")</f>
        <v>-6.048322823325279</v>
      </c>
      <c r="H6" s="1">
        <v>4</v>
      </c>
      <c r="I6" s="1">
        <v>3</v>
      </c>
      <c r="J6" s="1">
        <f>IF(464767&gt;0,100*69099/464767,"")</f>
        <v>14.867449711360747</v>
      </c>
      <c r="K6" s="1">
        <f>IF(570102&gt;0,100*87735/570102,"")</f>
        <v>15.389351379226875</v>
      </c>
      <c r="L6" s="1">
        <f>IF(COUNT(J6:K6)=2,K6-J6,"")</f>
        <v>0.5219016678661283</v>
      </c>
      <c r="O6" s="1">
        <v>4</v>
      </c>
      <c r="P6" s="1">
        <v>3</v>
      </c>
      <c r="Q6" s="1">
        <f>IF(332328&gt;0,100*11557/332328,"")</f>
        <v>3.477588406634409</v>
      </c>
      <c r="R6" s="1">
        <f>IF(431318&gt;0,100*62344/431318,"")</f>
        <v>14.454300539277284</v>
      </c>
      <c r="S6" s="1">
        <f>IF(COUNT(Q6:R6)=2,R6-Q6,"")</f>
        <v>10.976712132642875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IF(492201&gt;0,100*83178/492201,"")</f>
        <v>16.899193622117792</v>
      </c>
      <c r="E7" s="1">
        <f>IF(COUNT(C7:D7)=2,D7-C7,"")</f>
        <v>-18.15672790676595</v>
      </c>
      <c r="H7" s="1">
        <v>5</v>
      </c>
      <c r="I7" s="1">
        <v>4</v>
      </c>
      <c r="J7" s="1">
        <f>IF(411240&gt;0,100*106457/411240,"")</f>
        <v>25.88683007489544</v>
      </c>
      <c r="K7" s="1">
        <f>IF(390190&gt;0,100*94614/390190,"")</f>
        <v>24.2481867807991</v>
      </c>
      <c r="L7" s="1">
        <f>IF(COUNT(J7:K7)=2,K7-J7,"")</f>
        <v>-1.6386432940963402</v>
      </c>
      <c r="O7" s="1">
        <v>5</v>
      </c>
      <c r="P7" s="1">
        <v>4</v>
      </c>
      <c r="Q7" s="1">
        <f>IF(258766&gt;0,100*96546/258766,"")</f>
        <v>37.3101566666409</v>
      </c>
      <c r="R7" s="1">
        <f>IF(390406&gt;0,100*129919/390406,"")</f>
        <v>33.277920933592206</v>
      </c>
      <c r="S7" s="1">
        <f>IF(COUNT(Q7:R7)=2,R7-Q7,"")</f>
        <v>-4.032235733048694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IF(404237&gt;0,100*64805/404237,"")</f>
        <v>16.031437003540002</v>
      </c>
      <c r="E8" s="1">
        <f>IF(COUNT(C8:D8)=2,D8-C8,"")</f>
        <v>-7.458943546576776</v>
      </c>
      <c r="H8" s="1">
        <v>6</v>
      </c>
      <c r="I8" s="1">
        <v>5</v>
      </c>
      <c r="J8" s="1">
        <f>IF(324059&gt;0,100*91696/324059,"")</f>
        <v>28.29608188632317</v>
      </c>
      <c r="K8" s="1">
        <f>IF(330868&gt;0,100*66495/330868,"")</f>
        <v>20.097138435871706</v>
      </c>
      <c r="L8" s="1">
        <f>IF(COUNT(J8:K8)=2,K8-J8,"")</f>
        <v>-8.198943450451463</v>
      </c>
      <c r="O8" s="1">
        <v>6</v>
      </c>
      <c r="P8" s="1">
        <v>5</v>
      </c>
      <c r="Q8" s="1">
        <f>IF(371148&gt;0,100*77908/371148,"")</f>
        <v>20.9910871134965</v>
      </c>
      <c r="R8" s="1">
        <f>IF(389285&gt;0,100*68867/389285,"")</f>
        <v>17.69063796447333</v>
      </c>
      <c r="S8" s="1">
        <f>IF(COUNT(Q8:R8)=2,R8-Q8,"")</f>
        <v>-3.300449149023173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IF(351526&gt;0,100*83240/351526,"")</f>
        <v>23.679614025705067</v>
      </c>
      <c r="E9" s="1">
        <f>IF(COUNT(C9:D9)=2,D9-C9,"")</f>
        <v>-20.78536984984687</v>
      </c>
      <c r="H9" s="1">
        <v>7</v>
      </c>
      <c r="I9" s="1">
        <v>6</v>
      </c>
      <c r="J9" s="1">
        <f>IF(325191&gt;0,100*2956/325191,"")</f>
        <v>0.9090042467349957</v>
      </c>
      <c r="K9" s="1">
        <f>IF(316437&gt;0,100*2318/316437,"")</f>
        <v>0.7325312779479012</v>
      </c>
      <c r="L9" s="1">
        <f>IF(COUNT(J9:K9)=2,K9-J9,"")</f>
        <v>-0.1764729687870945</v>
      </c>
      <c r="O9" s="1">
        <v>7</v>
      </c>
      <c r="P9" s="1">
        <v>6</v>
      </c>
      <c r="Q9" s="1">
        <f>IF(434887&gt;0,100*93317/434887,"")</f>
        <v>21.457757992306046</v>
      </c>
      <c r="R9" s="1">
        <f>IF(400899&gt;0,100*44684/400899,"")</f>
        <v>11.145949478546965</v>
      </c>
      <c r="S9" s="1">
        <f>IF(COUNT(Q9:R9)=2,R9-Q9,"")</f>
        <v>-10.31180851375908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IF(442125&gt;0,100*135804/442125,"")</f>
        <v>30.716200169635282</v>
      </c>
      <c r="E10" s="1">
        <f>IF(COUNT(C10:D10)=2,D10-C10,"")</f>
        <v>-14.811918100358401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IF(117168&gt;0,100*41590/117168,"")</f>
        <v>35.49603987436843</v>
      </c>
      <c r="E11" s="1">
        <f>IF(COUNT(C11:D11)=2,D11-C11,"")</f>
        <v>-11.052789879452064</v>
      </c>
      <c r="H11" s="1">
        <v>9</v>
      </c>
      <c r="I11" s="1">
        <v>8</v>
      </c>
      <c r="J11" s="1">
        <f>IF(422295&gt;0,100*144131/422295,"")</f>
        <v>34.13040646941119</v>
      </c>
      <c r="K11" s="1">
        <f>IF(326032&gt;0,100*61351/326032,"")</f>
        <v>18.8174780389655</v>
      </c>
      <c r="L11" s="1">
        <f>IF(COUNT(J11:K11)=2,K11-J11,"")</f>
        <v>-15.312928430445691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IF(461040&gt;0,100*130068/461040,"")</f>
        <v>28.21186881832379</v>
      </c>
      <c r="S11" s="1">
        <f>IF(COUNT(Q11:R11)=2,R11-Q11,"")</f>
        <v>-10.292924523884974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IF(367614&gt;0,100*6508/367614,"")</f>
        <v>1.7703351885401535</v>
      </c>
      <c r="E12" s="1">
        <f>IF(COUNT(C12:D12)=2,D12-C12,"")</f>
        <v>-29.15225269361867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IF(472570&gt;0,100*51902/472570,"")</f>
        <v>10.982923164822143</v>
      </c>
      <c r="L12" s="1">
        <f>IF(COUNT(J12:K12)=2,K12-J12,"")</f>
        <v>-5.754705105905373</v>
      </c>
      <c r="O12" s="1">
        <v>10</v>
      </c>
      <c r="P12" s="1">
        <v>9</v>
      </c>
      <c r="Q12" s="1">
        <f>IF(412598&gt;0,100*74901/412598,"")</f>
        <v>18.15350534903223</v>
      </c>
      <c r="R12" s="1">
        <f>IF(392858&gt;0,100*18784/392858,"")</f>
        <v>4.781371386098794</v>
      </c>
      <c r="S12" s="1">
        <f>IF(COUNT(Q12:R12)=2,R12-Q12,"")</f>
        <v>-13.372133962933436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IF(466432&gt;0,100*164324/466432,"")</f>
        <v>35.23000137211855</v>
      </c>
      <c r="E13" s="1">
        <f>IF(COUNT(C13:D13)=2,D13-C13,"")</f>
        <v>2.776802485764506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IF(475994&gt;0,100*31974/475994,"")</f>
        <v>6.717311562750791</v>
      </c>
      <c r="L13" s="1">
        <f>IF(COUNT(J13:K13)=2,K13-J13,"")</f>
        <v>1.5205778080573555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IF(517486&gt;0,100*3762/517486,"")</f>
        <v>0.726976188727811</v>
      </c>
      <c r="S13" s="1">
        <f>IF(COUNT(Q13:R13)=2,R13-Q13,"")</f>
        <v>0.0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IF(264574&gt;0,100*95357/264574,"")</f>
        <v>36.041712337569074</v>
      </c>
      <c r="E14" s="1">
        <f>IF(COUNT(C14:D14)=2,D14-C14,"")</f>
        <v>-7.93201869730953</v>
      </c>
      <c r="H14" s="1">
        <v>12</v>
      </c>
      <c r="I14" s="1">
        <v>11</v>
      </c>
      <c r="J14" s="1">
        <f>IF(461148&gt;0,100*18702/461148,"")</f>
        <v>4.05553097920841</v>
      </c>
      <c r="K14" s="1">
        <f>IF(578825&gt;0,100*64122/578825,"")</f>
        <v>11.077959659655336</v>
      </c>
      <c r="L14" s="1">
        <f>IF(COUNT(J14:K14)=2,K14-J14,"")</f>
        <v>7.022428680446926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IF(540799&gt;0,100*34400/540799,"")</f>
        <v>6.360958507689548</v>
      </c>
      <c r="S14" s="1">
        <f>IF(COUNT(Q14:R14)=2,R14-Q14,"")</f>
        <v>-31.884892385417334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IF(416550&gt;0,100*19180/416550,"")</f>
        <v>4.6044892569919575</v>
      </c>
      <c r="E15" s="1">
        <f>IF(COUNT(C15:D15)=2,D15-C15,"")</f>
        <v>-27.432824941649226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IF(491888&gt;0,100*139787/491888,"")</f>
        <v>28.418461113098918</v>
      </c>
      <c r="L15" s="1">
        <f>IF(COUNT(J15:K15)=2,K15-J15,"")</f>
        <v>-13.838609264952343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IF(381601&gt;0,100*21831/381601,"")</f>
        <v>5.720896957817197</v>
      </c>
      <c r="S15" s="1">
        <f>IF(COUNT(Q15:R15)=2,R15-Q15,"")</f>
        <v>-2.0583690873620393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IF(347009&gt;0,100*33966/347009,"")</f>
        <v>9.788218749369612</v>
      </c>
      <c r="E16" s="1">
        <f>IF(COUNT(C16:D16)=2,D16-C16,"")</f>
        <v>-6.75823655791682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IF(292137&gt;0,100*55950/292137,"")</f>
        <v>19.151973218044958</v>
      </c>
      <c r="L16" s="1">
        <f>IF(COUNT(J16:K16)=2,K16-J16,"")</f>
        <v>2.1988470401686797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IF(284672&gt;0,100*4186/284672,"")</f>
        <v>1.4704642535971224</v>
      </c>
      <c r="S16" s="1">
        <f>IF(COUNT(Q16:R16)=2,R16-Q16,"")</f>
        <v>0.0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IF(305789&gt;0,100*84884/305789,"")</f>
        <v>27.759010297950546</v>
      </c>
      <c r="E17" s="1">
        <f>IF(COUNT(C17:D17)=2,D17-C17,"")</f>
        <v>-14.232342015782422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IF(432221&gt;0,100*96024/432221,"")</f>
        <v>22.21641243715599</v>
      </c>
      <c r="L17" s="1">
        <f>IF(COUNT(J17:K17)=2,K17-J17,"")</f>
        <v>-23.71341795281567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IF(442949&gt;0,100*88051/442949,"")</f>
        <v>19.878360714213148</v>
      </c>
      <c r="S17" s="1">
        <f>IF(COUNT(Q17:R17)=2,R17-Q17,"")</f>
        <v>-13.15217069768445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IF(322070&gt;0,100*86992/322070,"")</f>
        <v>27.010277268916695</v>
      </c>
      <c r="E18" s="1">
        <f>IF(COUNT(C18:D18)=2,D18-C18,"")</f>
        <v>-11.998453959538523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IF(435507&gt;0,100*74122/435507,"")</f>
        <v>17.019703472045226</v>
      </c>
      <c r="L18" s="1">
        <f>IF(COUNT(J18:K18)=2,K18-J18,"")</f>
        <v>-7.566519914426998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IF(429001&gt;0,100*10804/429001,"")</f>
        <v>2.518409047997557</v>
      </c>
      <c r="S18" s="1">
        <f>IF(COUNT(Q18:R18)=2,R18-Q18,"")</f>
        <v>-29.8516717373452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IF(279234&gt;0,100*11084/279234,"")</f>
        <v>3.969430656725184</v>
      </c>
      <c r="E19" s="1">
        <f>IF(COUNT(C19:D19)=2,D19-C19,"")</f>
        <v>-2.6893343604721562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IF(362931&gt;0,100*80060/362931,"")</f>
        <v>22.059289506820857</v>
      </c>
      <c r="L19" s="1">
        <f>IF(COUNT(J19:K19)=2,K19-J19,"")</f>
        <v>-15.61708059160524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IF(430105&gt;0,100*90993/430105,"")</f>
        <v>21.15599679148115</v>
      </c>
      <c r="S19" s="1">
        <f>IF(COUNT(Q19:R19)=2,R19-Q19,"")</f>
        <v>-1.0178374132394516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IF(409651&gt;0,100*39191/409651,"")</f>
        <v>9.566924040219602</v>
      </c>
      <c r="L20" s="1">
        <f>IF(COUNT(J20:K20)=2,K20-J20,"")</f>
        <v>-12.222186748109058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IF(652373&gt;0,100*103898/652373,"")</f>
        <v>15.926164939382838</v>
      </c>
      <c r="S20" s="1">
        <f>IF(COUNT(Q20:R20)=2,R20-Q20,"")</f>
        <v>-17.442556697114746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IF(429964&gt;0,100*155397/429964,"")</f>
        <v>36.14186303969635</v>
      </c>
      <c r="E21" s="1">
        <f>IF(COUNT(C21:D21)=2,D21-C21,"")</f>
        <v>-3.7070076654345314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IF(402476&gt;0,100*43281/402476,"")</f>
        <v>10.753684691758018</v>
      </c>
      <c r="L21" s="1">
        <f>IF(COUNT(J21:K21)=2,K21-J21,"")</f>
        <v>-3.14091000293468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IF(422928&gt;0,100*72056/422928,"")</f>
        <v>17.037415352022094</v>
      </c>
      <c r="S21" s="1">
        <f>IF(COUNT(Q21:R21)=2,R21-Q21,"")</f>
        <v>-1.1328103394373912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IF(497630&gt;0,100*34775/497630,"")</f>
        <v>6.988123706368185</v>
      </c>
      <c r="E22" s="1">
        <f>IF(COUNT(C22:D22)=2,D22-C22,"")</f>
        <v>-27.849695341701768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IF(534284&gt;0,100*68258/534284,"")</f>
        <v>12.775602488564134</v>
      </c>
      <c r="L22" s="1">
        <f>IF(COUNT(J22:K22)=2,K22-J22,"")</f>
        <v>0.4045985420257914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IF(464674&gt;0,100*70908/464674,"")</f>
        <v>15.259730477711255</v>
      </c>
      <c r="S22" s="1">
        <f>IF(COUNT(Q22:R22)=2,R22-Q22,"")</f>
        <v>-5.436965876591724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IF(263344&gt;0,100*23360/263344,"")</f>
        <v>8.870526763472872</v>
      </c>
      <c r="E23" s="1">
        <f>IF(COUNT(C23:D23)=2,D23-C23,"")</f>
        <v>-5.997948090009478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IF(369219&gt;0,100*70131/369219,"")</f>
        <v>18.994417947072062</v>
      </c>
      <c r="L23" s="1">
        <f>IF(COUNT(J23:K23)=2,K23-J23,"")</f>
        <v>-23.64006713223475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IF(483719&gt;0,100*118545/483719,"")</f>
        <v>24.50699683080466</v>
      </c>
      <c r="S23" s="1">
        <f>IF(COUNT(Q23:R23)=2,R23-Q23,"")</f>
        <v>-2.1831717676632145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IF(213998&gt;0,100*78856/213998,"")</f>
        <v>36.84894251348143</v>
      </c>
      <c r="E24" s="1">
        <f>IF(COUNT(C24:D24)=2,D24-C24,"")</f>
        <v>-6.009284062279306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IF(294451&gt;0,100*97585/294451,"")</f>
        <v>33.141337607955144</v>
      </c>
      <c r="L24" s="1">
        <f>IF(COUNT(J24:K24)=2,K24-J24,"")</f>
        <v>6.8072588356160715</v>
      </c>
      <c r="O24" s="1">
        <v>22</v>
      </c>
      <c r="P24" s="1">
        <v>21</v>
      </c>
      <c r="Q24" s="1">
        <f>IF(97184&gt;0,100*37074/97184,"")</f>
        <v>38.14825485676655</v>
      </c>
      <c r="R24" s="1">
        <f>IF(130696&gt;0,100*35325/130696,"")</f>
        <v>27.028371181979555</v>
      </c>
      <c r="S24" s="1">
        <f>IF(COUNT(Q24:R24)=2,R24-Q24,"")</f>
        <v>-11.119883674786994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IF(578586&gt;0,100*61048/578586,"")</f>
        <v>10.551240437895144</v>
      </c>
      <c r="L25" s="1">
        <f>IF(COUNT(J25:K25)=2,K25-J25,"")</f>
        <v>-5.953975433728951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IF(686826&gt;0,100*152413/686826,"")</f>
        <v>22.19091880621875</v>
      </c>
      <c r="S25" s="1">
        <f>IF(COUNT(Q25:R25)=2,R25-Q25,"")</f>
        <v>-11.640308897087156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IF(568899&gt;0,100*78324/568899,"")</f>
        <v>13.767645926605601</v>
      </c>
      <c r="E26" s="1">
        <f>IF(COUNT(C26:D26)=2,D26-C26,"")</f>
        <v>-1.8331620306561653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IF(487368&gt;0,100*29775/487368,"")</f>
        <v>6.109346530752942</v>
      </c>
      <c r="L26" s="1">
        <f>IF(COUNT(J26:K26)=2,K26-J26,"")</f>
        <v>-23.862253275259597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IF(506356&gt;0,100*47565/506356,"")</f>
        <v>9.393588700440006</v>
      </c>
      <c r="S26" s="1">
        <f>IF(COUNT(Q26:R26)=2,R26-Q26,"")</f>
        <v>-15.058993956866331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IF(382778&gt;0,100*131118/382778,"")</f>
        <v>34.254319736243986</v>
      </c>
      <c r="E27" s="1">
        <f>IF(COUNT(C27:D27)=2,D27-C27,"")</f>
        <v>-11.275431195536477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IF(295330&gt;0,100*40582/295330,"")</f>
        <v>13.741238614431314</v>
      </c>
      <c r="L27" s="1">
        <f>IF(COUNT(J27:K27)=2,K27-J27,"")</f>
        <v>-5.593413001521828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IF(422222&gt;0,100*43799/422222,"")</f>
        <v>10.373452828133068</v>
      </c>
      <c r="S27" s="1">
        <f>IF(COUNT(Q27:R27)=2,R27-Q27,"")</f>
        <v>5.107665399067086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IF(452284&gt;0,100*143162/452284,"")</f>
        <v>31.653120605637167</v>
      </c>
      <c r="E28" s="1">
        <f>IF(COUNT(C28:D28)=2,D28-C28,"")</f>
        <v>-10.592913522357687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IF(436334&gt;0,100*73562/436334,"")</f>
        <v>16.85910334743568</v>
      </c>
      <c r="L28" s="1">
        <f>IF(COUNT(J28:K28)=2,K28-J28,"")</f>
        <v>-14.610178941742756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IF(452658&gt;0,100*54898/452658,"")</f>
        <v>12.12791997490379</v>
      </c>
      <c r="S28" s="1">
        <f>IF(COUNT(Q28:R28)=2,R28-Q28,"")</f>
        <v>-11.77728221977209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IF(326203&gt;0,100*93704/326203,"")</f>
        <v>28.725670824609217</v>
      </c>
      <c r="E29" s="1">
        <f>IF(COUNT(C29:D29)=2,D29-C29,"")</f>
        <v>-0.8934871191541802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IF(554126&gt;0,100*121054/554126,"")</f>
        <v>21.84593395725882</v>
      </c>
      <c r="L29" s="1">
        <f>IF(COUNT(J29:K29)=2,K29-J29,"")</f>
        <v>13.772216712345921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IF(518083&gt;0,100*78487/518083,"")</f>
        <v>15.149503071901606</v>
      </c>
      <c r="S29" s="1">
        <f>IF(COUNT(Q29:R29)=2,R29-Q29,"")</f>
        <v>-29.466724658476743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IF(342301&gt;0,100*91434/342301,"")</f>
        <v>26.711578406139626</v>
      </c>
      <c r="L30" s="1">
        <f>IF(COUNT(J30:K30)=2,K30-J30,"")</f>
        <v>-8.445586948191082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IF(312430&gt;0,100*66242/312430,"")</f>
        <v>21.20218929040105</v>
      </c>
      <c r="S30" s="1">
        <f>IF(COUNT(Q30:R30)=2,R30-Q30,"")</f>
        <v>-1.8764394566695337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IF(300331&gt;0,100*106065/300331,"")</f>
        <v>35.31603464177857</v>
      </c>
      <c r="E31" s="1">
        <f>IF(COUNT(C31:D31)=2,D31-C31,"")</f>
        <v>-6.934931710163639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IF(289453&gt;0,100*73328/289453,"")</f>
        <v>25.333301088605058</v>
      </c>
      <c r="L31" s="1">
        <f>IF(COUNT(J31:K31)=2,K31-J31,"")</f>
        <v>-18.137389038115703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IF(456481&gt;0,100*177228/456481,"")</f>
        <v>38.8248360829914</v>
      </c>
      <c r="S31" s="1">
        <f>IF(COUNT(Q31:R31)=2,R31-Q31,"")</f>
        <v>-7.755036642098219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IF(433591&gt;0,100*88525/433591,"")</f>
        <v>20.416706066315953</v>
      </c>
      <c r="E32" s="1">
        <f>IF(COUNT(C32:D32)=2,D32-C32,"")</f>
        <v>-25.35431206501775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IF(384881&gt;0,100*86364/384881,"")</f>
        <v>22.43914352747992</v>
      </c>
      <c r="L32" s="1">
        <f>IF(COUNT(J32:K32)=2,K32-J32,"")</f>
        <v>-1.81618713784259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IF(517960&gt;0,100*85233/517960,"")</f>
        <v>16.45551780060236</v>
      </c>
      <c r="S32" s="1">
        <f>IF(COUNT(Q32:R32)=2,R32-Q32,"")</f>
        <v>-2.8575093299104104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IF(273650&gt;0,100*3974/273650,"")</f>
        <v>1.4522199890370913</v>
      </c>
      <c r="E33" s="1">
        <f>IF(COUNT(C33:D33)=2,D33-C33,"")</f>
        <v>0.0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IF(356500&gt;0,100*77204/356500,"")</f>
        <v>21.65610098176718</v>
      </c>
      <c r="L33" s="1">
        <f>IF(COUNT(J33:K33)=2,K33-J33,"")</f>
        <v>3.7057913771085147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IF(399718&gt;0,100*94412/399718,"")</f>
        <v>23.619651854557464</v>
      </c>
      <c r="S33" s="1">
        <f>IF(COUNT(Q33:R33)=2,R33-Q33,"")</f>
        <v>-1.9786530795408268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19.916609351397206</v>
      </c>
      <c r="E34" s="1">
        <f>IF(COUNT(E3:E33)&gt;0,AVERAGE(E3:E33),"")</f>
        <v>-10.36864897626139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16.89661638719739</v>
      </c>
      <c r="L34" s="1">
        <f>IF(COUNT(L3:L33)&gt;0,AVERAGE(L3:L33),"")</f>
        <v>-5.97734423534813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16.50389687030379</v>
      </c>
      <c r="S34" s="1">
        <f>IF(COUNT(S3:S33)&gt;0,AVERAGE(S3:S33),"")</f>
        <v>-8.362222375092863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IF(464179&gt;0,100*50019/464179,"")</f>
        <v>10.775799853073922</v>
      </c>
      <c r="E39" s="1">
        <f>IF(COUNT(C39:D39)=2,D39-C39,"")</f>
        <v>2.7694346507855023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IF(490232&gt;0,100*84712/490232,"")</f>
        <v>17.279981722939343</v>
      </c>
      <c r="L39" s="1">
        <f>IF(COUNT(J39:K39)=2,K39-J39,"")</f>
        <v>-12.321139903418874</v>
      </c>
      <c r="O39" s="1">
        <v>1</v>
      </c>
      <c r="P39" s="1">
        <v>0</v>
      </c>
      <c r="Q39" s="1">
        <f>IF(523211&gt;0,100*80163/523211,"")</f>
        <v>15.321352188696338</v>
      </c>
      <c r="R39" s="1">
        <f>IF(438698&gt;0,100*56205/438698,"")</f>
        <v>12.811774842830376</v>
      </c>
      <c r="S39" s="1">
        <f>IF(COUNT(Q39:R39)=2,R39-Q39,"")</f>
        <v>-2.509577345865962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IF(250944&gt;0,100*87337/250944,"")</f>
        <v>34.80338242795205</v>
      </c>
      <c r="E40" s="1">
        <f>IF(COUNT(C40:D40)=2,D40-C40,"")</f>
        <v>-5.081660264353808</v>
      </c>
      <c r="H40" s="1">
        <v>2</v>
      </c>
      <c r="I40" s="1">
        <v>1</v>
      </c>
      <c r="J40" s="1">
        <f>IF(594344&gt;0,100*221110/594344,"")</f>
        <v>37.20236092229416</v>
      </c>
      <c r="K40" s="1">
        <f>IF(744263&gt;0,100*215184/744263,"")</f>
        <v>28.912360281244666</v>
      </c>
      <c r="L40" s="1">
        <f>IF(COUNT(J40:K40)=2,K40-J40,"")</f>
        <v>-8.290000641049495</v>
      </c>
      <c r="O40" s="1">
        <v>2</v>
      </c>
      <c r="P40" s="1">
        <v>1</v>
      </c>
      <c r="Q40" s="1">
        <f>IF(421884&gt;0,100*204846/421884,"")</f>
        <v>48.555053047757205</v>
      </c>
      <c r="R40" s="1">
        <f>IF(508152&gt;0,100*138062/508152,"")</f>
        <v>27.169429619483935</v>
      </c>
      <c r="S40" s="1">
        <f>IF(COUNT(Q40:R40)=2,R40-Q40,"")</f>
        <v>-21.38562342827327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IF(330246&gt;0,100*106735/330246,"")</f>
        <v>32.31984641751906</v>
      </c>
      <c r="E41" s="1">
        <f>IF(COUNT(C41:D41)=2,D41-C41,"")</f>
        <v>-19.27973467426049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IF(832051&gt;0,100*86750/832051,"")</f>
        <v>10.426043595885348</v>
      </c>
      <c r="L41" s="1">
        <f>IF(COUNT(J41:K41)=2,K41-J41,"")</f>
        <v>-22.38694937128279</v>
      </c>
      <c r="O41" s="1">
        <v>3</v>
      </c>
      <c r="P41" s="1">
        <v>2</v>
      </c>
      <c r="Q41" s="1">
        <f>IF(735676&gt;0,100*303277/735676,"")</f>
        <v>41.22426176740848</v>
      </c>
      <c r="R41" s="1">
        <f>IF(752614&gt;0,100*190979/752614,"")</f>
        <v>25.375424852580473</v>
      </c>
      <c r="S41" s="1">
        <f>IF(COUNT(Q41:R41)=2,R41-Q41,"")</f>
        <v>-15.848836914828006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IF(682107&gt;0,100*249560/682107,"")</f>
        <v>36.586635234647936</v>
      </c>
      <c r="E42" s="1">
        <f>IF(COUNT(C42:D42)=2,D42-C42,"")</f>
        <v>-6.790734600076313</v>
      </c>
      <c r="H42" s="1">
        <v>4</v>
      </c>
      <c r="I42" s="1">
        <v>3</v>
      </c>
      <c r="J42" s="1">
        <f>IF(584626&gt;0,100*38325/584626,"")</f>
        <v>6.555473071673172</v>
      </c>
      <c r="K42" s="1">
        <f>IF(571320&gt;0,100*37741/571320,"")</f>
        <v>6.605930126724077</v>
      </c>
      <c r="L42" s="1">
        <f>IF(COUNT(J42:K42)=2,K42-J42,"")</f>
        <v>0.05045705505090492</v>
      </c>
      <c r="O42" s="1">
        <v>4</v>
      </c>
      <c r="P42" s="1">
        <v>3</v>
      </c>
      <c r="Q42" s="1">
        <f>IF(646087&gt;0,100*38069/646087,"")</f>
        <v>5.8922405186917555</v>
      </c>
      <c r="R42" s="1">
        <f>IF(766058&gt;0,100*16186/766058,"")</f>
        <v>2.1128948460821504</v>
      </c>
      <c r="S42" s="1">
        <f>IF(COUNT(Q42:R42)=2,R42-Q42,"")</f>
        <v>-3.779345672609605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IF(511189&gt;0,100*54867/511189,"")</f>
        <v>10.733212177883328</v>
      </c>
      <c r="E43" s="1">
        <f>IF(COUNT(C43:D43)=2,D43-C43,"")</f>
        <v>-6.3484944472299425</v>
      </c>
      <c r="H43" s="1">
        <v>5</v>
      </c>
      <c r="I43" s="1">
        <v>4</v>
      </c>
      <c r="J43" s="1">
        <f>IF(200432&gt;0,100*86329/200432,"")</f>
        <v>43.071465634230066</v>
      </c>
      <c r="K43" s="1">
        <f>IF(624377&gt;0,100*195198/624377,"")</f>
        <v>31.26284280170474</v>
      </c>
      <c r="L43" s="1">
        <f>IF(COUNT(J43:K43)=2,K43-J43,"")</f>
        <v>-11.808622832525327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IF(577430&gt;0,100*226959/577430,"")</f>
        <v>39.305023985591326</v>
      </c>
      <c r="S43" s="1">
        <f>IF(COUNT(Q43:R43)=2,R43-Q43,"")</f>
        <v>-2.071060287491889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IF(734231&gt;0,100*158586/734231,"")</f>
        <v>21.598924589127943</v>
      </c>
      <c r="E44" s="1">
        <f>IF(COUNT(C44:D44)=2,D44-C44,"")</f>
        <v>-26.455810851418544</v>
      </c>
      <c r="H44" s="1">
        <v>6</v>
      </c>
      <c r="I44" s="1">
        <v>5</v>
      </c>
      <c r="J44" s="1">
        <f>IF(458928&gt;0,100*143171/458928,"")</f>
        <v>31.19683261862427</v>
      </c>
      <c r="K44" s="1">
        <f>IF(603605&gt;0,100*163340/603605,"")</f>
        <v>27.060743366936986</v>
      </c>
      <c r="L44" s="1">
        <f>IF(COUNT(J44:K44)=2,K44-J44,"")</f>
        <v>-4.1360892516872845</v>
      </c>
      <c r="O44" s="1">
        <v>6</v>
      </c>
      <c r="P44" s="1">
        <v>5</v>
      </c>
      <c r="Q44" s="1">
        <f>IF(652890&gt;0,100*52664/652890,"")</f>
        <v>8.066289880378012</v>
      </c>
      <c r="R44" s="1">
        <f>IF(692928&gt;0,100*50131/692928,"")</f>
        <v>7.234662187124781</v>
      </c>
      <c r="S44" s="1">
        <f>IF(COUNT(Q44:R44)=2,R44-Q44,"")</f>
        <v>-0.8316276932532309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IF(498918&gt;0,100*170288/498918,"")</f>
        <v>34.13146048047976</v>
      </c>
      <c r="E45" s="1">
        <f>IF(COUNT(C45:D45)=2,D45-C45,"")</f>
        <v>-20.988928360022584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IF(431019&gt;0,100*38272/431019,"")</f>
        <v>8.879422948872323</v>
      </c>
      <c r="S45" s="1">
        <f>IF(COUNT(Q45:R45)=2,R45-Q45,"")</f>
        <v>6.785863287582378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IF(387569&gt;0,100*120681/387569,"")</f>
        <v>31.137939308871452</v>
      </c>
      <c r="E46" s="1">
        <f>IF(COUNT(C46:D46)=2,D46-C46,"")</f>
        <v>-12.499483410458154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IF(834663&gt;0,100*28715/834663,"")</f>
        <v>3.44031064034227</v>
      </c>
      <c r="S46" s="1">
        <f>IF(COUNT(Q46:R46)=2,R46-Q46,"")</f>
        <v>1.223581102761376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IF(329854&gt;0,100*140166/329854,"")</f>
        <v>42.4933455407544</v>
      </c>
      <c r="E47" s="1">
        <f>IF(COUNT(C47:D47)=2,D47-C47,"")</f>
        <v>-18.114535179657572</v>
      </c>
      <c r="H47" s="1">
        <v>9</v>
      </c>
      <c r="I47" s="1">
        <v>8</v>
      </c>
      <c r="J47" s="1">
        <f>IF(433696&gt;0,100*195875/433696,"")</f>
        <v>45.16412417914853</v>
      </c>
      <c r="K47" s="1">
        <f>IF(486150&gt;0,100*119970/486150,"")</f>
        <v>24.677568651650724</v>
      </c>
      <c r="L47" s="1">
        <f>IF(COUNT(J47:K47)=2,K47-J47,"")</f>
        <v>-20.486555527497806</v>
      </c>
      <c r="O47" s="1">
        <v>9</v>
      </c>
      <c r="P47" s="1">
        <v>8</v>
      </c>
      <c r="Q47" s="1">
        <f>IF(341160&gt;0,100*196686/341160,"")</f>
        <v>57.65212803376715</v>
      </c>
      <c r="R47" s="1">
        <f>IF(519812&gt;0,100*172086/519812,"")</f>
        <v>33.105430424845906</v>
      </c>
      <c r="S47" s="1">
        <f>IF(COUNT(Q47:R47)=2,R47-Q47,"")</f>
        <v>-24.546697608921242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IF(647957&gt;0,100*106658/647957,"")</f>
        <v>16.46066019813043</v>
      </c>
      <c r="E48" s="1">
        <f>IF(COUNT(C48:D48)=2,D48-C48,"")</f>
        <v>-5.393329973415291</v>
      </c>
      <c r="H48" s="1">
        <v>10</v>
      </c>
      <c r="I48" s="1">
        <v>9</v>
      </c>
      <c r="J48" s="1">
        <f>IF(716304&gt;0,100*319115/716304,"")</f>
        <v>44.550218901472</v>
      </c>
      <c r="K48" s="1">
        <f>IF(677208&gt;0,100*159701/677208,"")</f>
        <v>23.58226719117317</v>
      </c>
      <c r="L48" s="1">
        <f>IF(COUNT(J48:K48)=2,K48-J48,"")</f>
        <v>-20.96795171029883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IF(413642&gt;0,100*38456/413642,"")</f>
        <v>9.296928261636875</v>
      </c>
      <c r="S48" s="1">
        <f>IF(COUNT(Q48:R48)=2,R48-Q48,"")</f>
        <v>-12.662377360162786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IF(622486&gt;0,100*228769/622486,"")</f>
        <v>36.7508666861584</v>
      </c>
      <c r="E49" s="1">
        <f>IF(COUNT(C49:D49)=2,D49-C49,"")</f>
        <v>-9.918278927954574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IF(831371&gt;0,100*91888/831371,"")</f>
        <v>11.052586630998675</v>
      </c>
      <c r="L49" s="1">
        <f>IF(COUNT(J49:K49)=2,K49-J49,"")</f>
        <v>-22.30031317635541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IF(811334&gt;0,100*160123/811334,"")</f>
        <v>19.735768499779375</v>
      </c>
      <c r="S49" s="1">
        <f>IF(COUNT(Q49:R49)=2,R49-Q49,"")</f>
        <v>-24.89195152161448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IF(276298&gt;0,100*85600/276298,"")</f>
        <v>30.981042208050727</v>
      </c>
      <c r="E50" s="1">
        <f>IF(COUNT(C50:D50)=2,D50-C50,"")</f>
        <v>-16.690930699447915</v>
      </c>
      <c r="H50" s="1">
        <v>12</v>
      </c>
      <c r="I50" s="1">
        <v>11</v>
      </c>
      <c r="J50" s="4">
        <f>IF(0&gt;0,100*0/0,"")</f>
        <v/>
      </c>
      <c r="K50" s="1">
        <f>IF(805789&gt;0,100*21886/805789,"")</f>
        <v>2.716095652832193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IF(595535&gt;0,100*31927/595535,"")</f>
        <v>5.361061902323121</v>
      </c>
      <c r="S50" s="1">
        <f>IF(COUNT(Q50:R50)=2,R50-Q50,"")</f>
        <v>-37.15388663158219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IF(650679&gt;0,100*26591/650679,"")</f>
        <v>4.086654095183647</v>
      </c>
      <c r="E51" s="1">
        <f>IF(COUNT(C51:D51)=2,D51-C51,"")</f>
        <v>-43.38546118590421</v>
      </c>
      <c r="H51" s="1">
        <v>13</v>
      </c>
      <c r="I51" s="1">
        <v>12</v>
      </c>
      <c r="J51" s="1">
        <f>IF(654587&gt;0,100*63849/654587,"")</f>
        <v>9.75408921961481</v>
      </c>
      <c r="K51" s="1">
        <f>IF(595695&gt;0,100*30521/595695,"")</f>
        <v>5.123595128379456</v>
      </c>
      <c r="L51" s="1">
        <f>IF(COUNT(J51:K51)=2,K51-J51,"")</f>
        <v>-4.630494091235354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IF(803781&gt;0,100*43346/803781,"")</f>
        <v>5.392762456440249</v>
      </c>
      <c r="S51" s="1">
        <f>IF(COUNT(Q51:R51)=2,R51-Q51,"")</f>
        <v>3.24170412574914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IF(302828&gt;0,100*59223/302828,"")</f>
        <v>19.55664601688087</v>
      </c>
      <c r="L52" s="1">
        <f>IF(COUNT(J52:K52)=2,K52-J52,"")</f>
        <v>1.4566090526194735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IF(398302&gt;0,100*41489/398302,"")</f>
        <v>10.416467906262083</v>
      </c>
      <c r="S52" s="1">
        <f>IF(COUNT(Q52:R52)=2,R52-Q52,"")</f>
        <v>-2.024592064973362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IF(506866&gt;0,100*196356/506866,"")</f>
        <v>38.73923285444279</v>
      </c>
      <c r="E53" s="1">
        <f>IF(COUNT(C53:D53)=2,D53-C53,"")</f>
        <v>-2.1337056616786967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IF(613417&gt;0,100*143919/613417,"")</f>
        <v>23.46185384493746</v>
      </c>
      <c r="L53" s="1">
        <f>IF(COUNT(J53:K53)=2,K53-J53,"")</f>
        <v>-4.860463986914294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IF(733495&gt;0,100*184361/733495,"")</f>
        <v>25.134595327848178</v>
      </c>
      <c r="S53" s="1">
        <f>IF(COUNT(Q53:R53)=2,R53-Q53,"")</f>
        <v>-28.792947218632673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IF(499808&gt;0,100*176453/499808,"")</f>
        <v>35.304156796209746</v>
      </c>
      <c r="E54" s="1">
        <f>IF(COUNT(C54:D54)=2,D54-C54,"")</f>
        <v>-10.814176403968304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IF(550070&gt;0,100*58563/550070,"")</f>
        <v>10.646463177413784</v>
      </c>
      <c r="L54" s="1">
        <f>IF(COUNT(J54:K54)=2,K54-J54,"")</f>
        <v>-38.91113574497643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IF(490361&gt;0,100*71824/490361,"")</f>
        <v>14.64716810676216</v>
      </c>
      <c r="S54" s="1">
        <f>IF(COUNT(Q54:R54)=2,R54-Q54,"")</f>
        <v>-36.81056588338562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IF(434181&gt;0,100*8890/434181,"")</f>
        <v>2.0475331716496115</v>
      </c>
      <c r="E55" s="1">
        <f>IF(COUNT(C55:D55)=2,D55-C55,"")</f>
        <v>-0.39236369799307713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IF(661976&gt;0,100*211847/661976,"")</f>
        <v>32.002217603055094</v>
      </c>
      <c r="L55" s="1">
        <f>IF(COUNT(J55:K55)=2,K55-J55,"")</f>
        <v>-10.545862881358303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IF(519337&gt;0,100*84490/519337,"")</f>
        <v>16.26881966815382</v>
      </c>
      <c r="S55" s="1">
        <f>IF(COUNT(Q55:R55)=2,R55-Q55,"")</f>
        <v>-14.188050223978799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IF(415831&gt;0,100*38245/415831,"")</f>
        <v>9.197245996570722</v>
      </c>
      <c r="E56" s="1">
        <f>IF(COUNT(C56:D56)=2,D56-C56,"")</f>
        <v>-0.6060525398783518</v>
      </c>
      <c r="H56" s="1">
        <v>18</v>
      </c>
      <c r="I56" s="1">
        <v>17</v>
      </c>
      <c r="J56" s="4">
        <f>IF(0&gt;0,100*0/0,"")</f>
        <v/>
      </c>
      <c r="K56" s="1">
        <f>IF(816751&gt;0,100*204787/816751,"")</f>
        <v>25.073369974447537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IF(798202&gt;0,100*136435/798202,"")</f>
        <v>17.09279104788011</v>
      </c>
      <c r="S56" s="1">
        <f>IF(COUNT(Q56:R56)=2,R56-Q56,"")</f>
        <v>-32.368027488350194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IF(419021&gt;0,100*161105/419021,"")</f>
        <v>38.447953682512335</v>
      </c>
      <c r="E57" s="1">
        <f>IF(COUNT(C57:D57)=2,D57-C57,"")</f>
        <v>-5.493149693333187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IF(642665&gt;0,100*122305/642665,"")</f>
        <v>19.030910349871238</v>
      </c>
      <c r="L57" s="1">
        <f>IF(COUNT(J57:K57)=2,K57-J57,"")</f>
        <v>-11.536182615661765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IF(608988&gt;0,100*30431/608988,"")</f>
        <v>4.9969785939952835</v>
      </c>
      <c r="S57" s="1">
        <f>IF(COUNT(Q57:R57)=2,R57-Q57,"")</f>
        <v>-33.721753441574464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IF(491677&gt;0,100*97515/491677,"")</f>
        <v>19.833142489886654</v>
      </c>
      <c r="E58" s="1">
        <f>IF(COUNT(C58:D58)=2,D58-C58,"")</f>
        <v>-24.57438155526019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IF(568005&gt;0,100*62725/568005,"")</f>
        <v>11.043036592987738</v>
      </c>
      <c r="L58" s="1">
        <f>IF(COUNT(J58:K58)=2,K58-J58,"")</f>
        <v>-37.37805899832344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IF(559266&gt;0,100*92060/559266,"")</f>
        <v>16.460861200215998</v>
      </c>
      <c r="S58" s="1">
        <f>IF(COUNT(Q58:R58)=2,R58-Q58,"")</f>
        <v>-24.965634364984982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IF(395897&gt;0,100*76886/395897,"")</f>
        <v>19.4207079114012</v>
      </c>
      <c r="E59" s="1">
        <f>IF(COUNT(C59:D59)=2,D59-C59,"")</f>
        <v>-5.350149108690001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IF(842297&gt;0,100*255774/842297,"")</f>
        <v>30.366248484798117</v>
      </c>
      <c r="L59" s="1">
        <f>IF(COUNT(J59:K59)=2,K59-J59,"")</f>
        <v>-12.517522000173845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IF(192654&gt;0,100*58677/192654,"")</f>
        <v>30.457192687408515</v>
      </c>
      <c r="S59" s="1">
        <f>IF(COUNT(Q59:R59)=2,R59-Q59,"")</f>
        <v>-16.530849270146696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IF(178478&gt;0,100*65314/178478,"")</f>
        <v>36.5949864969352</v>
      </c>
      <c r="E60" s="1">
        <f>IF(COUNT(C60:D60)=2,D60-C60,"")</f>
        <v>-15.98048095068814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IF(337061&gt;0,100*118283/337061,"")</f>
        <v>35.092461008541484</v>
      </c>
      <c r="L60" s="1">
        <f>IF(COUNT(J60:K60)=2,K60-J60,"")</f>
        <v>-17.202309589323896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IF(263305&gt;0,100*83801/263305,"")</f>
        <v>31.826588936784336</v>
      </c>
      <c r="S60" s="1">
        <f>IF(COUNT(Q60:R60)=2,R60-Q60,"")</f>
        <v>-12.242499566681591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IF(692414&gt;0,100*99344/692414,"")</f>
        <v>14.347485752743301</v>
      </c>
      <c r="L61" s="1">
        <f>IF(COUNT(J61:K61)=2,K61-J61,"")</f>
        <v>-41.8250754910584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IF(629863&gt;0,100*173834/629863,"")</f>
        <v>27.598700034769465</v>
      </c>
      <c r="S61" s="1">
        <f>IF(COUNT(Q61:R61)=2,R61-Q61,"")</f>
        <v>-18.658956564755037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IF(301053&gt;0,100*13565/301053,"")</f>
        <v>4.5058511292031636</v>
      </c>
      <c r="E62" s="1">
        <f>IF(COUNT(C62:D62)=2,D62-C62,"")</f>
        <v>-14.15320153545281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IF(885032&gt;0,100*172325/885032,"")</f>
        <v>19.471047374558207</v>
      </c>
      <c r="L62" s="1">
        <f>IF(COUNT(J62:K62)=2,K62-J62,"")</f>
        <v>-28.383574380434066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IF(831219&gt;0,100*131924/831219,"")</f>
        <v>15.871148277409443</v>
      </c>
      <c r="S62" s="1">
        <f>IF(COUNT(Q62:R62)=2,R62-Q62,"")</f>
        <v>-5.72651360788241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IF(377651&gt;0,100*163487/377651,"")</f>
        <v>43.290498370188345</v>
      </c>
      <c r="E63" s="1">
        <f>IF(COUNT(C63:D63)=2,D63-C63,"")</f>
        <v>-2.9782481211100773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IF(573664&gt;0,100*43678/573664,"")</f>
        <v>7.613864561834105</v>
      </c>
      <c r="L63" s="1">
        <f>IF(COUNT(J63:K63)=2,K63-J63,"")</f>
        <v>-32.55299030206326</v>
      </c>
      <c r="O63" s="1">
        <v>25</v>
      </c>
      <c r="P63" s="1">
        <v>24</v>
      </c>
      <c r="Q63" s="1">
        <f>IF(550634&gt;0,100*246413/550634,"")</f>
        <v>44.7507781938638</v>
      </c>
      <c r="R63" s="1">
        <f>IF(722679&gt;0,100*257468/722679,"")</f>
        <v>35.62688275153976</v>
      </c>
      <c r="S63" s="1">
        <f>IF(COUNT(Q63:R63)=2,R63-Q63,"")</f>
        <v>-9.123895442324041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IF(580338&gt;0,100*188025/580338,"")</f>
        <v>32.399222522047495</v>
      </c>
      <c r="E64" s="1">
        <f>IF(COUNT(C64:D64)=2,D64-C64,"")</f>
        <v>-18.295536750964587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IF(455717&gt;0,100*34246/455717,"")</f>
        <v>7.514751479536642</v>
      </c>
      <c r="L64" s="1">
        <f>IF(COUNT(J64:K64)=2,K64-J64,"")</f>
        <v>-11.124359185244234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IF(728124&gt;0,100*145648/728124,"")</f>
        <v>20.003186270470415</v>
      </c>
      <c r="S64" s="1">
        <f>IF(COUNT(Q64:R64)=2,R64-Q64,"")</f>
        <v>-26.19068267112516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IF(427567&gt;0,100*101750/427567,"")</f>
        <v>23.797439933390557</v>
      </c>
      <c r="E65" s="1">
        <f>IF(COUNT(C65:D65)=2,D65-C65,"")</f>
        <v>-1.8694144923383433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IF(582961&gt;0,100*94058/582961,"")</f>
        <v>16.13452700952551</v>
      </c>
      <c r="L65" s="1">
        <f>IF(COUNT(J65:K65)=2,K65-J65,"")</f>
        <v>-21.058811733275608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IF(684219&gt;0,100*100231/684219,"")</f>
        <v>14.648964732052164</v>
      </c>
      <c r="S65" s="1">
        <f>IF(COUNT(Q65:R65)=2,R65-Q65,"")</f>
        <v>-10.616571507889105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IF(560254&gt;0,100*183851/560254,"")</f>
        <v>32.81565147236789</v>
      </c>
      <c r="L66" s="1">
        <f>IF(COUNT(J66:K66)=2,K66-J66,"")</f>
        <v>-7.117278905446128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IF(466972&gt;0,100*111939/466972,"")</f>
        <v>23.971244528579874</v>
      </c>
      <c r="S66" s="1">
        <f>IF(COUNT(Q66:R66)=2,R66-Q66,"")</f>
        <v>-2.098483235942428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IF(367537&gt;0,100*133536/367537,"")</f>
        <v>36.332668547656425</v>
      </c>
      <c r="E67" s="1">
        <f>IF(COUNT(C67:D67)=2,D67-C67,"")</f>
        <v>-4.730638134480891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IF(671524&gt;0,100*215848/671524,"")</f>
        <v>32.143006057862415</v>
      </c>
      <c r="L67" s="1">
        <f>IF(COUNT(J67:K67)=2,K67-J67,"")</f>
        <v>-19.410483087855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IF(718968&gt;0,100*212484/718968,"")</f>
        <v>29.554027439329705</v>
      </c>
      <c r="S67" s="1">
        <f>IF(COUNT(Q67:R67)=2,R67-Q67,"")</f>
        <v>-15.39975886784006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IF(617022&gt;0,100*151227/617022,"")</f>
        <v>24.50917471338137</v>
      </c>
      <c r="E68" s="1">
        <f>IF(COUNT(C68:D68)=2,D68-C68,"")</f>
        <v>-20.69695331310156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IF(590237&gt;0,100*115871/590237,"")</f>
        <v>19.63126676233445</v>
      </c>
      <c r="L68" s="1">
        <f>IF(COUNT(J68:K68)=2,K68-J68,"")</f>
        <v>1.1995416038116886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IF(682573&gt;0,100*20220/682573,"")</f>
        <v>2.9623205137032964</v>
      </c>
      <c r="S68" s="1">
        <f>IF(COUNT(Q68:R68)=2,R68-Q68,"")</f>
        <v>-0.8966715719380383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IF(460735&gt;0,100*111746/460735,"")</f>
        <v>24.253855253019633</v>
      </c>
      <c r="L69" s="1">
        <f>IF(COUNT(J69:K69)=2,K69-J69,"")</f>
        <v>-8.006325897699138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IF(434448&gt;0,100*90577/434448,"")</f>
        <v>20.848755202003463</v>
      </c>
      <c r="S69" s="1">
        <f>IF(COUNT(Q69:R69)=2,R69-Q69,"")</f>
        <v>-4.733781087980251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22.86515294933916</v>
      </c>
      <c r="E70" s="1">
        <f>IF(COUNT(E39:E69)&gt;0,AVERAGE(E39:E69),"")</f>
        <v>-10.201496770398457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18.379026618566712</v>
      </c>
      <c r="L70" s="1">
        <f>IF(COUNT(L39:L69)&gt;0,AVERAGE(L39:L69),"")</f>
        <v>-14.725929089437138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17.987341570745198</v>
      </c>
      <c r="S70" s="1">
        <f>IF(COUNT(S39:S69)&gt;0,AVERAGE(S39:S69),"")</f>
        <v>-13.855486129964342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IF(563103&gt;0,100*33846/563103,"")</f>
        <v>6.010623278512102</v>
      </c>
      <c r="E75" s="1">
        <f>IF(COUNT(C75:D75)=2,D75-C75,"")</f>
        <v>2.386754695724557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IF(630641&gt;0,100*49313/630641,"")</f>
        <v>7.8195042821510174</v>
      </c>
      <c r="L75" s="1">
        <f>IF(COUNT(J75:K75)=2,K75-J75,"")</f>
        <v>-46.49774097533728</v>
      </c>
      <c r="O75" s="1">
        <v>1</v>
      </c>
      <c r="P75" s="1">
        <v>0</v>
      </c>
      <c r="Q75" s="1">
        <f>IF(517487&gt;0,100*261929/517487,"")</f>
        <v>50.61557101917536</v>
      </c>
      <c r="R75" s="1">
        <f>IF(749560&gt;0,100*218224/749560,"")</f>
        <v>29.11361331981429</v>
      </c>
      <c r="S75" s="1">
        <f>IF(COUNT(Q75:R75)=2,R75-Q75,"")</f>
        <v>-21.50195769936107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IF(252684&gt;0,100*94107/252684,"")</f>
        <v>37.24295958588593</v>
      </c>
      <c r="E76" s="1">
        <f>IF(COUNT(C76:D76)=2,D76-C76,"")</f>
        <v>-6.116466932962453</v>
      </c>
      <c r="H76" s="1">
        <v>2</v>
      </c>
      <c r="I76" s="1">
        <v>1</v>
      </c>
      <c r="J76" s="1">
        <f>IF(591060&gt;0,100*305577/591060,"")</f>
        <v>51.69982742868744</v>
      </c>
      <c r="K76" s="1">
        <f>IF(763749&gt;0,100*255315/763749,"")</f>
        <v>33.42917633934709</v>
      </c>
      <c r="L76" s="1">
        <f>IF(COUNT(J76:K76)=2,K76-J76,"")</f>
        <v>-18.270651089340355</v>
      </c>
      <c r="O76" s="1">
        <v>2</v>
      </c>
      <c r="P76" s="1">
        <v>1</v>
      </c>
      <c r="Q76" s="1">
        <f>IF(548205&gt;0,100*279421/548205,"")</f>
        <v>50.97016626991728</v>
      </c>
      <c r="R76" s="1">
        <f>IF(607972&gt;0,100*168989/607972,"")</f>
        <v>27.79552347805491</v>
      </c>
      <c r="S76" s="1">
        <f>IF(COUNT(Q76:R76)=2,R76-Q76,"")</f>
        <v>-23.174642791862368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IF(65541&gt;0,100*19001/65541,"")</f>
        <v>28.991013258876123</v>
      </c>
      <c r="E77" s="1">
        <f>IF(COUNT(C77:D77)=2,D77-C77,"")</f>
        <v>-18.404344173646493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IF(910595&gt;0,100*238257/910595,"")</f>
        <v>26.164980040522956</v>
      </c>
      <c r="L77" s="1">
        <f>IF(COUNT(J77:K77)=2,K77-J77,"")</f>
        <v>-15.711758433129276</v>
      </c>
      <c r="O77" s="1">
        <v>3</v>
      </c>
      <c r="P77" s="1">
        <v>2</v>
      </c>
      <c r="Q77" s="1">
        <f>IF(871024&gt;0,100*37031/871024,"")</f>
        <v>4.2514327963408585</v>
      </c>
      <c r="R77" s="1">
        <f>IF(945430&gt;0,100*11302/945430,"")</f>
        <v>1.1954348814825</v>
      </c>
      <c r="S77" s="1">
        <f>IF(COUNT(Q77:R77)=2,R77-Q77,"")</f>
        <v>-3.0559979148583585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IF(676999&gt;0,100*213151/676999,"")</f>
        <v>31.484684615486877</v>
      </c>
      <c r="E78" s="1">
        <f>IF(COUNT(C78:D78)=2,D78-C78,"")</f>
        <v>-17.578743934922045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IF(851522&gt;0,100*162782/851522,"")</f>
        <v>19.116593581845212</v>
      </c>
      <c r="L78" s="1">
        <f>IF(COUNT(J78:K78)=2,K78-J78,"")</f>
        <v>-24.164614570890134</v>
      </c>
      <c r="O78" s="1">
        <v>4</v>
      </c>
      <c r="P78" s="1">
        <v>3</v>
      </c>
      <c r="Q78" s="1">
        <f>IF(663228&gt;0,100*363210/663228,"")</f>
        <v>54.76397257051874</v>
      </c>
      <c r="R78" s="1">
        <f>IF(1023951&gt;0,100*266019/1023951,"")</f>
        <v>25.979661136128584</v>
      </c>
      <c r="S78" s="1">
        <f>IF(COUNT(Q78:R78)=2,R78-Q78,"")</f>
        <v>-28.784311434390155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IF(503099&gt;0,100*36569/503099,"")</f>
        <v>7.268748298048695</v>
      </c>
      <c r="E79" s="1">
        <f>IF(COUNT(C79:D79)=2,D79-C79,"")</f>
        <v>-41.62895039518488</v>
      </c>
      <c r="H79" s="1">
        <v>5</v>
      </c>
      <c r="I79" s="1">
        <v>4</v>
      </c>
      <c r="J79" s="1">
        <f>IF(383201&gt;0,100*174388/383201,"")</f>
        <v>45.50823197225477</v>
      </c>
      <c r="K79" s="1">
        <f>IF(571127&gt;0,100*169208/571127,"")</f>
        <v>29.627035668073827</v>
      </c>
      <c r="L79" s="1">
        <f>IF(COUNT(J79:K79)=2,K79-J79,"")</f>
        <v>-15.881196304180943</v>
      </c>
      <c r="O79" s="1">
        <v>5</v>
      </c>
      <c r="P79" s="1">
        <v>4</v>
      </c>
      <c r="Q79" s="1">
        <f>IF(322593&gt;0,100*116626/322593,"")</f>
        <v>36.152675352534</v>
      </c>
      <c r="R79" s="1">
        <f>IF(567214&gt;0,100*162304/567214,"")</f>
        <v>28.614244359271808</v>
      </c>
      <c r="S79" s="1">
        <f>IF(COUNT(Q79:R79)=2,R79-Q79,"")</f>
        <v>-7.538430993262189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IF(667086&gt;0,100*188868/667086,"")</f>
        <v>28.312391505742887</v>
      </c>
      <c r="E80" s="1">
        <f>IF(COUNT(C80:D80)=2,D80-C80,"")</f>
        <v>-10.540480397206942</v>
      </c>
      <c r="H80" s="1">
        <v>6</v>
      </c>
      <c r="I80" s="1">
        <v>5</v>
      </c>
      <c r="J80" s="1">
        <f>IF(417286&gt;0,100*124193/417286,"")</f>
        <v>29.76208164184756</v>
      </c>
      <c r="K80" s="1">
        <f>IF(443975&gt;0,100*122010/443975,"")</f>
        <v>27.481277098935752</v>
      </c>
      <c r="L80" s="1">
        <f>IF(COUNT(J80:K80)=2,K80-J80,"")</f>
        <v>-2.280804542911806</v>
      </c>
      <c r="O80" s="1">
        <v>6</v>
      </c>
      <c r="P80" s="1">
        <v>5</v>
      </c>
      <c r="Q80" s="1">
        <f>IF(460762&gt;0,100*159245/460762,"")</f>
        <v>34.56122683728259</v>
      </c>
      <c r="R80" s="1">
        <f>IF(587750&gt;0,100*61989/587750,"")</f>
        <v>10.546831135686942</v>
      </c>
      <c r="S80" s="1">
        <f>IF(COUNT(Q80:R80)=2,R80-Q80,"")</f>
        <v>-24.014395701595646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IF(602602&gt;0,100*190177/602602,"")</f>
        <v>31.55930448289252</v>
      </c>
      <c r="E81" s="1">
        <f>IF(COUNT(C81:D81)=2,D81-C81,"")</f>
        <v>-20.262607737368626</v>
      </c>
      <c r="H81" s="1">
        <v>7</v>
      </c>
      <c r="I81" s="1">
        <v>6</v>
      </c>
      <c r="J81" s="1">
        <f>IF(667678&gt;0,100*4575/667678,"")</f>
        <v>0.6852105356174683</v>
      </c>
      <c r="K81" s="1">
        <f>IF(814410&gt;0,100*5224/814410,"")</f>
        <v>0.6414459547402414</v>
      </c>
      <c r="L81" s="1">
        <f>IF(COUNT(J81:K81)=2,K81-J81,"")</f>
        <v>-0.0437645808772269</v>
      </c>
      <c r="O81" s="1">
        <v>7</v>
      </c>
      <c r="P81" s="1">
        <v>6</v>
      </c>
      <c r="Q81" s="1">
        <f>IF(457006&gt;0,100*8837/457006,"")</f>
        <v>1.9336726432475722</v>
      </c>
      <c r="R81" s="1">
        <f>IF(509775&gt;0,100*22487/509775,"")</f>
        <v>4.41116178706292</v>
      </c>
      <c r="S81" s="1">
        <f>IF(COUNT(Q81:R81)=2,R81-Q81,"")</f>
        <v>2.4774891438153475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IF(505621&gt;0,100*178726/505621,"")</f>
        <v>35.34781980969936</v>
      </c>
      <c r="E82" s="1">
        <f>IF(COUNT(C82:D82)=2,D82-C82,"")</f>
        <v>-12.042631428873499</v>
      </c>
      <c r="H82" s="1">
        <v>8</v>
      </c>
      <c r="I82" s="1">
        <v>7</v>
      </c>
      <c r="J82" s="1">
        <f>IF(581531&gt;0,100*7536/581531,"")</f>
        <v>1.2958896430284885</v>
      </c>
      <c r="K82" s="1">
        <f>IF(508042&gt;0,100*6417/508042,"")</f>
        <v>1.2630845481279107</v>
      </c>
      <c r="L82" s="1">
        <f>IF(COUNT(J82:K82)=2,K82-J82,"")</f>
        <v>-0.032805094900577814</v>
      </c>
      <c r="O82" s="1">
        <v>8</v>
      </c>
      <c r="P82" s="1">
        <v>7</v>
      </c>
      <c r="Q82" s="1">
        <f>IF(579694&gt;0,100*5105/579694,"")</f>
        <v>0.8806370257411669</v>
      </c>
      <c r="R82" s="1">
        <f>IF(589000&gt;0,100*13197/589000,"")</f>
        <v>2.240577249575552</v>
      </c>
      <c r="S82" s="1">
        <f>IF(COUNT(Q82:R82)=2,R82-Q82,"")</f>
        <v>1.359940223834385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IF(399188&gt;0,100*158760/399188,"")</f>
        <v>39.770734591220176</v>
      </c>
      <c r="E83" s="1">
        <f>IF(COUNT(C83:D83)=2,D83-C83,"")</f>
        <v>-7.257580718967645</v>
      </c>
      <c r="H83" s="1">
        <v>9</v>
      </c>
      <c r="I83" s="1">
        <v>8</v>
      </c>
      <c r="J83" s="1">
        <f>IF(408350&gt;0,100*224416/408350,"")</f>
        <v>54.95677727439696</v>
      </c>
      <c r="K83" s="1">
        <f>IF(762085&gt;0,100*231862/762085,"")</f>
        <v>30.424690159234206</v>
      </c>
      <c r="L83" s="1">
        <f>IF(COUNT(J83:K83)=2,K83-J83,"")</f>
        <v>-24.532087115162756</v>
      </c>
      <c r="O83" s="1">
        <v>9</v>
      </c>
      <c r="P83" s="1">
        <v>8</v>
      </c>
      <c r="Q83" s="1">
        <f>IF(401424&gt;0,100*207750/401424,"")</f>
        <v>51.75325840009566</v>
      </c>
      <c r="R83" s="1">
        <f>IF(491813&gt;0,100*177251/491813,"")</f>
        <v>36.04032426959027</v>
      </c>
      <c r="S83" s="1">
        <f>IF(COUNT(Q83:R83)=2,R83-Q83,"")</f>
        <v>-15.712934130505388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IF(938027&gt;0,100*128645/938027,"")</f>
        <v>13.714423998456335</v>
      </c>
      <c r="L84" s="1">
        <f>IF(COUNT(J84:K84)=2,K84-J84,"")</f>
        <v>-39.67464827689901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IF(808653&gt;0,100*12911/808653,"")</f>
        <v>1.596605713451876</v>
      </c>
      <c r="S84" s="1">
        <f>IF(COUNT(Q84:R84)=2,R84-Q84,"")</f>
        <v>-13.800402530001028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IF(800962&gt;0,100*264754/800962,"")</f>
        <v>33.05450196139142</v>
      </c>
      <c r="E85" s="1">
        <f>IF(COUNT(C85:D85)=2,D85-C85,"")</f>
        <v>-21.65554560751086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IF(673461&gt;0,100*31936/673461,"")</f>
        <v>4.7420711815532</v>
      </c>
      <c r="L85" s="1">
        <f>IF(COUNT(J85:K85)=2,K85-J85,"")</f>
        <v>-55.04175939743973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IF(699274&gt;0,100*11107/699274,"")</f>
        <v>1.5883616436475545</v>
      </c>
      <c r="S85" s="1">
        <f>IF(COUNT(Q85:R85)=2,R85-Q85,"")</f>
        <v>-49.67063500982657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IF(449289&gt;0,100*178539/449289,"")</f>
        <v>39.73811956224168</v>
      </c>
      <c r="E86" s="1">
        <f>IF(COUNT(C86:D86)=2,D86-C86,"")</f>
        <v>-5.518073879349494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IF(786964&gt;0,100*215654/786964,"")</f>
        <v>27.403286554404012</v>
      </c>
      <c r="L86" s="1">
        <f>IF(COUNT(J86:K86)=2,K86-J86,"")</f>
        <v>-28.39164779196208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IF(843005&gt;0,100*50270/843005,"")</f>
        <v>5.963191202899153</v>
      </c>
      <c r="S86" s="1">
        <f>IF(COUNT(Q86:R86)=2,R86-Q86,"")</f>
        <v>-47.65502275941381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IF(589532&gt;0,100*112418/589532,"")</f>
        <v>19.06902424295882</v>
      </c>
      <c r="E87" s="1">
        <f>IF(COUNT(C87:D87)=2,D87-C87,"")</f>
        <v>-5.234021335482819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IF(700422&gt;0,100*74532/700422,"")</f>
        <v>10.641013560396447</v>
      </c>
      <c r="L87" s="1">
        <f>IF(COUNT(J87:K87)=2,K87-J87,"")</f>
        <v>-34.42463601902544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IF(795009&gt;0,100*125051/795009,"")</f>
        <v>15.729507464695368</v>
      </c>
      <c r="E88" s="1">
        <f>IF(COUNT(C88:D88)=2,D88-C88,"")</f>
        <v>2.785095039999449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IF(414316&gt;0,100*65376/414316,"")</f>
        <v>15.77926027476612</v>
      </c>
      <c r="L88" s="1">
        <f>IF(COUNT(J88:K88)=2,K88-J88,"")</f>
        <v>-8.029019369815405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IF(431457&gt;0,100*15666/431457,"")</f>
        <v>3.6309527948323934</v>
      </c>
      <c r="S88" s="1">
        <f>IF(COUNT(Q88:R88)=2,R88-Q88,"")</f>
        <v>-2.440408805098924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IF(576753&gt;0,100*228297/576753,"")</f>
        <v>39.58314911235832</v>
      </c>
      <c r="E89" s="1">
        <f>IF(COUNT(C89:D89)=2,D89-C89,"")</f>
        <v>-11.43209481668368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IF(632964&gt;0,100*145394/632964,"")</f>
        <v>22.97034270511435</v>
      </c>
      <c r="L89" s="1">
        <f>IF(COUNT(J89:K89)=2,K89-J89,"")</f>
        <v>6.364860265403706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IF(810917&gt;0,100*71812/810917,"")</f>
        <v>8.855653537908319</v>
      </c>
      <c r="S89" s="1">
        <f>IF(COUNT(Q89:R89)=2,R89-Q89,"")</f>
        <v>-11.697482071999508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IF(524839&gt;0,100*219699/524839,"")</f>
        <v>41.86026571958258</v>
      </c>
      <c r="E90" s="1">
        <f>IF(COUNT(C90:D90)=2,D90-C90,"")</f>
        <v>-0.2346335791475198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IF(783776&gt;0,100*102812/783776,"")</f>
        <v>13.117523374025232</v>
      </c>
      <c r="L90" s="1">
        <f>IF(COUNT(J90:K90)=2,K90-J90,"")</f>
        <v>-38.91063630221076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IF(1004088&gt;0,100*266487/1004088,"")</f>
        <v>26.540203647489065</v>
      </c>
      <c r="S90" s="1">
        <f>IF(COUNT(Q90:R90)=2,R90-Q90,"")</f>
        <v>-31.04576607834351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IF(444521&gt;0,100*24992/444521,"")</f>
        <v>5.622231570611962</v>
      </c>
      <c r="E91" s="1">
        <f>IF(COUNT(C91:D91)=2,D91-C91,"")</f>
        <v>0.926697169050561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IF(843977&gt;0,100*275019/843977,"")</f>
        <v>32.58607758268294</v>
      </c>
      <c r="S91" s="1">
        <f>IF(COUNT(Q91:R91)=2,R91-Q91,"")</f>
        <v>-8.545937367941278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IF(511061&gt;0,100*80786/511061,"")</f>
        <v>15.807506344643791</v>
      </c>
      <c r="E92" s="1">
        <f>IF(COUNT(C92:D92)=2,D92-C92,"")</f>
        <v>-2.206416703075867</v>
      </c>
      <c r="H92" s="1">
        <v>18</v>
      </c>
      <c r="I92" s="1">
        <v>17</v>
      </c>
      <c r="J92" s="4"/>
      <c r="K92" s="1">
        <f>IF(594344&gt;0,100*54423/594344,"")</f>
        <v>9.156818273592398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IF(1116087&gt;0,100*191879/1116087,"")</f>
        <v>17.19211853556219</v>
      </c>
      <c r="S92" s="1">
        <f>IF(COUNT(Q92:R92)=2,R92-Q92,"")</f>
        <v>-34.32220904652026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IF(409365&gt;0,100*163781/409365,"")</f>
        <v>40.00854982717135</v>
      </c>
      <c r="E93" s="1">
        <f>IF(COUNT(C93:D93)=2,D93-C93,"")</f>
        <v>-11.511599152098817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IF(711633&gt;0,100*40048/711633,"")</f>
        <v>5.627619854616073</v>
      </c>
      <c r="L93" s="1">
        <f>IF(COUNT(J93:K93)=2,K93-J93,"")</f>
        <v>-10.115348700930264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IF(923167&gt;0,100*132803/923167,"")</f>
        <v>14.385587873050055</v>
      </c>
      <c r="S93" s="1">
        <f>IF(COUNT(Q93:R93)=2,R93-Q93,"")</f>
        <v>-34.72290132765014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IF(490512&gt;0,100*131480/490512,"")</f>
        <v>26.804644942427505</v>
      </c>
      <c r="E94" s="1">
        <f>IF(COUNT(C94:D94)=2,D94-C94,"")</f>
        <v>-18.76068473233644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IF(511583&gt;0,100*81012/511583,"")</f>
        <v>15.835553566088006</v>
      </c>
      <c r="L94" s="1">
        <f>IF(COUNT(J94:K94)=2,K94-J94,"")</f>
        <v>-5.770782809754561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IF(875032&gt;0,100*195320/875032,"")</f>
        <v>22.321469386262446</v>
      </c>
      <c r="S94" s="1">
        <f>IF(COUNT(Q94:R94)=2,R94-Q94,"")</f>
        <v>-27.860406542248402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IF(505309&gt;0,100*96664/505309,"")</f>
        <v>19.129681046646706</v>
      </c>
      <c r="E95" s="1">
        <f>IF(COUNT(C95:D95)=2,D95-C95,"")</f>
        <v>-29.81984574715589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IF(799470&gt;0,100*164008/799470,"")</f>
        <v>20.51459091648217</v>
      </c>
      <c r="L95" s="1">
        <f>IF(COUNT(J95:K95)=2,K95-J95,"")</f>
        <v>-35.78030104016248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IF(937663&gt;0,100*236516/937663,"")</f>
        <v>25.223987722667953</v>
      </c>
      <c r="S95" s="1">
        <f>IF(COUNT(Q95:R95)=2,R95-Q95,"")</f>
        <v>-29.481713777007517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IF(418878&gt;0,100*139612/418878,"")</f>
        <v>33.32999107138594</v>
      </c>
      <c r="E96" s="1">
        <f>IF(COUNT(C96:D96)=2,D96-C96,"")</f>
        <v>-3.2512450901746703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IF(491656&gt;0,100*174384/491656,"")</f>
        <v>35.46870169386726</v>
      </c>
      <c r="L96" s="1">
        <f>IF(COUNT(J96:K96)=2,K96-J96,"")</f>
        <v>-14.412332260522774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IF(255445&gt;0,100*86173/255445,"")</f>
        <v>33.73446338742195</v>
      </c>
      <c r="S96" s="1">
        <f>IF(COUNT(Q96:R96)=2,R96-Q96,"")</f>
        <v>-7.32233458324604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IF(1204421&gt;0,100*359946/1204421,"")</f>
        <v>29.885397215757614</v>
      </c>
      <c r="L97" s="1">
        <f>IF(COUNT(J97:K97)=2,K97-J97,"")</f>
        <v>-24.405371730924223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IF(919917&gt;0,100*204304/919917,"")</f>
        <v>22.208960156188002</v>
      </c>
      <c r="S97" s="1">
        <f>IF(COUNT(Q97:R97)=2,R97-Q97,"")</f>
        <v>-21.274342115812768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IF(666988&gt;0,100*6970/666988,"")</f>
        <v>1.0449963117777232</v>
      </c>
      <c r="E98" s="1">
        <f>IF(COUNT(C98:D98)=2,D98-C98,"")</f>
        <v>-39.466751417123824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IF(852680&gt;0,100*64350/852680,"")</f>
        <v>7.546793638879767</v>
      </c>
      <c r="L98" s="1">
        <f>IF(COUNT(J98:K98)=2,K98-J98,"")</f>
        <v>-39.832802520360254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IF(1057154&gt;0,100*226118/1057154,"")</f>
        <v>21.389315085597747</v>
      </c>
      <c r="S98" s="1">
        <f>IF(COUNT(Q98:R98)=2,R98-Q98,"")</f>
        <v>-4.891454929829763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IF(475704&gt;0,100*158402/475704,"")</f>
        <v>33.29843768393791</v>
      </c>
      <c r="E99" s="1">
        <f>IF(COUNT(C99:D99)=2,D99-C99,"")</f>
        <v>-11.391900043741408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IF(625816&gt;0,100*122307/625816,"")</f>
        <v>19.543603870786303</v>
      </c>
      <c r="L99" s="1">
        <f>IF(COUNT(J99:K99)=2,K99-J99,"")</f>
        <v>-31.728547776932448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IF(472906&gt;0,100*66521/472906,"")</f>
        <v>14.066431806743834</v>
      </c>
      <c r="S99" s="1">
        <f>IF(COUNT(Q99:R99)=2,R99-Q99,"")</f>
        <v>-28.50163929098555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IF(565154&gt;0,100*205047/565154,"")</f>
        <v>36.281615276544095</v>
      </c>
      <c r="E100" s="1">
        <f>IF(COUNT(C100:D100)=2,D100-C100,"")</f>
        <v>-14.910838124301193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IF(593756&gt;0,100*78016/593756,"")</f>
        <v>13.13940406496945</v>
      </c>
      <c r="L100" s="1">
        <f>IF(COUNT(J100:K100)=2,K100-J100,"")</f>
        <v>7.0632281045339536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IF(848282&gt;0,100*166566/848282,"")</f>
        <v>19.635687188930095</v>
      </c>
      <c r="S100" s="1">
        <f>IF(COUNT(Q100:R100)=2,R100-Q100,"")</f>
        <v>-39.952277098150475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IF(540381&gt;0,100*204973/540381,"")</f>
        <v>37.93120039379623</v>
      </c>
      <c r="E101" s="1">
        <f>IF(COUNT(C101:D101)=2,D101-C101,"")</f>
        <v>-19.883689928704335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IF(584443&gt;0,100*169087/584443,"")</f>
        <v>28.9313072446757</v>
      </c>
      <c r="L101" s="1">
        <f>IF(COUNT(J101:K101)=2,K101-J101,"")</f>
        <v>9.101246511227263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IF(784039&gt;0,100*155392/784039,"")</f>
        <v>19.819422248127964</v>
      </c>
      <c r="S101" s="1">
        <f>IF(COUNT(Q101:R101)=2,R101-Q101,"")</f>
        <v>1.3695080967994073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IF(518404&gt;0,100*155494/518404,"")</f>
        <v>29.994753126904886</v>
      </c>
      <c r="L102" s="1">
        <f>IF(COUNT(J102:K102)=2,K102-J102,"")</f>
        <v>-4.652954524886415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IF(228566&gt;0,100*43974/228566,"")</f>
        <v>19.239081928195795</v>
      </c>
      <c r="S102" s="1">
        <f>IF(COUNT(Q102:R102)=2,R102-Q102,"")</f>
        <v>-9.355096825234234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IF(557034&gt;0,100*203473/557034,"")</f>
        <v>36.52793186771364</v>
      </c>
      <c r="E103" s="1">
        <f>IF(COUNT(C103:D103)=2,D103-C103,"")</f>
        <v>-19.620213514877037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IF(753826&gt;0,100*285452/753826,"")</f>
        <v>37.867093997819126</v>
      </c>
      <c r="L103" s="1">
        <f>IF(COUNT(J103:K103)=2,K103-J103,"")</f>
        <v>-18.312678647900803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IF(802723&gt;0,100*202893/802723,"")</f>
        <v>25.275593199646703</v>
      </c>
      <c r="S103" s="1">
        <f>IF(COUNT(Q103:R103)=2,R103-Q103,"")</f>
        <v>-25.890898445970134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IF(865043&gt;0,100*310305/865043,"")</f>
        <v>35.871627190787045</v>
      </c>
      <c r="E104" s="1">
        <f>IF(COUNT(C104:D104)=2,D104-C104,"")</f>
        <v>-16.636205289111352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IF(530225&gt;0,100*106116/530225,"")</f>
        <v>20.013390541751143</v>
      </c>
      <c r="L104" s="1">
        <f>IF(COUNT(J104:K104)=2,K104-J104,"")</f>
        <v>-8.097782925933224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IF(514258&gt;0,100*7400/514258,"")</f>
        <v>1.438966433191122</v>
      </c>
      <c r="S104" s="1">
        <f>IF(COUNT(Q104:R104)=2,R104-Q104,"")</f>
        <v>0.03587139927828198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IF(605072&gt;0,100*15828/605072,"")</f>
        <v>2.61588703493138</v>
      </c>
      <c r="E105" s="1">
        <f>IF(COUNT(C105:D105)=2,D105-C105,"")</f>
        <v>-19.85181897843165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IF(697541&gt;0,100*36758/697541,"")</f>
        <v>5.26965440024314</v>
      </c>
      <c r="L105" s="1">
        <f>IF(COUNT(J105:K105)=2,K105-J105,"")</f>
        <v>-12.073945596780057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IF(390250&gt;0,100*96261/390250,"")</f>
        <v>24.66649583600256</v>
      </c>
      <c r="S105" s="1">
        <f>IF(COUNT(Q105:R105)=2,R105-Q105,"")</f>
        <v>-14.826662136176587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24.544086888062925</v>
      </c>
      <c r="E106" s="1">
        <f>IF(COUNT(E75:E105)&gt;0,AVERAGE(E75:E105),"")</f>
        <v>-12.229639895279512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18.24252008506497</v>
      </c>
      <c r="L106" s="1">
        <f>IF(COUNT(L75:L105)&gt;0,AVERAGE(L75:L105),"")</f>
        <v>-17.81804278393351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17.059839269866963</v>
      </c>
      <c r="S106" s="1">
        <f>IF(COUNT(S75:S105)&gt;0,AVERAGE(S75:S105),"")</f>
        <v>-18.122498469147235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IF(328353&gt;0,100*25362/328353,"")</f>
        <v>7.724004348978082</v>
      </c>
      <c r="E3" s="1">
        <f>IF(COUNT(C3:D3)=2,D3-C3,"")</f>
        <v>-7.9149681967362335</v>
      </c>
      <c r="H3" s="1">
        <v>1</v>
      </c>
      <c r="I3" s="1">
        <v>0</v>
      </c>
      <c r="J3" s="1">
        <f>IF(215009&gt;0,100*58251/215009,"")</f>
        <v>27.09235427354204</v>
      </c>
      <c r="K3" s="1">
        <f>IF(349624&gt;0,100*77245/349624,"")</f>
        <v>22.093734983868384</v>
      </c>
      <c r="L3" s="1">
        <f>IF(COUNT(J3:K3)=2,K3-J3,"")</f>
        <v>-4.998619289673655</v>
      </c>
      <c r="O3" s="1">
        <v>1</v>
      </c>
      <c r="P3" s="1">
        <v>0</v>
      </c>
      <c r="Q3" s="1">
        <f>IF(558995&gt;0,100*195788/558995,"")</f>
        <v>35.0250002236156</v>
      </c>
      <c r="R3" s="1">
        <f>IF(379601&gt;0,100*61236/379601,"")</f>
        <v>16.13167510096127</v>
      </c>
      <c r="S3" s="1">
        <f>IF(COUNT(Q3:R3)=2,R3-Q3,"")</f>
        <v>-18.89332512265433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IF(114547&gt;0,100*41555/114547,"")</f>
        <v>36.277685142343316</v>
      </c>
      <c r="E4" s="1">
        <f>IF(COUNT(C4:D4)=2,D4-C4,"")</f>
        <v>-11.537881209947813</v>
      </c>
      <c r="H4" s="1">
        <v>2</v>
      </c>
      <c r="I4" s="1">
        <v>1</v>
      </c>
      <c r="J4" s="1">
        <f>IF(296332&gt;0,100*64971/296332,"")</f>
        <v>21.925070529001257</v>
      </c>
      <c r="K4" s="1">
        <f>IF(313097&gt;0,100*65678/313097,"")</f>
        <v>20.97688575744897</v>
      </c>
      <c r="L4" s="1">
        <f>IF(COUNT(J4:K4)=2,K4-J4,"")</f>
        <v>-0.9481847715522882</v>
      </c>
      <c r="O4" s="1">
        <v>2</v>
      </c>
      <c r="P4" s="1">
        <v>1</v>
      </c>
      <c r="Q4" s="1">
        <f>IF(348213&gt;0,100*131600/348213,"")</f>
        <v>37.792960056057645</v>
      </c>
      <c r="R4" s="1">
        <f>IF(293693&gt;0,100*77432/293693,"")</f>
        <v>26.364945708614098</v>
      </c>
      <c r="S4" s="1">
        <f>IF(COUNT(Q4:R4)=2,R4-Q4,"")</f>
        <v>-11.428014347443547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IF(410618&gt;0,100*137976/410618,"")</f>
        <v>33.602034007276835</v>
      </c>
      <c r="E5" s="1">
        <f>IF(COUNT(C5:D5)=2,D5-C5,"")</f>
        <v>-8.617738925687313</v>
      </c>
      <c r="H5" s="1">
        <v>3</v>
      </c>
      <c r="I5" s="1">
        <v>2</v>
      </c>
      <c r="J5" s="1">
        <f>IF(328831&gt;0,100*62705/328831,"")</f>
        <v>19.069065872743142</v>
      </c>
      <c r="K5" s="1">
        <f>IF(523930&gt;0,100*74665/523930,"")</f>
        <v>14.250949554329777</v>
      </c>
      <c r="L5" s="1">
        <f>IF(COUNT(J5:K5)=2,K5-J5,"")</f>
        <v>-4.818116318413365</v>
      </c>
      <c r="O5" s="1">
        <v>3</v>
      </c>
      <c r="P5" s="1">
        <v>2</v>
      </c>
      <c r="Q5" s="1">
        <f>IF(499604&gt;0,100*190955/499604,"")</f>
        <v>38.221271246827484</v>
      </c>
      <c r="R5" s="1">
        <f>IF(327034&gt;0,100*50200/327034,"")</f>
        <v>15.350085923787741</v>
      </c>
      <c r="S5" s="1">
        <f>IF(COUNT(Q5:R5)=2,R5-Q5,"")</f>
        <v>-22.871185323039743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IF(583054&gt;0,100*194498/583054,"")</f>
        <v>33.35848823608105</v>
      </c>
      <c r="E6" s="1">
        <f>IF(COUNT(C6:D6)=2,D6-C6,"")</f>
        <v>-5.367438887426928</v>
      </c>
      <c r="H6" s="1">
        <v>4</v>
      </c>
      <c r="I6" s="1">
        <v>3</v>
      </c>
      <c r="J6" s="1">
        <f>IF(464767&gt;0,100*69099/464767,"")</f>
        <v>14.867449711360747</v>
      </c>
      <c r="K6" s="1">
        <f>IF(411325&gt;0,100*17564/411325,"")</f>
        <v>4.270102716829758</v>
      </c>
      <c r="L6" s="1">
        <f>IF(COUNT(J6:K6)=2,K6-J6,"")</f>
        <v>-10.597346994530989</v>
      </c>
      <c r="O6" s="1">
        <v>4</v>
      </c>
      <c r="P6" s="1">
        <v>3</v>
      </c>
      <c r="Q6" s="1">
        <f>IF(332328&gt;0,100*11557/332328,"")</f>
        <v>3.477588406634409</v>
      </c>
      <c r="R6" s="1">
        <f>IF(308331&gt;0,100*32274/308331,"")</f>
        <v>10.467322455413177</v>
      </c>
      <c r="S6" s="1">
        <f>IF(COUNT(Q6:R6)=2,R6-Q6,"")</f>
        <v>6.989734048778768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IF(406650&gt;0,100*57055/406650,"")</f>
        <v>14.030493052993975</v>
      </c>
      <c r="E7" s="1">
        <f>IF(COUNT(C7:D7)=2,D7-C7,"")</f>
        <v>-21.02542847588977</v>
      </c>
      <c r="H7" s="1">
        <v>5</v>
      </c>
      <c r="I7" s="1">
        <v>4</v>
      </c>
      <c r="J7" s="1">
        <f>IF(411240&gt;0,100*106457/411240,"")</f>
        <v>25.88683007489544</v>
      </c>
      <c r="K7" s="1">
        <f>IF(311908&gt;0,100*74919/311908,"")</f>
        <v>24.019582697462074</v>
      </c>
      <c r="L7" s="1">
        <f>IF(COUNT(J7:K7)=2,K7-J7,"")</f>
        <v>-1.8672473774333653</v>
      </c>
      <c r="O7" s="1">
        <v>5</v>
      </c>
      <c r="P7" s="1">
        <v>4</v>
      </c>
      <c r="Q7" s="1">
        <f>IF(258766&gt;0,100*96546/258766,"")</f>
        <v>37.3101566666409</v>
      </c>
      <c r="R7" s="1">
        <f>IF(408168&gt;0,100*127164/408168,"")</f>
        <v>31.154818604104193</v>
      </c>
      <c r="S7" s="1">
        <f>IF(COUNT(Q7:R7)=2,R7-Q7,"")</f>
        <v>-6.155338062536707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IF(513392&gt;0,100*112919/513392,"")</f>
        <v>21.994694112880605</v>
      </c>
      <c r="E8" s="1">
        <f>IF(COUNT(C8:D8)=2,D8-C8,"")</f>
        <v>-1.4956864372361736</v>
      </c>
      <c r="H8" s="1">
        <v>6</v>
      </c>
      <c r="I8" s="1">
        <v>5</v>
      </c>
      <c r="J8" s="1">
        <f>IF(324059&gt;0,100*91696/324059,"")</f>
        <v>28.29608188632317</v>
      </c>
      <c r="K8" s="1">
        <f>IF(278389&gt;0,100*49660/278389,"")</f>
        <v>17.83834849796508</v>
      </c>
      <c r="L8" s="1">
        <f>IF(COUNT(J8:K8)=2,K8-J8,"")</f>
        <v>-10.45773338835809</v>
      </c>
      <c r="O8" s="1">
        <v>6</v>
      </c>
      <c r="P8" s="1">
        <v>5</v>
      </c>
      <c r="Q8" s="1">
        <f>IF(371148&gt;0,100*77908/371148,"")</f>
        <v>20.9910871134965</v>
      </c>
      <c r="R8" s="1">
        <f>IF(319134&gt;0,100*73763/319134,"")</f>
        <v>23.113488377922753</v>
      </c>
      <c r="S8" s="1">
        <f>IF(COUNT(Q8:R8)=2,R8-Q8,"")</f>
        <v>2.1224012644262515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IF(481223&gt;0,100*151343/481223,"")</f>
        <v>31.449660552384238</v>
      </c>
      <c r="E9" s="1">
        <f>IF(COUNT(C9:D9)=2,D9-C9,"")</f>
        <v>-13.0153233231677</v>
      </c>
      <c r="H9" s="1">
        <v>7</v>
      </c>
      <c r="I9" s="1">
        <v>6</v>
      </c>
      <c r="J9" s="1">
        <f>IF(325191&gt;0,100*2956/325191,"")</f>
        <v>0.9090042467349957</v>
      </c>
      <c r="K9" s="1">
        <f>IF(360674&gt;0,100*18846/360674,"")</f>
        <v>5.22521723218197</v>
      </c>
      <c r="L9" s="1">
        <f>IF(COUNT(J9:K9)=2,K9-J9,"")</f>
        <v>4.316212985446975</v>
      </c>
      <c r="O9" s="1">
        <v>7</v>
      </c>
      <c r="P9" s="1">
        <v>6</v>
      </c>
      <c r="Q9" s="1">
        <f>IF(434887&gt;0,100*93317/434887,"")</f>
        <v>21.457757992306046</v>
      </c>
      <c r="R9" s="1">
        <f>IF(274383&gt;0,100*19122/274383,"")</f>
        <v>6.969090650659844</v>
      </c>
      <c r="S9" s="1">
        <f>IF(COUNT(Q9:R9)=2,R9-Q9,"")</f>
        <v>-14.488667341646202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IF(306682&gt;0,100*91624/306682,"")</f>
        <v>29.875897509472352</v>
      </c>
      <c r="E10" s="1">
        <f>IF(COUNT(C10:D10)=2,D10-C10,"")</f>
        <v>-15.652220760521331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IF(319946&gt;0,100*14260/319946,"")</f>
        <v>4.4570021191075995</v>
      </c>
      <c r="L10" s="1">
        <f>IF(COUNT(J10:K10)=2,K10-J10,"")</f>
        <v>4.144235179554652</v>
      </c>
      <c r="O10" s="1">
        <v>8</v>
      </c>
      <c r="P10" s="1">
        <v>7</v>
      </c>
      <c r="Q10" s="1">
        <f>IF(275738&gt;0,100*1113/275738,"")</f>
        <v>0.4036440389064982</v>
      </c>
      <c r="R10" s="1">
        <f>IF(317650&gt;0,100*13332/317650,"")</f>
        <v>4.197072249331025</v>
      </c>
      <c r="S10" s="1">
        <f>IF(COUNT(Q10:R10)=2,R10-Q10,"")</f>
        <v>3.7934282104245263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IF(73966&gt;0,100*24223/73966,"")</f>
        <v>32.748830543763354</v>
      </c>
      <c r="E11" s="1">
        <f>IF(COUNT(C11:D11)=2,D11-C11,"")</f>
        <v>-13.799999210057138</v>
      </c>
      <c r="H11" s="1">
        <v>9</v>
      </c>
      <c r="I11" s="1">
        <v>8</v>
      </c>
      <c r="J11" s="1">
        <f>IF(422295&gt;0,100*144131/422295,"")</f>
        <v>34.13040646941119</v>
      </c>
      <c r="K11" s="1">
        <f>IF(501276&gt;0,100*168378/501276,"")</f>
        <v>33.58987862973691</v>
      </c>
      <c r="L11" s="1">
        <f>IF(COUNT(J11:K11)=2,K11-J11,"")</f>
        <v>-0.540527839674283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IF(108085&gt;0,100*8040/108085,"")</f>
        <v>7.438589998612203</v>
      </c>
      <c r="S11" s="1">
        <f>IF(COUNT(Q11:R11)=2,R11-Q11,"")</f>
        <v>-31.066203343596563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IF(344858&gt;0,100*3297/344858,"")</f>
        <v>0.9560456767713088</v>
      </c>
      <c r="E12" s="1">
        <f>IF(COUNT(C12:D12)=2,D12-C12,"")</f>
        <v>-29.96654220538752</v>
      </c>
      <c r="H12" s="1">
        <v>10</v>
      </c>
      <c r="I12" s="1">
        <v>9</v>
      </c>
      <c r="J12" s="1">
        <f>IF(426052&gt;0,100*71311/426052,"")</f>
        <v>16.737628270727516</v>
      </c>
      <c r="K12" s="1">
        <f>IF(533523&gt;0,100*95210/533523,"")</f>
        <v>17.8455286838618</v>
      </c>
      <c r="L12" s="1">
        <f>IF(COUNT(J12:K12)=2,K12-J12,"")</f>
        <v>1.107900413134285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IF(441283&gt;0,100*122996/441283,"")</f>
        <v>27.872363086726658</v>
      </c>
      <c r="S12" s="1">
        <f>IF(COUNT(Q12:R12)=2,R12-Q12,"")</f>
        <v>9.718857737694428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IF(395612&gt;0,100*131346/395612,"")</f>
        <v>33.20071180853968</v>
      </c>
      <c r="E13" s="1">
        <f>IF(COUNT(C13:D13)=2,D13-C13,"")</f>
        <v>0.7475129221856349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IF(555693&gt;0,100*53708/555693,"")</f>
        <v>9.665048866910327</v>
      </c>
      <c r="L13" s="1">
        <f>IF(COUNT(J13:K13)=2,K13-J13,"")</f>
        <v>4.468315112216891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IF(564297&gt;0,100*78343/564297,"")</f>
        <v>13.883291954414076</v>
      </c>
      <c r="S13" s="1">
        <f>IF(COUNT(Q13:R13)=2,R13-Q13,"")</f>
        <v>13.156315765686266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IF(169450&gt;0,100*44516/169450,"")</f>
        <v>26.270876364709355</v>
      </c>
      <c r="E14" s="1">
        <f>IF(COUNT(C14:D14)=2,D14-C14,"")</f>
        <v>-17.70285467016925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IF(463071&gt;0,100*30916/463071,"")</f>
        <v>6.676298019094264</v>
      </c>
      <c r="L14" s="1">
        <f>IF(COUNT(J14:K14)=2,K14-J14,"")</f>
        <v>2.6207670398858536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IF(400980&gt;0,100*18472/400980,"")</f>
        <v>4.606713551798094</v>
      </c>
      <c r="S14" s="1">
        <f>IF(COUNT(Q14:R14)=2,R14-Q14,"")</f>
        <v>-33.63913734130879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IF(407831&gt;0,100*9410/407831,"")</f>
        <v>2.3073282805868116</v>
      </c>
      <c r="E15" s="1">
        <f>IF(COUNT(C15:D15)=2,D15-C15,"")</f>
        <v>-29.72998591805437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IF(474893&gt;0,100*97218/474893,"")</f>
        <v>20.471558856416078</v>
      </c>
      <c r="L15" s="1">
        <f>IF(COUNT(J15:K15)=2,K15-J15,"")</f>
        <v>-21.785511521635183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IF(407990&gt;0,100*36295/407990,"")</f>
        <v>8.89605137380818</v>
      </c>
      <c r="S15" s="1">
        <f>IF(COUNT(Q15:R15)=2,R15-Q15,"")</f>
        <v>1.1167853286289446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IF(325454&gt;0,100*30639/325454,"")</f>
        <v>9.414233655140205</v>
      </c>
      <c r="E16" s="1">
        <f>IF(COUNT(C16:D16)=2,D16-C16,"")</f>
        <v>-7.132221652146228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IF(293314&gt;0,100*54375/293314,"")</f>
        <v>18.53815365103609</v>
      </c>
      <c r="L16" s="1">
        <f>IF(COUNT(J16:K16)=2,K16-J16,"")</f>
        <v>1.585027473159812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IF(245452&gt;0,100*14247/245452,"")</f>
        <v>5.804393527043985</v>
      </c>
      <c r="S16" s="1">
        <f>IF(COUNT(Q16:R16)=2,R16-Q16,"")</f>
        <v>4.333929273446862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IF(377480&gt;0,100*123029/377480,"")</f>
        <v>32.592190314718664</v>
      </c>
      <c r="E17" s="1">
        <f>IF(COUNT(C17:D17)=2,D17-C17,"")</f>
        <v>-9.399161999014304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IF(563384&gt;0,100*172173/563384,"")</f>
        <v>30.560505800661716</v>
      </c>
      <c r="L17" s="1">
        <f>IF(COUNT(J17:K17)=2,K17-J17,"")</f>
        <v>-15.369324589309947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IF(693824&gt;0,100*157190/693824,"")</f>
        <v>22.655601420533163</v>
      </c>
      <c r="S17" s="1">
        <f>IF(COUNT(Q17:R17)=2,R17-Q17,"")</f>
        <v>-10.374929991364436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IF(376954&gt;0,100*135181/376954,"")</f>
        <v>35.861404839847836</v>
      </c>
      <c r="E18" s="1">
        <f>IF(COUNT(C18:D18)=2,D18-C18,"")</f>
        <v>-3.1473263886073823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IF(524656&gt;0,100*57076/524656,"")</f>
        <v>10.87874721722424</v>
      </c>
      <c r="L18" s="1">
        <f>IF(COUNT(J18:K18)=2,K18-J18,"")</f>
        <v>-13.707476169247984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IF(473703&gt;0,100*68280/473703,"")</f>
        <v>14.414094907568666</v>
      </c>
      <c r="S18" s="1">
        <f>IF(COUNT(Q18:R18)=2,R18-Q18,"")</f>
        <v>-17.95598587777409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IF(252443&gt;0,100*4380/252443,"")</f>
        <v>1.7350451389026433</v>
      </c>
      <c r="E19" s="1">
        <f>IF(COUNT(C19:D19)=2,D19-C19,"")</f>
        <v>-4.923719878294697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IF(459172&gt;0,100*148028/459172,"")</f>
        <v>32.23802845121218</v>
      </c>
      <c r="L19" s="1">
        <f>IF(COUNT(J19:K19)=2,K19-J19,"")</f>
        <v>-5.438341647213917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IF(362351&gt;0,100*108214/362351,"")</f>
        <v>29.86441323468129</v>
      </c>
      <c r="S19" s="1">
        <f>IF(COUNT(Q19:R19)=2,R19-Q19,"")</f>
        <v>7.690579029960688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IF(289741&gt;0,100*2581/289741,"")</f>
        <v>0.8907955725975958</v>
      </c>
      <c r="E20" s="1">
        <f>IF(COUNT(C20:D20)=2,D20-C20,"")</f>
        <v>0.38211726727475703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IF(471864&gt;0,100*74480/471864,"")</f>
        <v>15.784209009375584</v>
      </c>
      <c r="L20" s="1">
        <f>IF(COUNT(J20:K20)=2,K20-J20,"")</f>
        <v>-6.0049017789530765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IF(459382&gt;0,100*32891/459382,"")</f>
        <v>7.159836475961183</v>
      </c>
      <c r="S20" s="1">
        <f>IF(COUNT(Q20:R20)=2,R20-Q20,"")</f>
        <v>-26.2088851605364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IF(176741&gt;0,100*43322/176741,"")</f>
        <v>24.511573432310556</v>
      </c>
      <c r="E21" s="1">
        <f>IF(COUNT(C21:D21)=2,D21-C21,"")</f>
        <v>-15.337297272820322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IF(254668&gt;0,100*18934/254668,"")</f>
        <v>7.4347778283883335</v>
      </c>
      <c r="L21" s="1">
        <f>IF(COUNT(J21:K21)=2,K21-J21,"")</f>
        <v>-6.459816866304364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IF(275798&gt;0,100*32283/275798,"")</f>
        <v>11.705306057331816</v>
      </c>
      <c r="S21" s="1">
        <f>IF(COUNT(Q21:R21)=2,R21-Q21,"")</f>
        <v>-6.46491963412767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IF(477623&gt;0,100*122623/477623,"")</f>
        <v>25.673596120789828</v>
      </c>
      <c r="E22" s="1">
        <f>IF(COUNT(C22:D22)=2,D22-C22,"")</f>
        <v>-9.164222927280125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IF(465474&gt;0,100*77706/465474,"")</f>
        <v>16.693950682530065</v>
      </c>
      <c r="L22" s="1">
        <f>IF(COUNT(J22:K22)=2,K22-J22,"")</f>
        <v>4.322946735991723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IF(112353&gt;0,100*5865/112353,"")</f>
        <v>5.22015433499773</v>
      </c>
      <c r="S22" s="1">
        <f>IF(COUNT(Q22:R22)=2,R22-Q22,"")</f>
        <v>-15.47654201930525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IF(316711&gt;0,100*43076/316711,"")</f>
        <v>13.60104322236992</v>
      </c>
      <c r="E23" s="1">
        <f>IF(COUNT(C23:D23)=2,D23-C23,"")</f>
        <v>-1.26743163111243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IF(354017&gt;0,100*76715/354017,"")</f>
        <v>21.669863311648875</v>
      </c>
      <c r="L23" s="1">
        <f>IF(COUNT(J23:K23)=2,K23-J23,"")</f>
        <v>-20.96462176765794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IF(493809&gt;0,100*127702/493809,"")</f>
        <v>25.860606023786524</v>
      </c>
      <c r="S23" s="1">
        <f>IF(COUNT(Q23:R23)=2,R23-Q23,"")</f>
        <v>-0.8295625746813506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IF(27407&gt;0,100*4534/27407,"")</f>
        <v>16.543218885686137</v>
      </c>
      <c r="E24" s="1">
        <f>IF(COUNT(C24:D24)=2,D24-C24,"")</f>
        <v>-26.3150076900746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IF(317011&gt;0,100*103489/317011,"")</f>
        <v>32.645239439640896</v>
      </c>
      <c r="L24" s="1">
        <f>IF(COUNT(J24:K24)=2,K24-J24,"")</f>
        <v>6.311160667301824</v>
      </c>
      <c r="O24" s="1">
        <v>22</v>
      </c>
      <c r="P24" s="1">
        <v>21</v>
      </c>
      <c r="Q24" s="1">
        <f>IF(97184&gt;0,100*37074/97184,"")</f>
        <v>38.14825485676655</v>
      </c>
      <c r="R24" s="1">
        <f>IF(190827&gt;0,100*66721/190827,"")</f>
        <v>34.96412981391522</v>
      </c>
      <c r="S24" s="1">
        <f>IF(COUNT(Q24:R24)=2,R24-Q24,"")</f>
        <v>-3.1841250428513277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IF(265992&gt;0,100*2659/265992,"")</f>
        <v>0.9996541249360883</v>
      </c>
      <c r="E25" s="1">
        <f>IF(COUNT(C25:D25)=2,D25-C25,"")</f>
        <v>0.7344964854858054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IF(455394&gt;0,100*80383/455394,"")</f>
        <v>17.65130853722271</v>
      </c>
      <c r="L25" s="1">
        <f>IF(COUNT(J25:K25)=2,K25-J25,"")</f>
        <v>1.1460926655986157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IF(445814&gt;0,100*52453/445814,"")</f>
        <v>11.765669090697017</v>
      </c>
      <c r="S25" s="1">
        <f>IF(COUNT(Q25:R25)=2,R25-Q25,"")</f>
        <v>-22.06555861260889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IF(494011&gt;0,100*67565/494011,"")</f>
        <v>13.676820961476567</v>
      </c>
      <c r="E26" s="1">
        <f>IF(COUNT(C26:D26)=2,D26-C26,"")</f>
        <v>-1.9239869957851994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IF(454551&gt;0,100*32215/454551,"")</f>
        <v>7.087213535994861</v>
      </c>
      <c r="L26" s="1">
        <f>IF(COUNT(J26:K26)=2,K26-J26,"")</f>
        <v>-22.88438627001768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IF(431544&gt;0,100*10845/431544,"")</f>
        <v>2.5130693509815916</v>
      </c>
      <c r="S26" s="1">
        <f>IF(COUNT(Q26:R26)=2,R26-Q26,"")</f>
        <v>-21.939513306324745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IF(427078&gt;0,100*163898/427078,"")</f>
        <v>38.376596312617366</v>
      </c>
      <c r="E27" s="1">
        <f>IF(COUNT(C27:D27)=2,D27-C27,"")</f>
        <v>-7.153154619163097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IF(464767&gt;0,100*32744/464767,"")</f>
        <v>7.045250630961321</v>
      </c>
      <c r="S27" s="1">
        <f>IF(COUNT(Q27:R27)=2,R27-Q27,"")</f>
        <v>1.7794632018953385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IF(456123&gt;0,100*152117/456123,"")</f>
        <v>33.34999550559827</v>
      </c>
      <c r="E28" s="1">
        <f>IF(COUNT(C28:D28)=2,D28-C28,"")</f>
        <v>-8.896038622396581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IF(547438&gt;0,100*108467/547438,"")</f>
        <v>19.81356792915362</v>
      </c>
      <c r="L28" s="1">
        <f>IF(COUNT(J28:K28)=2,K28-J28,"")</f>
        <v>-11.655714360024817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IF(428987&gt;0,100*84846/428987,"")</f>
        <v>19.778221717674427</v>
      </c>
      <c r="S28" s="1">
        <f>IF(COUNT(Q28:R28)=2,R28-Q28,"")</f>
        <v>-4.126980477001453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IF(382004&gt;0,100*134051/382004,"")</f>
        <v>35.0915173663103</v>
      </c>
      <c r="E29" s="1">
        <f>IF(COUNT(C29:D29)=2,D29-C29,"")</f>
        <v>5.472359422546901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IF(463093&gt;0,100*62077/463093,"")</f>
        <v>13.404866841001699</v>
      </c>
      <c r="L29" s="1">
        <f>IF(COUNT(J29:K29)=2,K29-J29,"")</f>
        <v>5.331149596088801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IF(321248&gt;0,100*43315/321248,"")</f>
        <v>13.483352425540392</v>
      </c>
      <c r="S29" s="1">
        <f>IF(COUNT(Q29:R29)=2,R29-Q29,"")</f>
        <v>-31.132875304837956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IF(345645&gt;0,100*84607/345645,"")</f>
        <v>24.478004889409654</v>
      </c>
      <c r="L30" s="1">
        <f>IF(COUNT(J30:K30)=2,K30-J30,"")</f>
        <v>-10.679160464921054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IF(185194&gt;0,100*33949/185194,"")</f>
        <v>18.33158741643898</v>
      </c>
      <c r="S30" s="1">
        <f>IF(COUNT(Q30:R30)=2,R30-Q30,"")</f>
        <v>-4.747041330631607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IF(253528&gt;0,100*91329/253528,"")</f>
        <v>36.023240036603454</v>
      </c>
      <c r="E31" s="1">
        <f>IF(COUNT(C31:D31)=2,D31-C31,"")</f>
        <v>-6.2277263153387565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IF(445367&gt;0,100*134978/445367,"")</f>
        <v>30.307139954239986</v>
      </c>
      <c r="L31" s="1">
        <f>IF(COUNT(J31:K31)=2,K31-J31,"")</f>
        <v>-13.163550172480775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IF(325180&gt;0,100*133445/325180,"")</f>
        <v>41.03727166492404</v>
      </c>
      <c r="S31" s="1">
        <f>IF(COUNT(Q31:R31)=2,R31-Q31,"")</f>
        <v>-5.54260106016558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IF(402866&gt;0,100*87757/402866,"")</f>
        <v>21.78317356143234</v>
      </c>
      <c r="E32" s="1">
        <f>IF(COUNT(C32:D32)=2,D32-C32,"")</f>
        <v>-23.987844569901366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IF(369273&gt;0,100*18627/369273,"")</f>
        <v>5.044235565557189</v>
      </c>
      <c r="L32" s="1">
        <f>IF(COUNT(J32:K32)=2,K32-J32,"")</f>
        <v>-19.211095099765323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IF(391283&gt;0,100*22700/391283,"")</f>
        <v>5.8014276112174565</v>
      </c>
      <c r="S32" s="1">
        <f>IF(COUNT(Q32:R32)=2,R32-Q32,"")</f>
        <v>-13.511599519295316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IF(562755&gt;0,100*22441/562755,"")</f>
        <v>3.9877033522580874</v>
      </c>
      <c r="E33" s="1">
        <f>IF(COUNT(C33:D33)=2,D33-C33,"")</f>
        <v>2.535483363220996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IF(400532&gt;0,100*95000/400532,"")</f>
        <v>23.718454455574086</v>
      </c>
      <c r="L33" s="1">
        <f>IF(COUNT(J33:K33)=2,K33-J33,"")</f>
        <v>5.768144850915419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IF(313660&gt;0,100*80111/313660,"")</f>
        <v>25.54071287381241</v>
      </c>
      <c r="S33" s="1">
        <f>IF(COUNT(Q33:R33)=2,R33-Q33,"")</f>
        <v>-0.05759206028588082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20.905202304219777</v>
      </c>
      <c r="E34" s="1">
        <f>IF(COUNT(E3:E33)&gt;0,AVERAGE(E3:E33),"")</f>
        <v>-9.380056023438815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17.090940694350323</v>
      </c>
      <c r="L34" s="1">
        <f>IF(COUNT(L3:L33)&gt;0,AVERAGE(L3:L33),"")</f>
        <v>-5.783019928195197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16.10937443916841</v>
      </c>
      <c r="S34" s="1">
        <f>IF(COUNT(S3:S33)&gt;0,AVERAGE(S3:S33),"")</f>
        <v>-8.756744806228252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IF(402871&gt;0,100*26716/402871,"")</f>
        <v>6.631403104219465</v>
      </c>
      <c r="E39" s="1">
        <f>IF(COUNT(C39:D39)=2,D39-C39,"")</f>
        <v>-1.3749620980689548</v>
      </c>
      <c r="H39" s="1">
        <v>1</v>
      </c>
      <c r="I39" s="1">
        <v>0</v>
      </c>
      <c r="J39" s="1">
        <f>IF(713250&gt;0,100*211130/713250,"")</f>
        <v>29.601121626358218</v>
      </c>
      <c r="K39" s="1">
        <f>IF(645232&gt;0,100*184124/645232,"")</f>
        <v>28.536092444268107</v>
      </c>
      <c r="L39" s="1">
        <f>IF(COUNT(J39:K39)=2,K39-J39,"")</f>
        <v>-1.065029182090111</v>
      </c>
      <c r="O39" s="1">
        <v>1</v>
      </c>
      <c r="P39" s="1">
        <v>0</v>
      </c>
      <c r="Q39" s="1">
        <f>IF(523211&gt;0,100*80163/523211,"")</f>
        <v>15.321352188696338</v>
      </c>
      <c r="R39" s="1">
        <f>IF(856531&gt;0,100*321581/856531,"")</f>
        <v>37.54458390881357</v>
      </c>
      <c r="S39" s="1">
        <f>IF(COUNT(Q39:R39)=2,R39-Q39,"")</f>
        <v>22.223231720117234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IF(213865&gt;0,100*71203/213865,"")</f>
        <v>33.29343277301101</v>
      </c>
      <c r="E40" s="1">
        <f>IF(COUNT(C40:D40)=2,D40-C40,"")</f>
        <v>-6.5916099192948465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IF(422388&gt;0,100*113457/422388,"")</f>
        <v>26.86084831955453</v>
      </c>
      <c r="L40" s="1">
        <f>IF(COUNT(J40:K40)=2,K40-J40,"")</f>
        <v>-10.34151260273963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IF(495797&gt;0,100*192980/495797,"")</f>
        <v>38.92318832102655</v>
      </c>
      <c r="S40" s="1">
        <f>IF(COUNT(Q40:R40)=2,R40-Q40,"")</f>
        <v>-9.631864726730655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IF(464615&gt;0,100*185763/464615,"")</f>
        <v>39.98213574680111</v>
      </c>
      <c r="E41" s="1">
        <f>IF(COUNT(C41:D41)=2,D41-C41,"")</f>
        <v>-11.617445344978435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IF(851208&gt;0,100*162647/851208,"")</f>
        <v>19.107785641112397</v>
      </c>
      <c r="S41" s="1">
        <f>IF(COUNT(Q41:R41)=2,R41-Q41,"")</f>
        <v>-22.11647612629608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IF(406350&gt;0,100*43603/406350,"")</f>
        <v>10.73040482342808</v>
      </c>
      <c r="L42" s="1">
        <f>IF(COUNT(J42:K42)=2,K42-J42,"")</f>
        <v>4.174931751754907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IF(559879&gt;0,100*106057/559879,"")</f>
        <v>18.942843007149758</v>
      </c>
      <c r="S42" s="1">
        <f>IF(COUNT(Q42:R42)=2,R42-Q42,"")</f>
        <v>13.050602488458003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IF(721218&gt;0,100*228831/721218,"")</f>
        <v>31.728409440696154</v>
      </c>
      <c r="E43" s="1">
        <f>IF(COUNT(C43:D43)=2,D43-C43,"")</f>
        <v>14.646702815582884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IF(603364&gt;0,100*222533/603364,"")</f>
        <v>36.88204798430135</v>
      </c>
      <c r="L43" s="1">
        <f>IF(COUNT(J43:K43)=2,K43-J43,"")</f>
        <v>-6.189417649928714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IF(401842&gt;0,100*140150/401842,"")</f>
        <v>34.876891912741826</v>
      </c>
      <c r="S43" s="1">
        <f>IF(COUNT(Q43:R43)=2,R43-Q43,"")</f>
        <v>-6.4991923603413895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IF(729267&gt;0,100*180592/729267,"")</f>
        <v>24.763495400175792</v>
      </c>
      <c r="E44" s="1">
        <f>IF(COUNT(C44:D44)=2,D44-C44,"")</f>
        <v>-23.291240040370695</v>
      </c>
      <c r="H44" s="1">
        <v>6</v>
      </c>
      <c r="I44" s="1">
        <v>5</v>
      </c>
      <c r="J44" s="1">
        <f>IF(458928&gt;0,100*143171/458928,"")</f>
        <v>31.19683261862427</v>
      </c>
      <c r="K44" s="1">
        <f>IF(193744&gt;0,100*35980/193744,"")</f>
        <v>18.570897679412006</v>
      </c>
      <c r="L44" s="1">
        <f>IF(COUNT(J44:K44)=2,K44-J44,"")</f>
        <v>-12.625934939212264</v>
      </c>
      <c r="O44" s="1">
        <v>6</v>
      </c>
      <c r="P44" s="1">
        <v>5</v>
      </c>
      <c r="Q44" s="1">
        <f>IF(652890&gt;0,100*52664/652890,"")</f>
        <v>8.066289880378012</v>
      </c>
      <c r="R44" s="1">
        <f>IF(425245&gt;0,100*73025/425245,"")</f>
        <v>17.172453526790438</v>
      </c>
      <c r="S44" s="1">
        <f>IF(COUNT(Q44:R44)=2,R44-Q44,"")</f>
        <v>9.106163646412426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IF(529758&gt;0,100*160324/529758,"")</f>
        <v>30.263629808327575</v>
      </c>
      <c r="E45" s="1">
        <f>IF(COUNT(C45:D45)=2,D45-C45,"")</f>
        <v>-24.856759032174768</v>
      </c>
      <c r="H45" s="1">
        <v>7</v>
      </c>
      <c r="I45" s="1">
        <v>6</v>
      </c>
      <c r="J45" s="1">
        <f>IF(516628&gt;0,100*1474/516628,"")</f>
        <v>0.28531167493825343</v>
      </c>
      <c r="K45" s="1">
        <f>IF(566395&gt;0,100*31939/566395,"")</f>
        <v>5.638997519399006</v>
      </c>
      <c r="L45" s="1">
        <f>IF(COUNT(J45:K45)=2,K45-J45,"")</f>
        <v>5.3536858444607525</v>
      </c>
      <c r="O45" s="1">
        <v>7</v>
      </c>
      <c r="P45" s="1">
        <v>6</v>
      </c>
      <c r="Q45" s="1">
        <f>IF(639485&gt;0,100*13388/639485,"")</f>
        <v>2.093559661289944</v>
      </c>
      <c r="R45" s="1">
        <f>IF(348537&gt;0,100*12018/348537,"")</f>
        <v>3.4481274584907773</v>
      </c>
      <c r="S45" s="1">
        <f>IF(COUNT(Q45:R45)=2,R45-Q45,"")</f>
        <v>1.3545677972008332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IF(324303&gt;0,100*62090/324303,"")</f>
        <v>19.145675494830453</v>
      </c>
      <c r="E46" s="1">
        <f>IF(COUNT(C46:D46)=2,D46-C46,"")</f>
        <v>-24.491747224499154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IF(359493&gt;0,100*1540/359493,"")</f>
        <v>0.42838108113370776</v>
      </c>
      <c r="S46" s="1">
        <f>IF(COUNT(Q46:R46)=2,R46-Q46,"")</f>
        <v>-1.7883484564471863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IF(132843&gt;0,100*36311/132843,"")</f>
        <v>27.33376993895049</v>
      </c>
      <c r="E47" s="1">
        <f>IF(COUNT(C47:D47)=2,D47-C47,"")</f>
        <v>-33.27411078146148</v>
      </c>
      <c r="H47" s="1">
        <v>9</v>
      </c>
      <c r="I47" s="1">
        <v>8</v>
      </c>
      <c r="J47" s="1">
        <f>IF(433696&gt;0,100*195875/433696,"")</f>
        <v>45.16412417914853</v>
      </c>
      <c r="K47" s="1">
        <f>IF(621742&gt;0,100*238658/621742,"")</f>
        <v>38.385375284281906</v>
      </c>
      <c r="L47" s="1">
        <f>IF(COUNT(J47:K47)=2,K47-J47,"")</f>
        <v>-6.778748894866624</v>
      </c>
      <c r="O47" s="1">
        <v>9</v>
      </c>
      <c r="P47" s="1">
        <v>8</v>
      </c>
      <c r="Q47" s="1">
        <f>IF(341160&gt;0,100*196686/341160,"")</f>
        <v>57.65212803376715</v>
      </c>
      <c r="R47" s="1">
        <f>IF(322824&gt;0,100*107239/322824,"")</f>
        <v>33.21902956409684</v>
      </c>
      <c r="S47" s="1">
        <f>IF(COUNT(Q47:R47)=2,R47-Q47,"")</f>
        <v>-24.433098469670306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IF(434610&gt;0,100*10713/434610,"")</f>
        <v>2.464968592531235</v>
      </c>
      <c r="E48" s="1">
        <f>IF(COUNT(C48:D48)=2,D48-C48,"")</f>
        <v>-19.389021579014486</v>
      </c>
      <c r="H48" s="1">
        <v>10</v>
      </c>
      <c r="I48" s="1">
        <v>9</v>
      </c>
      <c r="J48" s="1">
        <f>IF(716304&gt;0,100*319115/716304,"")</f>
        <v>44.550218901472</v>
      </c>
      <c r="K48" s="1">
        <f>IF(589696&gt;0,100*11380/589696,"")</f>
        <v>1.9298079010201867</v>
      </c>
      <c r="L48" s="1">
        <f>IF(COUNT(J48:K48)=2,K48-J48,"")</f>
        <v>-42.62041100045181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IF(631345&gt;0,100*113177/631345,"")</f>
        <v>17.92633187876676</v>
      </c>
      <c r="S48" s="1">
        <f>IF(COUNT(Q48:R48)=2,R48-Q48,"")</f>
        <v>-4.032973743032901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IF(625155&gt;0,100*188768/625155,"")</f>
        <v>30.19539154289736</v>
      </c>
      <c r="E49" s="1">
        <f>IF(COUNT(C49:D49)=2,D49-C49,"")</f>
        <v>-16.473754071215616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IF(578537&gt;0,100*22716/578537,"")</f>
        <v>3.926455870583904</v>
      </c>
      <c r="L49" s="1">
        <f>IF(COUNT(J49:K49)=2,K49-J49,"")</f>
        <v>-29.42644393677018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IF(566326&gt;0,100*38811/566326,"")</f>
        <v>6.853119934454713</v>
      </c>
      <c r="S49" s="1">
        <f>IF(COUNT(Q49:R49)=2,R49-Q49,"")</f>
        <v>-37.774600086939145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IF(148346&gt;0,100*42186/148346,"")</f>
        <v>28.437571623097355</v>
      </c>
      <c r="E50" s="1">
        <f>IF(COUNT(C50:D50)=2,D50-C50,"")</f>
        <v>-19.234401284401287</v>
      </c>
      <c r="H50" s="1">
        <v>12</v>
      </c>
      <c r="I50" s="1">
        <v>11</v>
      </c>
      <c r="J50" s="4">
        <f>IF(0&gt;0,100*0/0,"")</f>
        <v/>
      </c>
      <c r="K50" s="1">
        <f>IF(614279&gt;0,100*22273/614279,"")</f>
        <v>3.6258768409794246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IF(873910&gt;0,100*94409/873910,"")</f>
        <v>10.8030575230859</v>
      </c>
      <c r="S50" s="1">
        <f>IF(COUNT(Q50:R50)=2,R50-Q50,"")</f>
        <v>-31.71189101081941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IF(753629&gt;0,100*215190/753629,"")</f>
        <v>28.5538374982916</v>
      </c>
      <c r="E51" s="1">
        <f>IF(COUNT(C51:D51)=2,D51-C51,"")</f>
        <v>-18.91827778279626</v>
      </c>
      <c r="H51" s="1">
        <v>13</v>
      </c>
      <c r="I51" s="1">
        <v>12</v>
      </c>
      <c r="J51" s="1">
        <f>IF(654587&gt;0,100*63849/654587,"")</f>
        <v>9.75408921961481</v>
      </c>
      <c r="K51" s="1">
        <f>IF(544979&gt;0,100*39900/544979,"")</f>
        <v>7.3213830257679655</v>
      </c>
      <c r="L51" s="1">
        <f>IF(COUNT(J51:K51)=2,K51-J51,"")</f>
        <v>-2.432706193846845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IF(559597&gt;0,100*16601/559597,"")</f>
        <v>2.9665991776224674</v>
      </c>
      <c r="S51" s="1">
        <f>IF(COUNT(Q51:R51)=2,R51-Q51,"")</f>
        <v>0.8155408469313579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IF(380610&gt;0,100*15097/380610,"")</f>
        <v>3.9665274165155933</v>
      </c>
      <c r="E52" s="1">
        <f>IF(COUNT(C52:D52)=2,D52-C52,"")</f>
        <v>3.592776305772518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IF(304279&gt;0,100*42925/304279,"")</f>
        <v>14.107118795579057</v>
      </c>
      <c r="L52" s="1">
        <f>IF(COUNT(J52:K52)=2,K52-J52,"")</f>
        <v>-3.9929181686823387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IF(392120&gt;0,100*6709/392120,"")</f>
        <v>1.7109558298480056</v>
      </c>
      <c r="S52" s="1">
        <f>IF(COUNT(Q52:R52)=2,R52-Q52,"")</f>
        <v>-10.73010414138744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IF(209041&gt;0,100*72991/209041,"")</f>
        <v>34.917073684109816</v>
      </c>
      <c r="E53" s="1">
        <f>IF(COUNT(C53:D53)=2,D53-C53,"")</f>
        <v>-5.95586483201167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IF(640219&gt;0,100*105974/640219,"")</f>
        <v>16.552773347870026</v>
      </c>
      <c r="L53" s="1">
        <f>IF(COUNT(J53:K53)=2,K53-J53,"")</f>
        <v>-11.769544483981726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IF(539373&gt;0,100*136070/539373,"")</f>
        <v>25.22744000904754</v>
      </c>
      <c r="S53" s="1">
        <f>IF(COUNT(Q53:R53)=2,R53-Q53,"")</f>
        <v>-28.70010253743331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IF(405662&gt;0,100*161047/405662,"")</f>
        <v>39.69979934033752</v>
      </c>
      <c r="E54" s="1">
        <f>IF(COUNT(C54:D54)=2,D54-C54,"")</f>
        <v>-6.4185338598405295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IF(643114&gt;0,100*162231/643114,"")</f>
        <v>25.225854203142834</v>
      </c>
      <c r="L54" s="1">
        <f>IF(COUNT(J54:K54)=2,K54-J54,"")</f>
        <v>-24.33174471924738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IF(682221&gt;0,100*83564/682221,"")</f>
        <v>12.248816732407827</v>
      </c>
      <c r="S54" s="1">
        <f>IF(COUNT(Q54:R54)=2,R54-Q54,"")</f>
        <v>-39.208917257739955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IF(353139&gt;0,100*12342/353139,"")</f>
        <v>3.4949410855215652</v>
      </c>
      <c r="E55" s="1">
        <f>IF(COUNT(C55:D55)=2,D55-C55,"")</f>
        <v>1.0550442158788766</v>
      </c>
      <c r="H55" s="1">
        <v>17</v>
      </c>
      <c r="I55" s="1">
        <v>16</v>
      </c>
      <c r="J55" s="1">
        <f>IF(472489&gt;0,100*201035/472489,"")</f>
        <v>42.5480804844134</v>
      </c>
      <c r="K55" s="1">
        <f>IF(250341&gt;0,100*17835/250341,"")</f>
        <v>7.124282478699055</v>
      </c>
      <c r="L55" s="1">
        <f>IF(COUNT(J55:K55)=2,K55-J55,"")</f>
        <v>-35.423798005714346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IF(637376&gt;0,100*163421/637376,"")</f>
        <v>25.639653830705893</v>
      </c>
      <c r="S55" s="1">
        <f>IF(COUNT(Q55:R55)=2,R55-Q55,"")</f>
        <v>-4.817216061426727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IF(370638&gt;0,100*4055/370638,"")</f>
        <v>1.0940594326539643</v>
      </c>
      <c r="E56" s="1">
        <f>IF(COUNT(C56:D56)=2,D56-C56,"")</f>
        <v>-8.70923910379511</v>
      </c>
      <c r="H56" s="1">
        <v>18</v>
      </c>
      <c r="I56" s="1">
        <v>17</v>
      </c>
      <c r="J56" s="4">
        <f>IF(0&gt;0,100*0/0,"")</f>
        <v/>
      </c>
      <c r="K56" s="1">
        <f>IF(814845&gt;0,100*175324/814845,"")</f>
        <v>21.51623928477195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IF(652275&gt;0,100*33172/652275,"")</f>
        <v>5.085585067647848</v>
      </c>
      <c r="S56" s="1">
        <f>IF(COUNT(Q56:R56)=2,R56-Q56,"")</f>
        <v>-44.37523346858246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IF(640924&gt;0,100*259920/640924,"")</f>
        <v>40.55395023434916</v>
      </c>
      <c r="E57" s="1">
        <f>IF(COUNT(C57:D57)=2,D57-C57,"")</f>
        <v>-3.3871531414963627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IF(469593&gt;0,100*115257/469593,"")</f>
        <v>24.544020034370188</v>
      </c>
      <c r="L57" s="1">
        <f>IF(COUNT(J57:K57)=2,K57-J57,"")</f>
        <v>-6.023072931162815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IF(696316&gt;0,100*108120/696316,"")</f>
        <v>15.52743294711022</v>
      </c>
      <c r="S57" s="1">
        <f>IF(COUNT(Q57:R57)=2,R57-Q57,"")</f>
        <v>-23.19129908845953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IF(730396&gt;0,100*177550/730396,"")</f>
        <v>24.308731154058894</v>
      </c>
      <c r="E58" s="1">
        <f>IF(COUNT(C58:D58)=2,D58-C58,"")</f>
        <v>-20.09879289108795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IF(805146&gt;0,100*140694/805146,"")</f>
        <v>17.474346267633447</v>
      </c>
      <c r="L58" s="1">
        <f>IF(COUNT(J58:K58)=2,K58-J58,"")</f>
        <v>-30.946749323677732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IF(817967&gt;0,100*201868/817967,"")</f>
        <v>24.679235225870972</v>
      </c>
      <c r="S58" s="1">
        <f>IF(COUNT(Q58:R58)=2,R58-Q58,"")</f>
        <v>-16.74726033933001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IF(399932&gt;0,100*89726/399932,"")</f>
        <v>22.435314003380576</v>
      </c>
      <c r="E59" s="1">
        <f>IF(COUNT(C59:D59)=2,D59-C59,"")</f>
        <v>-2.3355430167106235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IF(518934&gt;0,100*95052/518934,"")</f>
        <v>18.31678016857635</v>
      </c>
      <c r="L59" s="1">
        <f>IF(COUNT(J59:K59)=2,K59-J59,"")</f>
        <v>-24.56699031639561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IF(747439&gt;0,100*267337/747439,"")</f>
        <v>35.767065941167104</v>
      </c>
      <c r="S59" s="1">
        <f>IF(COUNT(Q59:R59)=2,R59-Q59,"")</f>
        <v>-11.220976016388107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IF(276914&gt;0,100*100731/276914,"")</f>
        <v>36.37627566681353</v>
      </c>
      <c r="E60" s="1">
        <f>IF(COUNT(C60:D60)=2,D60-C60,"")</f>
        <v>-16.199191780809812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IF(287961&gt;0,100*88189/287961,"")</f>
        <v>30.62532773535305</v>
      </c>
      <c r="L60" s="1">
        <f>IF(COUNT(J60:K60)=2,K60-J60,"")</f>
        <v>-21.66944286251233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IF(986036&gt;0,100*356027/986036,"")</f>
        <v>36.10689670559696</v>
      </c>
      <c r="L61" s="1">
        <f>IF(COUNT(J61:K61)=2,K61-J61,"")</f>
        <v>-20.065664538204743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IF(786516&gt;0,100*259908/786516,"")</f>
        <v>33.04548159223716</v>
      </c>
      <c r="S61" s="1">
        <f>IF(COUNT(Q61:R61)=2,R61-Q61,"")</f>
        <v>-13.212175007287343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IF(543875&gt;0,100*35244/543875,"")</f>
        <v>6.480165479200184</v>
      </c>
      <c r="E62" s="1">
        <f>IF(COUNT(C62:D62)=2,D62-C62,"")</f>
        <v>-12.178887185455789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IF(826367&gt;0,100*146192/826367,"")</f>
        <v>17.690929090827684</v>
      </c>
      <c r="S62" s="1">
        <f>IF(COUNT(Q62:R62)=2,R62-Q62,"")</f>
        <v>-3.906732794464169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IF(538021&gt;0,100*198423/538021,"")</f>
        <v>36.88015895290332</v>
      </c>
      <c r="E63" s="1">
        <f>IF(COUNT(C63:D63)=2,D63-C63,"")</f>
        <v>-9.3885875383951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IF(670715&gt;0,100*70886/670715,"")</f>
        <v>10.568721439061301</v>
      </c>
      <c r="L63" s="1">
        <f>IF(COUNT(J63:K63)=2,K63-J63,"")</f>
        <v>-29.598133424836064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IF(714266&gt;0,100*188603/714266,"")</f>
        <v>26.405148782106387</v>
      </c>
      <c r="S63" s="1">
        <f>IF(COUNT(Q63:R63)=2,R63-Q63,"")</f>
        <v>-18.345629411757415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IF(515585&gt;0,100*96849/515585,"")</f>
        <v>18.78429356944054</v>
      </c>
      <c r="E64" s="1">
        <f>IF(COUNT(C64:D64)=2,D64-C64,"")</f>
        <v>-31.910465703571543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IF(537452&gt;0,100*137973/537452,"")</f>
        <v>25.67168789026741</v>
      </c>
      <c r="L64" s="1">
        <f>IF(COUNT(J64:K64)=2,K64-J64,"")</f>
        <v>7.032577225486534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IF(646847&gt;0,100*128163/646847,"")</f>
        <v>19.813495308782446</v>
      </c>
      <c r="S64" s="1">
        <f>IF(COUNT(Q64:R64)=2,R64-Q64,"")</f>
        <v>-26.38037363281313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IF(382079&gt;0,100*104785/382079,"")</f>
        <v>27.424956618919126</v>
      </c>
      <c r="E65" s="1">
        <f>IF(COUNT(C65:D65)=2,D65-C65,"")</f>
        <v>1.7581021931902256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IF(733616&gt;0,100*179455/733616,"")</f>
        <v>24.461707487295804</v>
      </c>
      <c r="L65" s="1">
        <f>IF(COUNT(J65:K65)=2,K65-J65,"")</f>
        <v>-12.731631255505313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IF(782874&gt;0,100*123260/782874,"")</f>
        <v>15.744551485935157</v>
      </c>
      <c r="S65" s="1">
        <f>IF(COUNT(Q65:R65)=2,R65-Q65,"")</f>
        <v>-9.520984754006113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IF(527757&gt;0,100*143919/527757,"")</f>
        <v>27.26993673224609</v>
      </c>
      <c r="L66" s="1">
        <f>IF(COUNT(J66:K66)=2,K66-J66,"")</f>
        <v>-12.662993645567926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IF(418117&gt;0,100*129110/418117,"")</f>
        <v>30.878916666865972</v>
      </c>
      <c r="S66" s="1">
        <f>IF(COUNT(Q66:R66)=2,R66-Q66,"")</f>
        <v>4.809188902343671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IF(412794&gt;0,100*153356/412794,"")</f>
        <v>37.15073378004525</v>
      </c>
      <c r="E67" s="1">
        <f>IF(COUNT(C67:D67)=2,D67-C67,"")</f>
        <v>-3.912572902092066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IF(542305&gt;0,100*131186/542305,"")</f>
        <v>24.190446335549183</v>
      </c>
      <c r="L67" s="1">
        <f>IF(COUNT(J67:K67)=2,K67-J67,"")</f>
        <v>-27.36304281016823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IF(799080&gt;0,100*278120/799080,"")</f>
        <v>34.80502577964659</v>
      </c>
      <c r="S67" s="1">
        <f>IF(COUNT(Q67:R67)=2,R67-Q67,"")</f>
        <v>-10.148760527523173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IF(704988&gt;0,100*202959/704988,"")</f>
        <v>28.789000663841087</v>
      </c>
      <c r="E68" s="1">
        <f>IF(COUNT(C68:D68)=2,D68-C68,"")</f>
        <v>-16.417127362641843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IF(462393&gt;0,100*67175/462393,"")</f>
        <v>14.527685323956028</v>
      </c>
      <c r="L68" s="1">
        <f>IF(COUNT(J68:K68)=2,K68-J68,"")</f>
        <v>-3.904039834566735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IF(526285&gt;0,100*115982/526285,"")</f>
        <v>22.037869215349097</v>
      </c>
      <c r="S68" s="1">
        <f>IF(COUNT(Q68:R68)=2,R68-Q68,"")</f>
        <v>18.178877129707764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IF(446627&gt;0,100*34390/446627,"")</f>
        <v>7.6999375317658805</v>
      </c>
      <c r="E69" s="1">
        <f>IF(COUNT(C69:D69)=2,D69-C69,"")</f>
        <v>7.0541578955389905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IF(672680&gt;0,100*57032/672680,"")</f>
        <v>8.478325503954332</v>
      </c>
      <c r="L69" s="1">
        <f>IF(COUNT(J69:K69)=2,K69-J69,"")</f>
        <v>-23.78185564676444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IF(640142&gt;0,100*171022/640142,"")</f>
        <v>26.71625982985025</v>
      </c>
      <c r="S69" s="1">
        <f>IF(COUNT(Q69:R69)=2,R69-Q69,"")</f>
        <v>1.133723539866537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23.69042750525566</v>
      </c>
      <c r="E70" s="1">
        <f>IF(COUNT(E39:E69)&gt;0,AVERAGE(E39:E69),"")</f>
        <v>-9.37622221448196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17.23774782749813</v>
      </c>
      <c r="L70" s="1">
        <f>IF(COUNT(L39:L69)&gt;0,AVERAGE(L39:L69),"")</f>
        <v>-15.854628848802564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21.82441970927978</v>
      </c>
      <c r="S70" s="1">
        <f>IF(COUNT(S39:S69)&gt;0,AVERAGE(S39:S69),"")</f>
        <v>-10.018407991429772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IF(485836&gt;0,100*103883/485836,"")</f>
        <v>21.382318313175638</v>
      </c>
      <c r="E75" s="1">
        <f>IF(COUNT(C75:D75)=2,D75-C75,"")</f>
        <v>17.758449730388094</v>
      </c>
      <c r="H75" s="1">
        <v>1</v>
      </c>
      <c r="I75" s="1">
        <v>0</v>
      </c>
      <c r="J75" s="1">
        <f>IF(796677&gt;0,100*432733/796677,"")</f>
        <v>54.317245257488295</v>
      </c>
      <c r="K75" s="1">
        <f>IF(520737&gt;0,100*37931/520737,"")</f>
        <v>7.284099267000425</v>
      </c>
      <c r="L75" s="1">
        <f>IF(COUNT(J75:K75)=2,K75-J75,"")</f>
        <v>-47.03314599048787</v>
      </c>
      <c r="O75" s="1">
        <v>1</v>
      </c>
      <c r="P75" s="1">
        <v>0</v>
      </c>
      <c r="Q75" s="1">
        <f>IF(517487&gt;0,100*261929/517487,"")</f>
        <v>50.61557101917536</v>
      </c>
      <c r="R75" s="1">
        <f>IF(602522&gt;0,100*160740/602522,"")</f>
        <v>26.677864044798365</v>
      </c>
      <c r="S75" s="1">
        <f>IF(COUNT(Q75:R75)=2,R75-Q75,"")</f>
        <v>-23.937706974376997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IF(246578&gt;0,100*111493/246578,"")</f>
        <v>45.21611822628134</v>
      </c>
      <c r="E76" s="1">
        <f>IF(COUNT(C76:D76)=2,D76-C76,"")</f>
        <v>1.856691707432958</v>
      </c>
      <c r="H76" s="1">
        <v>2</v>
      </c>
      <c r="I76" s="1">
        <v>1</v>
      </c>
      <c r="J76" s="1">
        <f>IF(591060&gt;0,100*305577/591060,"")</f>
        <v>51.69982742868744</v>
      </c>
      <c r="K76" s="1">
        <f>IF(369737&gt;0,100*134445/369737,"")</f>
        <v>36.36233322604987</v>
      </c>
      <c r="L76" s="1">
        <f>IF(COUNT(J76:K76)=2,K76-J76,"")</f>
        <v>-15.337494202637572</v>
      </c>
      <c r="O76" s="1">
        <v>2</v>
      </c>
      <c r="P76" s="1">
        <v>1</v>
      </c>
      <c r="Q76" s="1">
        <f>IF(548205&gt;0,100*279421/548205,"")</f>
        <v>50.97016626991728</v>
      </c>
      <c r="R76" s="1">
        <f>IF(637808&gt;0,100*258115/637808,"")</f>
        <v>40.46907533301558</v>
      </c>
      <c r="S76" s="1">
        <f>IF(COUNT(Q76:R76)=2,R76-Q76,"")</f>
        <v>-10.501090936901697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IF(113540&gt;0,100*37793/113540,"")</f>
        <v>33.286066584463626</v>
      </c>
      <c r="E77" s="1">
        <f>IF(COUNT(C77:D77)=2,D77-C77,"")</f>
        <v>-14.10929084805899</v>
      </c>
      <c r="H77" s="1">
        <v>3</v>
      </c>
      <c r="I77" s="1">
        <v>2</v>
      </c>
      <c r="J77" s="1">
        <f>IF(584205&gt;0,100*244646/584205,"")</f>
        <v>41.87673847365223</v>
      </c>
      <c r="K77" s="1">
        <f>IF(795531&gt;0,100*299031/795531,"")</f>
        <v>37.588855745407784</v>
      </c>
      <c r="L77" s="1">
        <f>IF(COUNT(J77:K77)=2,K77-J77,"")</f>
        <v>-4.287882728244448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IF(1069585&gt;0,100*300708/1069585,"")</f>
        <v>28.11445560661378</v>
      </c>
      <c r="S77" s="1">
        <f>IF(COUNT(Q77:R77)=2,R77-Q77,"")</f>
        <v>23.863022810272923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IF(527598&gt;0,100*197440/527598,"")</f>
        <v>37.422431472446824</v>
      </c>
      <c r="E78" s="1">
        <f>IF(COUNT(C78:D78)=2,D78-C78,"")</f>
        <v>-11.640997077962098</v>
      </c>
      <c r="H78" s="1">
        <v>4</v>
      </c>
      <c r="I78" s="1">
        <v>3</v>
      </c>
      <c r="J78" s="1">
        <f>IF(731828&gt;0,100*316744/731828,"")</f>
        <v>43.281208152735346</v>
      </c>
      <c r="K78" s="1">
        <f>IF(486436&gt;0,100*39185/486436,"")</f>
        <v>8.055530429491238</v>
      </c>
      <c r="L78" s="1">
        <f>IF(COUNT(J78:K78)=2,K78-J78,"")</f>
        <v>-35.225677723244104</v>
      </c>
      <c r="O78" s="1">
        <v>4</v>
      </c>
      <c r="P78" s="1">
        <v>3</v>
      </c>
      <c r="Q78" s="1">
        <f>IF(663228&gt;0,100*363210/663228,"")</f>
        <v>54.76397257051874</v>
      </c>
      <c r="R78" s="1">
        <f>IF(689614&gt;0,100*22170/689614,"")</f>
        <v>3.214841926062986</v>
      </c>
      <c r="S78" s="1">
        <f>IF(COUNT(Q78:R78)=2,R78-Q78,"")</f>
        <v>-51.54913064445575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IF(871053&gt;0,100*123984/871053,"")</f>
        <v>14.233806668480563</v>
      </c>
      <c r="E79" s="1">
        <f>IF(COUNT(C79:D79)=2,D79-C79,"")</f>
        <v>-34.66389202475301</v>
      </c>
      <c r="H79" s="1">
        <v>5</v>
      </c>
      <c r="I79" s="1">
        <v>4</v>
      </c>
      <c r="J79" s="1">
        <f>IF(383201&gt;0,100*174388/383201,"")</f>
        <v>45.50823197225477</v>
      </c>
      <c r="K79" s="1">
        <f>IF(439463&gt;0,100*214295/439463,"")</f>
        <v>48.76292202073895</v>
      </c>
      <c r="L79" s="1">
        <f>IF(COUNT(J79:K79)=2,K79-J79,"")</f>
        <v>3.2546900484841785</v>
      </c>
      <c r="O79" s="1">
        <v>5</v>
      </c>
      <c r="P79" s="1">
        <v>4</v>
      </c>
      <c r="Q79" s="1">
        <f>IF(322593&gt;0,100*116626/322593,"")</f>
        <v>36.152675352534</v>
      </c>
      <c r="R79" s="1">
        <f>IF(624773&gt;0,100*246060/624773,"")</f>
        <v>39.3839042340178</v>
      </c>
      <c r="S79" s="1">
        <f>IF(COUNT(Q79:R79)=2,R79-Q79,"")</f>
        <v>3.2312288814838013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IF(752811&gt;0,100*182898/752811,"")</f>
        <v>24.295341061700746</v>
      </c>
      <c r="E80" s="1">
        <f>IF(COUNT(C80:D80)=2,D80-C80,"")</f>
        <v>-14.557530841249083</v>
      </c>
      <c r="H80" s="1">
        <v>6</v>
      </c>
      <c r="I80" s="1">
        <v>5</v>
      </c>
      <c r="J80" s="1">
        <f>IF(417286&gt;0,100*124193/417286,"")</f>
        <v>29.76208164184756</v>
      </c>
      <c r="K80" s="1">
        <f>IF(575834&gt;0,100*131314/575834,"")</f>
        <v>22.804141471326805</v>
      </c>
      <c r="L80" s="1">
        <f>IF(COUNT(J80:K80)=2,K80-J80,"")</f>
        <v>-6.957940170520754</v>
      </c>
      <c r="O80" s="1">
        <v>6</v>
      </c>
      <c r="P80" s="1">
        <v>5</v>
      </c>
      <c r="Q80" s="1">
        <f>IF(460762&gt;0,100*159245/460762,"")</f>
        <v>34.56122683728259</v>
      </c>
      <c r="R80" s="1">
        <f>IF(581146&gt;0,100*131147/581146,"")</f>
        <v>22.5669625188851</v>
      </c>
      <c r="S80" s="1">
        <f>IF(COUNT(Q80:R80)=2,R80-Q80,"")</f>
        <v>-11.99426431839749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IF(508881&gt;0,100*152140/508881,"")</f>
        <v>29.896970018530855</v>
      </c>
      <c r="E81" s="1">
        <f>IF(COUNT(C81:D81)=2,D81-C81,"")</f>
        <v>-21.924942201730293</v>
      </c>
      <c r="H81" s="1">
        <v>7</v>
      </c>
      <c r="I81" s="1">
        <v>6</v>
      </c>
      <c r="J81" s="1">
        <f>IF(667678&gt;0,100*4575/667678,"")</f>
        <v>0.6852105356174683</v>
      </c>
      <c r="K81" s="1">
        <f>IF(613295&gt;0,100*60795/613295,"")</f>
        <v>9.912847813857931</v>
      </c>
      <c r="L81" s="1">
        <f>IF(COUNT(J81:K81)=2,K81-J81,"")</f>
        <v>9.227637278240463</v>
      </c>
      <c r="O81" s="1">
        <v>7</v>
      </c>
      <c r="P81" s="1">
        <v>6</v>
      </c>
      <c r="Q81" s="1">
        <f>IF(457006&gt;0,100*8837/457006,"")</f>
        <v>1.9336726432475722</v>
      </c>
      <c r="R81" s="1">
        <f>IF(813085&gt;0,100*141082/813085,"")</f>
        <v>17.35144542083546</v>
      </c>
      <c r="S81" s="1">
        <f>IF(COUNT(Q81:R81)=2,R81-Q81,"")</f>
        <v>15.417772777587889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IF(467964&gt;0,100*197333/467964,"")</f>
        <v>42.168414664375895</v>
      </c>
      <c r="E82" s="1">
        <f>IF(COUNT(C82:D82)=2,D82-C82,"")</f>
        <v>-5.222036574196963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IF(241186&gt;0,100*102086/241186,"")</f>
        <v>42.326669043808515</v>
      </c>
      <c r="E83" s="1">
        <f>IF(COUNT(C83:D83)=2,D83-C83,"")</f>
        <v>-4.701646266379306</v>
      </c>
      <c r="H83" s="1">
        <v>9</v>
      </c>
      <c r="I83" s="1">
        <v>8</v>
      </c>
      <c r="J83" s="1">
        <f>IF(408350&gt;0,100*224416/408350,"")</f>
        <v>54.95677727439696</v>
      </c>
      <c r="K83" s="1">
        <f>IF(683110&gt;0,100*285987/683110,"")</f>
        <v>41.86543894833921</v>
      </c>
      <c r="L83" s="1">
        <f>IF(COUNT(J83:K83)=2,K83-J83,"")</f>
        <v>-13.091338326057752</v>
      </c>
      <c r="O83" s="1">
        <v>9</v>
      </c>
      <c r="P83" s="1">
        <v>8</v>
      </c>
      <c r="Q83" s="1">
        <f>IF(401424&gt;0,100*207750/401424,"")</f>
        <v>51.75325840009566</v>
      </c>
      <c r="R83" s="1">
        <f>IF(564530&gt;0,100*257036/564530,"")</f>
        <v>45.530972667528744</v>
      </c>
      <c r="S83" s="1">
        <f>IF(COUNT(Q83:R83)=2,R83-Q83,"")</f>
        <v>-6.222285732566917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IF(36440&gt;0,100*2555/36440,"")</f>
        <v>7.01152579582876</v>
      </c>
      <c r="E84" s="1">
        <f>IF(COUNT(C84:D84)=2,D84-C84,"")</f>
        <v>5.863512430842157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IF(603572&gt;0,100*47814/603572,"")</f>
        <v>7.921838653880564</v>
      </c>
      <c r="L84" s="1">
        <f>IF(COUNT(J84:K84)=2,K84-J84,"")</f>
        <v>-45.46723362147478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IF(651493&gt;0,100*54736/651493,"")</f>
        <v>8.401625190140185</v>
      </c>
      <c r="S84" s="1">
        <f>IF(COUNT(Q84:R84)=2,R84-Q84,"")</f>
        <v>-6.995383053312718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IF(688160&gt;0,100*268224/688160,"")</f>
        <v>38.9769820971867</v>
      </c>
      <c r="E85" s="1">
        <f>IF(COUNT(C85:D85)=2,D85-C85,"")</f>
        <v>-15.733065471715584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IF(885204&gt;0,100*203690/885204,"")</f>
        <v>23.010515090306868</v>
      </c>
      <c r="L85" s="1">
        <f>IF(COUNT(J85:K85)=2,K85-J85,"")</f>
        <v>-36.773315488686066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IF(940334&gt;0,100*354559/940334,"")</f>
        <v>37.7056450154945</v>
      </c>
      <c r="S85" s="1">
        <f>IF(COUNT(Q85:R85)=2,R85-Q85,"")</f>
        <v>-13.553351637979624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IF(374350&gt;0,100*165309/374350,"")</f>
        <v>44.158942166421795</v>
      </c>
      <c r="E86" s="1">
        <f>IF(COUNT(C86:D86)=2,D86-C86,"")</f>
        <v>-1.097251275169377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IF(937257&gt;0,100*50418/937257,"")</f>
        <v>5.379314318271296</v>
      </c>
      <c r="L86" s="1">
        <f>IF(COUNT(J86:K86)=2,K86-J86,"")</f>
        <v>-50.41562002809479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IF(950704&gt;0,100*234376/950704,"")</f>
        <v>24.65288880661068</v>
      </c>
      <c r="S86" s="1">
        <f>IF(COUNT(Q86:R86)=2,R86-Q86,"")</f>
        <v>-28.965325155702285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IF(638039&gt;0,100*6748/638039,"")</f>
        <v>1.0576156003002952</v>
      </c>
      <c r="E87" s="1">
        <f>IF(COUNT(C87:D87)=2,D87-C87,"")</f>
        <v>-23.245429978141345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IF(1045228&gt;0,100*362064/1045228,"")</f>
        <v>34.63971497127899</v>
      </c>
      <c r="L87" s="1">
        <f>IF(COUNT(J87:K87)=2,K87-J87,"")</f>
        <v>-10.425934608142896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IF(843946&gt;0,100*52413/843946,"")</f>
        <v>6.210468442293701</v>
      </c>
      <c r="S87" s="1">
        <f>IF(COUNT(Q87:R87)=2,R87-Q87,"")</f>
        <v>4.651449603585421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IF(736443&gt;0,100*64341/736443,"")</f>
        <v>8.7367250418566</v>
      </c>
      <c r="E88" s="1">
        <f>IF(COUNT(C88:D88)=2,D88-C88,"")</f>
        <v>-4.207687382839319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IF(447232&gt;0,100*37762/447232,"")</f>
        <v>8.443492415569548</v>
      </c>
      <c r="S88" s="1">
        <f>IF(COUNT(Q88:R88)=2,R88-Q88,"")</f>
        <v>2.37213081563823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IF(607150&gt;0,100*242488/607150,"")</f>
        <v>39.93873013258668</v>
      </c>
      <c r="E89" s="1">
        <f>IF(COUNT(C89:D89)=2,D89-C89,"")</f>
        <v>-11.076513796455323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IF(474776&gt;0,100*108091/474776,"")</f>
        <v>22.766736313545756</v>
      </c>
      <c r="L89" s="1">
        <f>IF(COUNT(J89:K89)=2,K89-J89,"")</f>
        <v>6.161253873835111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IF(1092286&gt;0,100*389083/1092286,"")</f>
        <v>35.62098205048861</v>
      </c>
      <c r="S89" s="1">
        <f>IF(COUNT(Q89:R89)=2,R89-Q89,"")</f>
        <v>15.06784644058078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IF(541449&gt;0,100*231390/541449,"")</f>
        <v>42.73532687289108</v>
      </c>
      <c r="E90" s="1">
        <f>IF(COUNT(C90:D90)=2,D90-C90,"")</f>
        <v>0.6404275741609808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IF(847108&gt;0,100*337216/847108,"")</f>
        <v>39.8079111518248</v>
      </c>
      <c r="L90" s="1">
        <f>IF(COUNT(J90:K90)=2,K90-J90,"")</f>
        <v>-12.220248524411197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IF(833665&gt;0,100*136801/833665,"")</f>
        <v>16.409588983584534</v>
      </c>
      <c r="S90" s="1">
        <f>IF(COUNT(Q90:R90)=2,R90-Q90,"")</f>
        <v>-41.17638074224804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IF(460823&gt;0,100*10284/460823,"")</f>
        <v>2.231659444081567</v>
      </c>
      <c r="E91" s="1">
        <f>IF(COUNT(C91:D91)=2,D91-C91,"")</f>
        <v>-2.463874957479834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IF(570228&gt;0,100*130952/570228,"")</f>
        <v>22.964849148060075</v>
      </c>
      <c r="L91" s="1">
        <f>IF(COUNT(J91:K91)=2,K91-J91,"")</f>
        <v>20.577118239172826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IF(641233&gt;0,100*161399/641233,"")</f>
        <v>25.170101975412994</v>
      </c>
      <c r="S91" s="1">
        <f>IF(COUNT(Q91:R91)=2,R91-Q91,"")</f>
        <v>-15.961912975211224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IF(557614&gt;0,100*49871/557614,"")</f>
        <v>8.943642017596401</v>
      </c>
      <c r="E92" s="1">
        <f>IF(COUNT(C92:D92)=2,D92-C92,"")</f>
        <v>-9.070281030123256</v>
      </c>
      <c r="H92" s="1">
        <v>18</v>
      </c>
      <c r="I92" s="1">
        <v>17</v>
      </c>
      <c r="J92" s="4"/>
      <c r="K92" s="1">
        <f>IF(1011243&gt;0,100*197348/1011243,"")</f>
        <v>19.515388487237985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IF(572123&gt;0,100*35719/572123,"")</f>
        <v>6.243237905135784</v>
      </c>
      <c r="S92" s="1">
        <f>IF(COUNT(Q92:R92)=2,R92-Q92,"")</f>
        <v>-45.271089676946666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IF(595541&gt;0,100*244843/595541,"")</f>
        <v>41.11270256791724</v>
      </c>
      <c r="E93" s="1">
        <f>IF(COUNT(C93:D93)=2,D93-C93,"")</f>
        <v>-10.407446411352929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IF(501209&gt;0,100*53652/501209,"")</f>
        <v>10.704516479153407</v>
      </c>
      <c r="L93" s="1">
        <f>IF(COUNT(J93:K93)=2,K93-J93,"")</f>
        <v>-5.038452076392931</v>
      </c>
      <c r="O93" s="1">
        <v>19</v>
      </c>
      <c r="P93" s="1">
        <v>18</v>
      </c>
      <c r="Q93" s="1">
        <f>IF(725510&gt;0,100*356287/725510,"")</f>
        <v>49.1084892007002</v>
      </c>
      <c r="R93" s="1">
        <f>IF(627396&gt;0,100*68131/627396,"")</f>
        <v>10.859329673762664</v>
      </c>
      <c r="S93" s="1">
        <f>IF(COUNT(Q93:R93)=2,R93-Q93,"")</f>
        <v>-38.24915952693753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IF(863361&gt;0,100*252022/863361,"")</f>
        <v>29.190801993604065</v>
      </c>
      <c r="E94" s="1">
        <f>IF(COUNT(C94:D94)=2,D94-C94,"")</f>
        <v>-16.37452768115988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IF(674804&gt;0,100*176106/674804,"")</f>
        <v>26.097355676611283</v>
      </c>
      <c r="L94" s="1">
        <f>IF(COUNT(J94:K94)=2,K94-J94,"")</f>
        <v>4.491019300768716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IF(796046&gt;0,100*176346/796046,"")</f>
        <v>22.15273991703997</v>
      </c>
      <c r="S94" s="1">
        <f>IF(COUNT(Q94:R94)=2,R94-Q94,"")</f>
        <v>-28.02913601147088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IF(499371&gt;0,100*100556/499371,"")</f>
        <v>20.136531756950244</v>
      </c>
      <c r="E95" s="1">
        <f>IF(COUNT(C95:D95)=2,D95-C95,"")</f>
        <v>-28.812995036852353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IF(390627&gt;0,100*120690/390627,"")</f>
        <v>30.89648181001313</v>
      </c>
      <c r="L95" s="1">
        <f>IF(COUNT(J95:K95)=2,K95-J95,"")</f>
        <v>-25.398410146631516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IF(252068&gt;0,100*13167/252068,"")</f>
        <v>5.22359045971722</v>
      </c>
      <c r="S95" s="1">
        <f>IF(COUNT(Q95:R95)=2,R95-Q95,"")</f>
        <v>-49.48211103995825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IF(128509&gt;0,100*41359/128509,"")</f>
        <v>32.18373810394603</v>
      </c>
      <c r="E96" s="1">
        <f>IF(COUNT(C96:D96)=2,D96-C96,"")</f>
        <v>-4.397498057614584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IF(237084&gt;0,100*95008/237084,"")</f>
        <v>40.07356042584063</v>
      </c>
      <c r="L96" s="1">
        <f>IF(COUNT(J96:K96)=2,K96-J96,"")</f>
        <v>-9.807473528549401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IF(237448&gt;0,100*82055/237448,"")</f>
        <v>34.55703985714767</v>
      </c>
      <c r="S96" s="1">
        <f>IF(COUNT(Q96:R96)=2,R96-Q96,"")</f>
        <v>-6.499758113520315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IF(359101&gt;0,100*4062/359101,"")</f>
        <v>1.1311580864436468</v>
      </c>
      <c r="E97" s="1">
        <f>IF(COUNT(C97:D97)=2,D97-C97,"")</f>
        <v>0.9393702115562739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IF(948787&gt;0,100*181162/948787,"")</f>
        <v>19.09406431580534</v>
      </c>
      <c r="L97" s="1">
        <f>IF(COUNT(J97:K97)=2,K97-J97,"")</f>
        <v>-35.196704630876496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IF(896745&gt;0,100*331981/896745,"")</f>
        <v>37.02066919804404</v>
      </c>
      <c r="S97" s="1">
        <f>IF(COUNT(Q97:R97)=2,R97-Q97,"")</f>
        <v>-6.462633073956731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IF(639680&gt;0,100*135265/639680,"")</f>
        <v>21.14572911455728</v>
      </c>
      <c r="E98" s="1">
        <f>IF(COUNT(C98:D98)=2,D98-C98,"")</f>
        <v>-19.366018614344267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IF(782399&gt;0,100*24881/782399,"")</f>
        <v>3.1800909765988963</v>
      </c>
      <c r="L98" s="1">
        <f>IF(COUNT(J98:K98)=2,K98-J98,"")</f>
        <v>-44.199505182641126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IF(728328&gt;0,100*152707/728328,"")</f>
        <v>20.966789688162475</v>
      </c>
      <c r="S98" s="1">
        <f>IF(COUNT(Q98:R98)=2,R98-Q98,"")</f>
        <v>-5.313980327265035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IF(436584&gt;0,100*181652/436584,"")</f>
        <v>41.60757150972093</v>
      </c>
      <c r="E99" s="1">
        <f>IF(COUNT(C99:D99)=2,D99-C99,"")</f>
        <v>-3.082766217958394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IF(819882&gt;0,100*70087/819882,"")</f>
        <v>8.548425261196124</v>
      </c>
      <c r="L99" s="1">
        <f>IF(COUNT(J99:K99)=2,K99-J99,"")</f>
        <v>-42.72372638652263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IF(598154&gt;0,100*58022/598154,"")</f>
        <v>9.70017754625063</v>
      </c>
      <c r="S99" s="1">
        <f>IF(COUNT(Q99:R99)=2,R99-Q99,"")</f>
        <v>-32.86789355147876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IF(650416&gt;0,100*296907/650416,"")</f>
        <v>45.64878477774224</v>
      </c>
      <c r="E100" s="1">
        <f>IF(COUNT(C100:D100)=2,D100-C100,"")</f>
        <v>-5.543668623103045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IF(779869&gt;0,100*217747/779869,"")</f>
        <v>27.920971342622927</v>
      </c>
      <c r="L100" s="1">
        <f>IF(COUNT(J100:K100)=2,K100-J100,"")</f>
        <v>21.84479538218743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IF(639952&gt;0,100*169793/639952,"")</f>
        <v>26.53214616096207</v>
      </c>
      <c r="S100" s="1">
        <f>IF(COUNT(Q100:R100)=2,R100-Q100,"")</f>
        <v>-33.0558181261185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IF(483168&gt;0,100*209268/483168,"")</f>
        <v>43.31164315517584</v>
      </c>
      <c r="E101" s="1">
        <f>IF(COUNT(C101:D101)=2,D101-C101,"")</f>
        <v>-14.50324716732473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IF(521604&gt;0,100*214469/521604,"")</f>
        <v>41.11720769012508</v>
      </c>
      <c r="L101" s="1">
        <f>IF(COUNT(J101:K101)=2,K101-J101,"")</f>
        <v>21.28714695667664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IF(1078165&gt;0,100*363678/1078165,"")</f>
        <v>33.73120069748137</v>
      </c>
      <c r="S101" s="1">
        <f>IF(COUNT(Q101:R101)=2,R101-Q101,"")</f>
        <v>15.281286546152813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IF(664304&gt;0,100*256828/664304,"")</f>
        <v>38.66121534719044</v>
      </c>
      <c r="L102" s="1">
        <f>IF(COUNT(J102:K102)=2,K102-J102,"")</f>
        <v>4.0135076953991415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IF(628849&gt;0,100*196875/628849,"")</f>
        <v>31.307197753355734</v>
      </c>
      <c r="S102" s="1">
        <f>IF(COUNT(Q102:R102)=2,R102-Q102,"")</f>
        <v>2.713018999925705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IF(485169&gt;0,100*212955/485169,"")</f>
        <v>43.89295276491284</v>
      </c>
      <c r="E103" s="1">
        <f>IF(COUNT(C103:D103)=2,D103-C103,"")</f>
        <v>-12.255192617677835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IF(678265&gt;0,100*276693/678265,"")</f>
        <v>40.79423234281586</v>
      </c>
      <c r="L103" s="1">
        <f>IF(COUNT(J103:K103)=2,K103-J103,"")</f>
        <v>-15.385540302904069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IF(674885&gt;0,100*250297/674885,"")</f>
        <v>37.08735562355068</v>
      </c>
      <c r="S103" s="1">
        <f>IF(COUNT(Q103:R103)=2,R103-Q103,"")</f>
        <v>-14.079136022066159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IF(681658&gt;0,100*241968/681658,"")</f>
        <v>35.49697942369927</v>
      </c>
      <c r="E104" s="1">
        <f>IF(COUNT(C104:D104)=2,D104-C104,"")</f>
        <v>-17.010853056199124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IF(418182&gt;0,100*20538/418182,"")</f>
        <v>4.911258734235333</v>
      </c>
      <c r="L104" s="1">
        <f>IF(COUNT(J104:K104)=2,K104-J104,"")</f>
        <v>-23.199914733449035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IF(548604&gt;0,100*6908/548604,"")</f>
        <v>1.2591960685667622</v>
      </c>
      <c r="E105" s="1">
        <f>IF(COUNT(C105:D105)=2,D105-C105,"")</f>
        <v>-21.208509944796266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IF(531562&gt;0,100*178236/531562,"")</f>
        <v>33.53061355025378</v>
      </c>
      <c r="L105" s="1">
        <f>IF(COUNT(J105:K105)=2,K105-J105,"")</f>
        <v>16.187013553230585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IF(610462&gt;0,100*79012/610462,"")</f>
        <v>12.9429841660906</v>
      </c>
      <c r="S105" s="1">
        <f>IF(COUNT(Q105:R105)=2,R105-Q105,"")</f>
        <v>-26.550173806088548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27.106207725243674</v>
      </c>
      <c r="E106" s="1">
        <f>IF(COUNT(E75:E105)&gt;0,AVERAGE(E75:E105),"")</f>
        <v>-9.667519058098758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23.073136794370598</v>
      </c>
      <c r="L106" s="1">
        <f>IF(COUNT(L75:L105)&gt;0,AVERAGE(L75:L105),"")</f>
        <v>-13.171691191439232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21.782698682968594</v>
      </c>
      <c r="S106" s="1">
        <f>IF(COUNT(S75:S105)&gt;0,AVERAGE(S75:S105),"")</f>
        <v>-13.3996390560456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IF(323164&gt;0,100*7213/323164,"")</f>
        <v>2.231993662660445</v>
      </c>
      <c r="E3" s="1">
        <f>IF(COUNT(C3:D3)=2,D3-C3,"")</f>
        <v>-13.40697888305387</v>
      </c>
      <c r="H3" s="1">
        <v>1</v>
      </c>
      <c r="I3" s="1">
        <v>0</v>
      </c>
      <c r="J3" s="1">
        <f>IF(215009&gt;0,100*58251/215009,"")</f>
        <v>27.09235427354204</v>
      </c>
      <c r="K3" s="1">
        <f>IF(247966&gt;0,100*45001/247966,"")</f>
        <v>18.148052555592297</v>
      </c>
      <c r="L3" s="1">
        <f>IF(COUNT(J3:K3)=2,K3-J3,"")</f>
        <v>-8.944301717949742</v>
      </c>
      <c r="O3" s="1">
        <v>1</v>
      </c>
      <c r="P3" s="1">
        <v>0</v>
      </c>
      <c r="Q3" s="1">
        <f>IF(558995&gt;0,100*195788/558995,"")</f>
        <v>35.0250002236156</v>
      </c>
      <c r="R3" s="1">
        <f>IF(267409&gt;0,100*19100/267409,"")</f>
        <v>7.14261674064822</v>
      </c>
      <c r="S3" s="1">
        <f>IF(COUNT(Q3:R3)=2,R3-Q3,"")</f>
        <v>-27.882383482967377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IF(136654&gt;0,100*48988/136654,"")</f>
        <v>35.84820056493041</v>
      </c>
      <c r="E4" s="1">
        <f>IF(COUNT(C4:D4)=2,D4-C4,"")</f>
        <v>-11.96736578736072</v>
      </c>
      <c r="H4" s="1">
        <v>2</v>
      </c>
      <c r="I4" s="1">
        <v>1</v>
      </c>
      <c r="J4" s="1">
        <f>IF(296332&gt;0,100*64971/296332,"")</f>
        <v>21.925070529001257</v>
      </c>
      <c r="K4" s="1">
        <f>IF(323103&gt;0,100*80773/323103,"")</f>
        <v>24.999148878221497</v>
      </c>
      <c r="L4" s="1">
        <f>IF(COUNT(J4:K4)=2,K4-J4,"")</f>
        <v>3.0740783492202404</v>
      </c>
      <c r="O4" s="1">
        <v>2</v>
      </c>
      <c r="P4" s="1">
        <v>1</v>
      </c>
      <c r="Q4" s="1">
        <f>IF(348213&gt;0,100*131600/348213,"")</f>
        <v>37.792960056057645</v>
      </c>
      <c r="R4" s="1">
        <f>IF(349183&gt;0,100*83318/349183,"")</f>
        <v>23.860840877133192</v>
      </c>
      <c r="S4" s="1">
        <f>IF(COUNT(Q4:R4)=2,R4-Q4,"")</f>
        <v>-13.932119178924452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IF(306522&gt;0,100*65194/306522,"")</f>
        <v>21.26894643777608</v>
      </c>
      <c r="E5" s="1">
        <f>IF(COUNT(C5:D5)=2,D5-C5,"")</f>
        <v>-20.950826495188068</v>
      </c>
      <c r="H5" s="1">
        <v>3</v>
      </c>
      <c r="I5" s="1">
        <v>2</v>
      </c>
      <c r="J5" s="1">
        <f>IF(328831&gt;0,100*62705/328831,"")</f>
        <v>19.069065872743142</v>
      </c>
      <c r="K5" s="1">
        <f>IF(585949&gt;0,100*129752/585949,"")</f>
        <v>22.143906722257398</v>
      </c>
      <c r="L5" s="1">
        <f>IF(COUNT(J5:K5)=2,K5-J5,"")</f>
        <v>3.0748408495142563</v>
      </c>
      <c r="O5" s="1">
        <v>3</v>
      </c>
      <c r="P5" s="1">
        <v>2</v>
      </c>
      <c r="Q5" s="1">
        <f>IF(499604&gt;0,100*190955/499604,"")</f>
        <v>38.221271246827484</v>
      </c>
      <c r="R5" s="1">
        <f>IF(469652&gt;0,100*87458/469652,"")</f>
        <v>18.621873216764754</v>
      </c>
      <c r="S5" s="1">
        <f>IF(COUNT(Q5:R5)=2,R5-Q5,"")</f>
        <v>-19.59939803006273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IF(571904&gt;0,100*167155/571904,"")</f>
        <v>29.227807464189794</v>
      </c>
      <c r="E6" s="1">
        <f>IF(COUNT(C6:D6)=2,D6-C6,"")</f>
        <v>-9.498119659318185</v>
      </c>
      <c r="H6" s="1">
        <v>4</v>
      </c>
      <c r="I6" s="1">
        <v>3</v>
      </c>
      <c r="J6" s="1">
        <f>IF(464767&gt;0,100*69099/464767,"")</f>
        <v>14.867449711360747</v>
      </c>
      <c r="K6" s="1">
        <f>IF(381541&gt;0,100*23212/381541,"")</f>
        <v>6.0837498460191695</v>
      </c>
      <c r="L6" s="1">
        <f>IF(COUNT(J6:K6)=2,K6-J6,"")</f>
        <v>-8.783699865341578</v>
      </c>
      <c r="O6" s="1">
        <v>4</v>
      </c>
      <c r="P6" s="1">
        <v>3</v>
      </c>
      <c r="Q6" s="1">
        <f>IF(332328&gt;0,100*11557/332328,"")</f>
        <v>3.477588406634409</v>
      </c>
      <c r="R6" s="1">
        <f>IF(502487&gt;0,100*50878/502487,"")</f>
        <v>10.125237070809792</v>
      </c>
      <c r="S6" s="1">
        <f>IF(COUNT(Q6:R6)=2,R6-Q6,"")</f>
        <v>6.647648664175383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IF(347928&gt;0,100*19622/347928,"")</f>
        <v>5.639672575935251</v>
      </c>
      <c r="E7" s="1">
        <f>IF(COUNT(C7:D7)=2,D7-C7,"")</f>
        <v>-29.416248952948493</v>
      </c>
      <c r="H7" s="1">
        <v>5</v>
      </c>
      <c r="I7" s="1">
        <v>4</v>
      </c>
      <c r="J7" s="1">
        <f>IF(411240&gt;0,100*106457/411240,"")</f>
        <v>25.88683007489544</v>
      </c>
      <c r="K7" s="1">
        <f>IF(489957&gt;0,100*92708/489957,"")</f>
        <v>18.921660472245524</v>
      </c>
      <c r="L7" s="1">
        <f>IF(COUNT(J7:K7)=2,K7-J7,"")</f>
        <v>-6.965169602649915</v>
      </c>
      <c r="O7" s="1">
        <v>5</v>
      </c>
      <c r="P7" s="1">
        <v>4</v>
      </c>
      <c r="Q7" s="1">
        <f>IF(258766&gt;0,100*96546/258766,"")</f>
        <v>37.3101566666409</v>
      </c>
      <c r="R7" s="1">
        <f>IF(300720&gt;0,100*83016/300720,"")</f>
        <v>27.605746209098164</v>
      </c>
      <c r="S7" s="1">
        <f>IF(COUNT(Q7:R7)=2,R7-Q7,"")</f>
        <v>-9.704410457542735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IF(344289&gt;0,100*24923/344289,"")</f>
        <v>7.238976557485136</v>
      </c>
      <c r="E8" s="1">
        <f>IF(COUNT(C8:D8)=2,D8-C8,"")</f>
        <v>-16.251403992631644</v>
      </c>
      <c r="H8" s="1">
        <v>6</v>
      </c>
      <c r="I8" s="1">
        <v>5</v>
      </c>
      <c r="J8" s="1">
        <f>IF(324059&gt;0,100*91696/324059,"")</f>
        <v>28.29608188632317</v>
      </c>
      <c r="K8" s="1">
        <f>IF(441325&gt;0,100*89653/441325,"")</f>
        <v>20.314507449158782</v>
      </c>
      <c r="L8" s="1">
        <f>IF(COUNT(J8:K8)=2,K8-J8,"")</f>
        <v>-7.981574437164387</v>
      </c>
      <c r="O8" s="1">
        <v>6</v>
      </c>
      <c r="P8" s="1">
        <v>5</v>
      </c>
      <c r="Q8" s="1">
        <f>IF(371148&gt;0,100*77908/371148,"")</f>
        <v>20.9910871134965</v>
      </c>
      <c r="R8" s="1">
        <f>IF(433727&gt;0,100*92077/433727,"")</f>
        <v>21.22925250214997</v>
      </c>
      <c r="S8" s="1">
        <f>IF(COUNT(Q8:R8)=2,R8-Q8,"")</f>
        <v>0.23816538865346715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IF(324244&gt;0,100*100771/324244,"")</f>
        <v>31.078755505113435</v>
      </c>
      <c r="E9" s="1">
        <f>IF(COUNT(C9:D9)=2,D9-C9,"")</f>
        <v>-13.386228370438502</v>
      </c>
      <c r="H9" s="1">
        <v>7</v>
      </c>
      <c r="I9" s="1">
        <v>6</v>
      </c>
      <c r="J9" s="1">
        <f>IF(325191&gt;0,100*2956/325191,"")</f>
        <v>0.9090042467349957</v>
      </c>
      <c r="K9" s="1">
        <f>IF(404983&gt;0,100*10285/404983,"")</f>
        <v>2.5396127738695204</v>
      </c>
      <c r="L9" s="1">
        <f>IF(COUNT(J9:K9)=2,K9-J9,"")</f>
        <v>1.6306085271345248</v>
      </c>
      <c r="O9" s="1">
        <v>7</v>
      </c>
      <c r="P9" s="1">
        <v>6</v>
      </c>
      <c r="Q9" s="1">
        <f>IF(434887&gt;0,100*93317/434887,"")</f>
        <v>21.457757992306046</v>
      </c>
      <c r="R9" s="1">
        <f>IF(493677&gt;0,100*52796/493677,"")</f>
        <v>10.694441912424521</v>
      </c>
      <c r="S9" s="1">
        <f>IF(COUNT(Q9:R9)=2,R9-Q9,"")</f>
        <v>-10.763316079881525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IF(380357&gt;0,100*138778/380357,"")</f>
        <v>36.486248445539324</v>
      </c>
      <c r="E10" s="1">
        <f>IF(COUNT(C10:D10)=2,D10-C10,"")</f>
        <v>-9.04186982445436</v>
      </c>
      <c r="H10" s="1">
        <v>8</v>
      </c>
      <c r="I10" s="1">
        <v>7</v>
      </c>
      <c r="J10" s="1">
        <f>IF(376958&gt;0,100*1179/376958,"")</f>
        <v>0.31276693955294754</v>
      </c>
      <c r="K10" s="1">
        <f>IF(386586&gt;0,100*14524/386586,"")</f>
        <v>3.7569906825389436</v>
      </c>
      <c r="L10" s="1">
        <f>IF(COUNT(J10:K10)=2,K10-J10,"")</f>
        <v>3.4442237429859963</v>
      </c>
      <c r="O10" s="1">
        <v>8</v>
      </c>
      <c r="P10" s="1">
        <v>7</v>
      </c>
      <c r="Q10" s="1">
        <f>IF(275738&gt;0,100*1113/275738,"")</f>
        <v>0.4036440389064982</v>
      </c>
      <c r="R10" s="1">
        <f>IF(280616&gt;0,100*2595/280616,"")</f>
        <v>0.9247512615103914</v>
      </c>
      <c r="S10" s="1">
        <f>IF(COUNT(Q10:R10)=2,R10-Q10,"")</f>
        <v>0.5211072226038933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IF(255270&gt;0,100*93614/255270,"")</f>
        <v>36.67254279782191</v>
      </c>
      <c r="E11" s="1">
        <f>IF(COUNT(C11:D11)=2,D11-C11,"")</f>
        <v>-9.87628695599858</v>
      </c>
      <c r="H11" s="1">
        <v>9</v>
      </c>
      <c r="I11" s="1">
        <v>8</v>
      </c>
      <c r="J11" s="1">
        <f>IF(422295&gt;0,100*144131/422295,"")</f>
        <v>34.13040646941119</v>
      </c>
      <c r="K11" s="1">
        <f>IF(393609&gt;0,100*115360/393609,"")</f>
        <v>29.308272930751077</v>
      </c>
      <c r="L11" s="1">
        <f>IF(COUNT(J11:K11)=2,K11-J11,"")</f>
        <v>-4.822133538660115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IF(384366&gt;0,100*98211/384366,"")</f>
        <v>25.55142754562058</v>
      </c>
      <c r="S11" s="1">
        <f>IF(COUNT(Q11:R11)=2,R11-Q11,"")</f>
        <v>-12.953365796588184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IF(429530&gt;0,100*21616/429530,"")</f>
        <v>5.032477358973762</v>
      </c>
      <c r="E12" s="1">
        <f>IF(COUNT(C12:D12)=2,D12-C12,"")</f>
        <v>-25.890110523185065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IF(342106&gt;0,100*22964/342106,"")</f>
        <v>6.712539388376702</v>
      </c>
      <c r="L12" s="1">
        <f>IF(COUNT(J12:K12)=2,K12-J12,"")</f>
        <v>-10.025088882350815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IF(428596&gt;0,100*58069/428596,"")</f>
        <v>13.548656543691495</v>
      </c>
      <c r="S12" s="1">
        <f>IF(COUNT(Q12:R12)=2,R12-Q12,"")</f>
        <v>-4.604848805340735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IF(430880&gt;0,100*146582/430880,"")</f>
        <v>34.019216487189006</v>
      </c>
      <c r="E13" s="1">
        <f>IF(COUNT(C13:D13)=2,D13-C13,"")</f>
        <v>1.5660176008349609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IF(511402&gt;0,100*40432/511402,"")</f>
        <v>7.906109088349283</v>
      </c>
      <c r="L13" s="1">
        <f>IF(COUNT(J13:K13)=2,K13-J13,"")</f>
        <v>2.7093753336558475</v>
      </c>
      <c r="O13" s="1">
        <v>11</v>
      </c>
      <c r="P13" s="1">
        <v>10</v>
      </c>
      <c r="Q13" s="1">
        <f>IF(517486&gt;0,100*3762/517486,"")</f>
        <v>0.726976188727811</v>
      </c>
      <c r="R13" s="1">
        <f>IF(534383&gt;0,100*133585/534383,"")</f>
        <v>24.997988334209733</v>
      </c>
      <c r="S13" s="1">
        <f>IF(COUNT(Q13:R13)=2,R13-Q13,"")</f>
        <v>24.271012145481922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IF(304155&gt;0,100*109422/304155,"")</f>
        <v>35.97573605562953</v>
      </c>
      <c r="E14" s="1">
        <f>IF(COUNT(C14:D14)=2,D14-C14,"")</f>
        <v>-7.997994979249071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IF(521428&gt;0,100*7765/521428,"")</f>
        <v>1.4891797141695498</v>
      </c>
      <c r="L14" s="1">
        <f>IF(COUNT(J14:K14)=2,K14-J14,"")</f>
        <v>-2.5663512650388607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IF(699513&gt;0,100*176992/699513,"")</f>
        <v>25.302174512839645</v>
      </c>
      <c r="S14" s="1">
        <f>IF(COUNT(Q14:R14)=2,R14-Q14,"")</f>
        <v>-12.943676380267238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IF(420141&gt;0,100*53590/420141,"")</f>
        <v>12.755241692669841</v>
      </c>
      <c r="E15" s="1">
        <f>IF(COUNT(C15:D15)=2,D15-C15,"")</f>
        <v>-19.282072505971342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IF(575835&gt;0,100*83241/575835,"")</f>
        <v>14.455703456719373</v>
      </c>
      <c r="L15" s="1">
        <f>IF(COUNT(J15:K15)=2,K15-J15,"")</f>
        <v>-27.801366921331887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IF(347864&gt;0,100*17363/347864,"")</f>
        <v>4.9913184462893545</v>
      </c>
      <c r="S15" s="1">
        <f>IF(COUNT(Q15:R15)=2,R15-Q15,"")</f>
        <v>-2.7879475988898816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IF(213614&gt;0,100*7664/213614,"")</f>
        <v>3.587779827164886</v>
      </c>
      <c r="S16" s="1">
        <f>IF(COUNT(Q16:R16)=2,R16-Q16,"")</f>
        <v>2.1173155735677636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IF(257848&gt;0,100*82570/257848,"")</f>
        <v>32.02274208060563</v>
      </c>
      <c r="E17" s="1">
        <f>IF(COUNT(C17:D17)=2,D17-C17,"")</f>
        <v>-9.968610233127336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IF(418438&gt;0,100*84078/418438,"")</f>
        <v>20.09329936573638</v>
      </c>
      <c r="L17" s="1">
        <f>IF(COUNT(J17:K17)=2,K17-J17,"")</f>
        <v>-25.83653102423528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IF(395239&gt;0,100*103407/395239,"")</f>
        <v>26.163156975905718</v>
      </c>
      <c r="S17" s="1">
        <f>IF(COUNT(Q17:R17)=2,R17-Q17,"")</f>
        <v>-6.867374435991881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IF(303328&gt;0,100*95807/303328,"")</f>
        <v>31.5852806203186</v>
      </c>
      <c r="E18" s="1">
        <f>IF(COUNT(C18:D18)=2,D18-C18,"")</f>
        <v>-7.423450608136619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IF(518566&gt;0,100*98564/518566,"")</f>
        <v>19.00703092759649</v>
      </c>
      <c r="L18" s="1">
        <f>IF(COUNT(J18:K18)=2,K18-J18,"")</f>
        <v>-5.579192458875735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IF(320359&gt;0,100*41150/320359,"")</f>
        <v>12.844964555389423</v>
      </c>
      <c r="S18" s="1">
        <f>IF(COUNT(Q18:R18)=2,R18-Q18,"")</f>
        <v>-19.525116229953333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IF(236470&gt;0,100*1669/236470,"")</f>
        <v>0.7057977756163573</v>
      </c>
      <c r="E19" s="1">
        <f>IF(COUNT(C19:D19)=2,D19-C19,"")</f>
        <v>-5.952967241580983</v>
      </c>
      <c r="H19" s="1">
        <v>17</v>
      </c>
      <c r="I19" s="1">
        <v>16</v>
      </c>
      <c r="J19" s="1">
        <f>IF(392782&gt;0,100*147986/392782,"")</f>
        <v>37.6763700984261</v>
      </c>
      <c r="K19" s="1">
        <f>IF(541228&gt;0,100*117877/541228,"")</f>
        <v>21.779545773685026</v>
      </c>
      <c r="L19" s="1">
        <f>IF(COUNT(J19:K19)=2,K19-J19,"")</f>
        <v>-15.896824324741072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IF(343579&gt;0,100*72328/343579,"")</f>
        <v>21.0513448144386</v>
      </c>
      <c r="S19" s="1">
        <f>IF(COUNT(Q19:R19)=2,R19-Q19,"")</f>
        <v>-1.1224893902820021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IF(285294&gt;0,100*5195/285294,"")</f>
        <v>1.8209285859499325</v>
      </c>
      <c r="E20" s="1">
        <f>IF(COUNT(C20:D20)=2,D20-C20,"")</f>
        <v>1.3122502806270937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IF(458444&gt;0,100*15875/458444,"")</f>
        <v>3.462800254774847</v>
      </c>
      <c r="L20" s="1">
        <f>IF(COUNT(J20:K20)=2,K20-J20,"")</f>
        <v>-18.326310533553812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IF(562728&gt;0,100*21298/562728,"")</f>
        <v>3.7847770148277675</v>
      </c>
      <c r="S20" s="1">
        <f>IF(COUNT(Q20:R20)=2,R20-Q20,"")</f>
        <v>-29.583944621669815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IF(358114&gt;0,100*111591/358114,"")</f>
        <v>31.160747694868114</v>
      </c>
      <c r="E21" s="1">
        <f>IF(COUNT(C21:D21)=2,D21-C21,"")</f>
        <v>-8.688123010262764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IF(358730&gt;0,100*37352/358730,"")</f>
        <v>10.412287793047696</v>
      </c>
      <c r="L21" s="1">
        <f>IF(COUNT(J21:K21)=2,K21-J21,"")</f>
        <v>-3.4823069016450017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IF(522147&gt;0,100*62008/522147,"")</f>
        <v>11.875582929711365</v>
      </c>
      <c r="S21" s="1">
        <f>IF(COUNT(Q21:R21)=2,R21-Q21,"")</f>
        <v>-6.29464276174812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IF(371335&gt;0,100*68928/371335,"")</f>
        <v>18.56221471178316</v>
      </c>
      <c r="E22" s="1">
        <f>IF(COUNT(C22:D22)=2,D22-C22,"")</f>
        <v>-16.275604336286793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IF(234047&gt;0,100*33440/234047,"")</f>
        <v>14.28772853315787</v>
      </c>
      <c r="L22" s="1">
        <f>IF(COUNT(J22:K22)=2,K22-J22,"")</f>
        <v>1.9167245866195266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IF(375562&gt;0,100*26500/375562,"")</f>
        <v>7.056091936883924</v>
      </c>
      <c r="S22" s="1">
        <f>IF(COUNT(Q22:R22)=2,R22-Q22,"")</f>
        <v>-13.640604417419055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IF(418418&gt;0,100*55022/418418,"")</f>
        <v>13.150007886849993</v>
      </c>
      <c r="E23" s="1">
        <f>IF(COUNT(C23:D23)=2,D23-C23,"")</f>
        <v>-1.7184669666323575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IF(353738&gt;0,100*28802/353738,"")</f>
        <v>8.142184328514324</v>
      </c>
      <c r="L23" s="1">
        <f>IF(COUNT(J23:K23)=2,K23-J23,"")</f>
        <v>-34.49230075079249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IF(182430&gt;0,100*28719/182430,"")</f>
        <v>15.742476566354219</v>
      </c>
      <c r="S23" s="1">
        <f>IF(COUNT(Q23:R23)=2,R23-Q23,"")</f>
        <v>-10.947692032113656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IF(63925&gt;0,100*19685/63925,"")</f>
        <v>30.79389910050841</v>
      </c>
      <c r="E24" s="1">
        <f>IF(COUNT(C24:D24)=2,D24-C24,"")</f>
        <v>-12.06432747525233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IF(274777&gt;0,100*61764/274777,"")</f>
        <v>22.477863867790973</v>
      </c>
      <c r="L24" s="1">
        <f>IF(COUNT(J24:K24)=2,K24-J24,"")</f>
        <v>-3.8562149045481</v>
      </c>
      <c r="O24" s="1">
        <v>22</v>
      </c>
      <c r="P24" s="1">
        <v>21</v>
      </c>
      <c r="Q24" s="1">
        <f>IF(97184&gt;0,100*37074/97184,"")</f>
        <v>38.14825485676655</v>
      </c>
      <c r="R24" s="1">
        <f>IF(204612&gt;0,100*77203/204612,"")</f>
        <v>37.731413602330264</v>
      </c>
      <c r="S24" s="1">
        <f>IF(COUNT(Q24:R24)=2,R24-Q24,"")</f>
        <v>-0.41684125443628517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IF(459844&gt;0,100*38559/459844,"")</f>
        <v>8.385234992736667</v>
      </c>
      <c r="L25" s="1">
        <f>IF(COUNT(J25:K25)=2,K25-J25,"")</f>
        <v>-8.119980878887429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IF(407457&gt;0,100*85880/407457,"")</f>
        <v>21.07707070930184</v>
      </c>
      <c r="S25" s="1">
        <f>IF(COUNT(Q25:R25)=2,R25-Q25,"")</f>
        <v>-12.754156994004067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IF(465068&gt;0,100*18228/465068,"")</f>
        <v>3.9194268365056293</v>
      </c>
      <c r="E26" s="1">
        <f>IF(COUNT(C26:D26)=2,D26-C26,"")</f>
        <v>-11.681381120756138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IF(576353&gt;0,100*87294/576353,"")</f>
        <v>15.14592619453703</v>
      </c>
      <c r="L26" s="1">
        <f>IF(COUNT(J26:K26)=2,K26-J26,"")</f>
        <v>-14.825673611475509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IF(485456&gt;0,100*50797/485456,"")</f>
        <v>10.463770146007054</v>
      </c>
      <c r="S26" s="1">
        <f>IF(COUNT(Q26:R26)=2,R26-Q26,"")</f>
        <v>-13.988812511299283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IF(285422&gt;0,100*98259/285422,"")</f>
        <v>34.425867662618856</v>
      </c>
      <c r="E27" s="1">
        <f>IF(COUNT(C27:D27)=2,D27-C27,"")</f>
        <v>-11.103883269161607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IF(355400&gt;0,100*30982/355400,"")</f>
        <v>8.717501406865503</v>
      </c>
      <c r="L27" s="1">
        <f>IF(COUNT(J27:K27)=2,K27-J27,"")</f>
        <v>-10.617150209087638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IF(490454&gt;0,100*78908/490454,"")</f>
        <v>16.08876673449498</v>
      </c>
      <c r="S27" s="1">
        <f>IF(COUNT(Q27:R27)=2,R27-Q27,"")</f>
        <v>10.822979305428996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IF(470026&gt;0,100*162163/470026,"")</f>
        <v>34.50085739937791</v>
      </c>
      <c r="E28" s="1">
        <f>IF(COUNT(C28:D28)=2,D28-C28,"")</f>
        <v>-7.745176728616947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IF(549535&gt;0,100*182813/549535,"")</f>
        <v>33.26685288471162</v>
      </c>
      <c r="L28" s="1">
        <f>IF(COUNT(J28:K28)=2,K28-J28,"")</f>
        <v>1.7975705955331804</v>
      </c>
      <c r="O28" s="1">
        <v>26</v>
      </c>
      <c r="P28" s="1">
        <v>25</v>
      </c>
      <c r="Q28" s="1">
        <f>IF(511784&gt;0,100*122343/511784,"")</f>
        <v>23.90520219467588</v>
      </c>
      <c r="R28" s="4">
        <f>IF(0&gt;0,100*0/0,"")</f>
        <v/>
      </c>
      <c r="S28" s="1">
        <f>IF(COUNT(Q28:R28)=2,R28-Q28,"")</f>
        <v/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IF(396440&gt;0,100*97974/396440,"")</f>
        <v>24.713449702350925</v>
      </c>
      <c r="E29" s="1">
        <f>IF(COUNT(C29:D29)=2,D29-C29,"")</f>
        <v>-4.905708241412473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IF(496050&gt;0,100*88893/496050,"")</f>
        <v>17.92016933776837</v>
      </c>
      <c r="L29" s="1">
        <f>IF(COUNT(J29:K29)=2,K29-J29,"")</f>
        <v>9.846452092855474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IF(418246&gt;0,100*66858/418246,"")</f>
        <v>15.985329208169356</v>
      </c>
      <c r="S29" s="1">
        <f>IF(COUNT(Q29:R29)=2,R29-Q29,"")</f>
        <v>-28.630898522208994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IF(203224&gt;0,100*31108/203224,"")</f>
        <v>15.30724717553045</v>
      </c>
      <c r="L30" s="1">
        <f>IF(COUNT(J30:K30)=2,K30-J30,"")</f>
        <v>-19.84991817880026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IF(236036&gt;0,100*27178/236036,"")</f>
        <v>11.51434526936569</v>
      </c>
      <c r="S30" s="1">
        <f>IF(COUNT(Q30:R30)=2,R30-Q30,"")</f>
        <v>-11.564283477704896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IF(252535&gt;0,100*89288/252535,"")</f>
        <v>35.356683232027244</v>
      </c>
      <c r="E31" s="1">
        <f>IF(COUNT(C31:D31)=2,D31-C31,"")</f>
        <v>-6.894283119914967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IF(411253&gt;0,100*67516/411253,"")</f>
        <v>16.417144677364057</v>
      </c>
      <c r="L31" s="1">
        <f>IF(COUNT(J31:K31)=2,K31-J31,"")</f>
        <v>-27.053545449356704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IF(401273&gt;0,100*68879/401273,"")</f>
        <v>17.165121999237428</v>
      </c>
      <c r="S31" s="1">
        <f>IF(COUNT(Q31:R31)=2,R31-Q31,"")</f>
        <v>-29.414750725852194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IF(418221&gt;0,100*106422/418221,"")</f>
        <v>25.446354917615327</v>
      </c>
      <c r="E32" s="1">
        <f>IF(COUNT(C32:D32)=2,D32-C32,"")</f>
        <v>-20.324663213718377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IF(284291&gt;0,100*28318/284291,"")</f>
        <v>9.96092032459698</v>
      </c>
      <c r="L32" s="1">
        <f>IF(COUNT(J32:K32)=2,K32-J32,"")</f>
        <v>-14.29441034072553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IF(324627&gt;0,100*32071/324627,"")</f>
        <v>9.87933844073352</v>
      </c>
      <c r="S32" s="1">
        <f>IF(COUNT(Q32:R32)=2,R32-Q32,"")</f>
        <v>-9.433688689779252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IF(302623&gt;0,100*78912/302623,"")</f>
        <v>26.07600876337886</v>
      </c>
      <c r="L33" s="1">
        <f>IF(COUNT(J33:K33)=2,K33-J33,"")</f>
        <v>8.125699158720192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IF(371281&gt;0,100*89750/371281,"")</f>
        <v>24.173065683404214</v>
      </c>
      <c r="S33" s="1">
        <f>IF(COUNT(Q33:R33)=2,R33-Q33,"")</f>
        <v>-1.4252392506940765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19.773737449195565</v>
      </c>
      <c r="E34" s="1">
        <f>IF(COUNT(E3:E33)&gt;0,AVERAGE(E3:E33),"")</f>
        <v>-10.511520878463022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14.450910834036684</v>
      </c>
      <c r="L34" s="1">
        <f>IF(COUNT(L3:L33)&gt;0,AVERAGE(L3:L33),"")</f>
        <v>-8.423049788508834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16.026024052897</v>
      </c>
      <c r="S34" s="1">
        <f>IF(COUNT(S3:S33)&gt;0,AVERAGE(S3:S33),"")</f>
        <v>-8.872125760857012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30</v>
      </c>
      <c r="S35" s="3">
        <f>COUNT(S3:S33)</f>
        <v>30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IF(333107&gt;0,100*34437/333107,"")</f>
        <v>10.33811958319699</v>
      </c>
      <c r="E39" s="1">
        <f>IF(COUNT(C39:D39)=2,D39-C39,"")</f>
        <v>2.3317543809085706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IF(702042&gt;0,100*71399/702042,"")</f>
        <v>10.170189247936733</v>
      </c>
      <c r="L39" s="1">
        <f>IF(COUNT(J39:K39)=2,K39-J39,"")</f>
        <v>-19.430932378421485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IF(209413&gt;0,100*80404/209413,"")</f>
        <v>38.39494205230812</v>
      </c>
      <c r="E40" s="1">
        <f>IF(COUNT(C40:D40)=2,D40-C40,"")</f>
        <v>-1.490100639997742</v>
      </c>
      <c r="H40" s="1">
        <v>2</v>
      </c>
      <c r="I40" s="1">
        <v>1</v>
      </c>
      <c r="J40" s="1">
        <f>IF(594344&gt;0,100*221110/594344,"")</f>
        <v>37.20236092229416</v>
      </c>
      <c r="K40" s="1">
        <f>IF(524606&gt;0,100*177259/524606,"")</f>
        <v>33.788976870260726</v>
      </c>
      <c r="L40" s="1">
        <f>IF(COUNT(J40:K40)=2,K40-J40,"")</f>
        <v>-3.413384052033436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IF(509236&gt;0,100*132417/509236,"")</f>
        <v>26.00307126754589</v>
      </c>
      <c r="E41" s="1">
        <f>IF(COUNT(C41:D41)=2,D41-C41,"")</f>
        <v>-25.596509824233657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IF(827122&gt;0,100*244069/827122,"")</f>
        <v>29.508222487130073</v>
      </c>
      <c r="L41" s="1">
        <f>IF(COUNT(J41:K41)=2,K41-J41,"")</f>
        <v>-3.304770480038062</v>
      </c>
      <c r="O41" s="1">
        <v>3</v>
      </c>
      <c r="P41" s="1">
        <v>2</v>
      </c>
      <c r="Q41" s="1">
        <f>IF(735676&gt;0,100*303277/735676,"")</f>
        <v>41.22426176740848</v>
      </c>
      <c r="R41" s="1">
        <f>IF(406416&gt;0,100*40501/406416,"")</f>
        <v>9.965404905318689</v>
      </c>
      <c r="S41" s="1">
        <f>IF(COUNT(Q41:R41)=2,R41-Q41,"")</f>
        <v>-31.25885686208979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IF(752631&gt;0,100*261383/752631,"")</f>
        <v>34.7292365050071</v>
      </c>
      <c r="E42" s="1">
        <f>IF(COUNT(C42:D42)=2,D42-C42,"")</f>
        <v>-8.648133329717147</v>
      </c>
      <c r="H42" s="1">
        <v>4</v>
      </c>
      <c r="I42" s="1">
        <v>3</v>
      </c>
      <c r="J42" s="1">
        <f>IF(584626&gt;0,100*38325/584626,"")</f>
        <v>6.555473071673172</v>
      </c>
      <c r="K42" s="1">
        <f>IF(377058&gt;0,100*19519/377058,"")</f>
        <v>5.1766571721061485</v>
      </c>
      <c r="L42" s="1">
        <f>IF(COUNT(J42:K42)=2,K42-J42,"")</f>
        <v>-1.3788158995670239</v>
      </c>
      <c r="O42" s="1">
        <v>4</v>
      </c>
      <c r="P42" s="1">
        <v>3</v>
      </c>
      <c r="Q42" s="1">
        <f>IF(646087&gt;0,100*38069/646087,"")</f>
        <v>5.8922405186917555</v>
      </c>
      <c r="R42" s="1">
        <f>IF(609994&gt;0,100*6791/609994,"")</f>
        <v>1.113289638914481</v>
      </c>
      <c r="S42" s="1">
        <f>IF(COUNT(Q42:R42)=2,R42-Q42,"")</f>
        <v>-4.778950879777274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IF(519015&gt;0,100*23081/519015,"")</f>
        <v>4.447077637447858</v>
      </c>
      <c r="E43" s="1">
        <f>IF(COUNT(C43:D43)=2,D43-C43,"")</f>
        <v>-12.634628987665412</v>
      </c>
      <c r="H43" s="1">
        <v>5</v>
      </c>
      <c r="I43" s="1">
        <v>4</v>
      </c>
      <c r="J43" s="1">
        <f>IF(200432&gt;0,100*86329/200432,"")</f>
        <v>43.071465634230066</v>
      </c>
      <c r="K43" s="1">
        <f>IF(522758&gt;0,100*108715/522758,"")</f>
        <v>20.796429705523398</v>
      </c>
      <c r="L43" s="1">
        <f>IF(COUNT(J43:K43)=2,K43-J43,"")</f>
        <v>-22.275035928706668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IF(542562&gt;0,100*168613/542562,"")</f>
        <v>31.077185648829072</v>
      </c>
      <c r="S43" s="1">
        <f>IF(COUNT(Q43:R43)=2,R43-Q43,"")</f>
        <v>-10.298898624254143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IF(506702&gt;0,100*73595/506702,"")</f>
        <v>14.524316067432139</v>
      </c>
      <c r="E44" s="1">
        <f>IF(COUNT(C44:D44)=2,D44-C44,"")</f>
        <v>-33.53041937311435</v>
      </c>
      <c r="H44" s="1">
        <v>6</v>
      </c>
      <c r="I44" s="1">
        <v>5</v>
      </c>
      <c r="J44" s="1">
        <f>IF(458928&gt;0,100*143171/458928,"")</f>
        <v>31.19683261862427</v>
      </c>
      <c r="K44" s="1">
        <f>IF(527020&gt;0,100*111721/527020,"")</f>
        <v>21.198626238093432</v>
      </c>
      <c r="L44" s="1">
        <f>IF(COUNT(J44:K44)=2,K44-J44,"")</f>
        <v>-9.998206380530839</v>
      </c>
      <c r="O44" s="1">
        <v>6</v>
      </c>
      <c r="P44" s="1">
        <v>5</v>
      </c>
      <c r="Q44" s="1">
        <f>IF(652890&gt;0,100*52664/652890,"")</f>
        <v>8.066289880378012</v>
      </c>
      <c r="R44" s="1">
        <f>IF(440685&gt;0,100*87125/440685,"")</f>
        <v>19.770357511601258</v>
      </c>
      <c r="S44" s="1">
        <f>IF(COUNT(Q44:R44)=2,R44-Q44,"")</f>
        <v>11.704067631223246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IF(505762&gt;0,100*172841/505762,"")</f>
        <v>34.17437450816787</v>
      </c>
      <c r="E45" s="1">
        <f>IF(COUNT(C45:D45)=2,D45-C45,"")</f>
        <v>-20.94601433233447</v>
      </c>
      <c r="H45" s="1">
        <v>7</v>
      </c>
      <c r="I45" s="1">
        <v>6</v>
      </c>
      <c r="J45" s="1">
        <f>IF(516628&gt;0,100*1474/516628,"")</f>
        <v>0.28531167493825343</v>
      </c>
      <c r="K45" s="1">
        <f>IF(783833&gt;0,100*9599/783833,"")</f>
        <v>1.2246231021148637</v>
      </c>
      <c r="L45" s="1">
        <f>IF(COUNT(J45:K45)=2,K45-J45,"")</f>
        <v>0.9393114271766103</v>
      </c>
      <c r="O45" s="1">
        <v>7</v>
      </c>
      <c r="P45" s="1">
        <v>6</v>
      </c>
      <c r="Q45" s="1">
        <f>IF(639485&gt;0,100*13388/639485,"")</f>
        <v>2.093559661289944</v>
      </c>
      <c r="R45" s="1">
        <f>IF(541426&gt;0,100*40535/541426,"")</f>
        <v>7.4867110186803</v>
      </c>
      <c r="S45" s="1">
        <f>IF(COUNT(Q45:R45)=2,R45-Q45,"")</f>
        <v>5.393151357390355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IF(380200&gt;0,100*142503/380200,"")</f>
        <v>37.4810625986323</v>
      </c>
      <c r="E46" s="1">
        <f>IF(COUNT(C46:D46)=2,D46-C46,"")</f>
        <v>-6.1563601206973075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IF(421021&gt;0,100*4297/421021,"")</f>
        <v>1.0206141736397947</v>
      </c>
      <c r="S46" s="1">
        <f>IF(COUNT(Q46:R46)=2,R46-Q46,"")</f>
        <v>-1.1961153639410993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IF(319942&gt;0,100*119698/319942,"")</f>
        <v>37.412405998587246</v>
      </c>
      <c r="E47" s="1">
        <f>IF(COUNT(C47:D47)=2,D47-C47,"")</f>
        <v>-23.195474721824723</v>
      </c>
      <c r="H47" s="1">
        <v>9</v>
      </c>
      <c r="I47" s="1">
        <v>8</v>
      </c>
      <c r="J47" s="1">
        <f>IF(433696&gt;0,100*195875/433696,"")</f>
        <v>45.16412417914853</v>
      </c>
      <c r="K47" s="1">
        <f>IF(727973&gt;0,100*291389/727973,"")</f>
        <v>40.027446072862595</v>
      </c>
      <c r="L47" s="1">
        <f>IF(COUNT(J47:K47)=2,K47-J47,"")</f>
        <v>-5.136678106285935</v>
      </c>
      <c r="O47" s="1">
        <v>9</v>
      </c>
      <c r="P47" s="1">
        <v>8</v>
      </c>
      <c r="Q47" s="1">
        <f>IF(341160&gt;0,100*196686/341160,"")</f>
        <v>57.65212803376715</v>
      </c>
      <c r="R47" s="1">
        <f>IF(420811&gt;0,100*160333/420811,"")</f>
        <v>38.10095268422166</v>
      </c>
      <c r="S47" s="1">
        <f>IF(COUNT(Q47:R47)=2,R47-Q47,"")</f>
        <v>-19.55117534954549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IF(435358&gt;0,100*4902/435358,"")</f>
        <v>1.1259698914456608</v>
      </c>
      <c r="E48" s="1">
        <f>IF(COUNT(C48:D48)=2,D48-C48,"")</f>
        <v>-20.72802028010006</v>
      </c>
      <c r="H48" s="1">
        <v>10</v>
      </c>
      <c r="I48" s="1">
        <v>9</v>
      </c>
      <c r="J48" s="1">
        <f>IF(716304&gt;0,100*319115/716304,"")</f>
        <v>44.550218901472</v>
      </c>
      <c r="K48" s="1">
        <f>IF(673349&gt;0,100*20187/673349,"")</f>
        <v>2.997999551495584</v>
      </c>
      <c r="L48" s="1">
        <f>IF(COUNT(J48:K48)=2,K48-J48,"")</f>
        <v>-41.55221934997642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IF(651931&gt;0,100*102904/651931,"")</f>
        <v>15.78449253065125</v>
      </c>
      <c r="S48" s="1">
        <f>IF(COUNT(Q48:R48)=2,R48-Q48,"")</f>
        <v>-6.174813091148412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IF(590897&gt;0,100*155478/590897,"")</f>
        <v>26.312199926552342</v>
      </c>
      <c r="E49" s="1">
        <f>IF(COUNT(C49:D49)=2,D49-C49,"")</f>
        <v>-20.356945687560636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IF(700653&gt;0,100*32125/700653,"")</f>
        <v>4.585008556303905</v>
      </c>
      <c r="L49" s="1">
        <f>IF(COUNT(J49:K49)=2,K49-J49,"")</f>
        <v>-28.76789125105018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IF(651460&gt;0,100*136994/651460,"")</f>
        <v>21.02876615601879</v>
      </c>
      <c r="S49" s="1">
        <f>IF(COUNT(Q49:R49)=2,R49-Q49,"")</f>
        <v>-23.598953865375066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IF(516243&gt;0,100*222260/516243,"")</f>
        <v>43.05336827811709</v>
      </c>
      <c r="E50" s="1">
        <f>IF(COUNT(C50:D50)=2,D50-C50,"")</f>
        <v>-4.618604629381551</v>
      </c>
      <c r="H50" s="1">
        <v>12</v>
      </c>
      <c r="I50" s="1">
        <v>11</v>
      </c>
      <c r="J50" s="4">
        <f>IF(0&gt;0,100*0/0,"")</f>
        <v/>
      </c>
      <c r="K50" s="1">
        <f>IF(5804&gt;0,100*1710/5804,"")</f>
        <v>29.462439696760853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IF(558140&gt;0,100*27729/558140,"")</f>
        <v>4.9681083599097</v>
      </c>
      <c r="S50" s="1">
        <f>IF(COUNT(Q50:R50)=2,R50-Q50,"")</f>
        <v>-37.54684017399561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IF(590353&gt;0,100*20102/590353,"")</f>
        <v>3.4050813665722033</v>
      </c>
      <c r="E51" s="1">
        <f>IF(COUNT(C51:D51)=2,D51-C51,"")</f>
        <v>-44.067033914515655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IF(699778&gt;0,100*118703/699778,"")</f>
        <v>16.962951107351188</v>
      </c>
      <c r="L51" s="1">
        <f>IF(COUNT(J51:K51)=2,K51-J51,"")</f>
        <v>7.2088618877363775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IF(858142&gt;0,100*44903/858142,"")</f>
        <v>5.23258388471838</v>
      </c>
      <c r="S51" s="1">
        <f>IF(COUNT(Q51:R51)=2,R51-Q51,"")</f>
        <v>3.081525554027271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IF(416403&gt;0,100*91284/416403,"")</f>
        <v>21.922032262015403</v>
      </c>
      <c r="L52" s="1">
        <f>IF(COUNT(J52:K52)=2,K52-J52,"")</f>
        <v>3.8219952977540075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IF(402449&gt;0,100*5426/402449,"")</f>
        <v>1.3482453677360362</v>
      </c>
      <c r="S52" s="1">
        <f>IF(COUNT(Q52:R52)=2,R52-Q52,"")</f>
        <v>-11.09281460349941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IF(440737&gt;0,100*174838/440737,"")</f>
        <v>39.66946274081822</v>
      </c>
      <c r="E53" s="1">
        <f>IF(COUNT(C53:D53)=2,D53-C53,"")</f>
        <v>-1.2034757753032679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IF(715494&gt;0,100*222115/715494,"")</f>
        <v>31.04358666879107</v>
      </c>
      <c r="L53" s="1">
        <f>IF(COUNT(J53:K53)=2,K53-J53,"")</f>
        <v>2.72126883693932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IF(544500&gt;0,100*146889/544500,"")</f>
        <v>26.976859504132232</v>
      </c>
      <c r="S53" s="1">
        <f>IF(COUNT(Q53:R53)=2,R53-Q53,"")</f>
        <v>-26.95068304234862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IF(294736&gt;0,100*90332/294736,"")</f>
        <v>30.64844470984203</v>
      </c>
      <c r="E54" s="1">
        <f>IF(COUNT(C54:D54)=2,D54-C54,"")</f>
        <v>-15.469888490336022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IF(401273&gt;0,100*55831/401273,"")</f>
        <v>13.913470380514013</v>
      </c>
      <c r="L54" s="1">
        <f>IF(COUNT(J54:K54)=2,K54-J54,"")</f>
        <v>-35.6441285418762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IF(705315&gt;0,100*110795/705315,"")</f>
        <v>15.708584107809985</v>
      </c>
      <c r="S54" s="1">
        <f>IF(COUNT(Q54:R54)=2,R54-Q54,"")</f>
        <v>-35.7491498823378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IF(515116&gt;0,100*10362/515116,"")</f>
        <v>2.0115857399110104</v>
      </c>
      <c r="E55" s="1">
        <f>IF(COUNT(C55:D55)=2,D55-C55,"")</f>
        <v>-0.4283111297316782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IF(636455&gt;0,100*130893/636455,"")</f>
        <v>20.565947317563694</v>
      </c>
      <c r="L55" s="1">
        <f>IF(COUNT(J55:K55)=2,K55-J55,"")</f>
        <v>-21.982133166849703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IF(540520&gt;0,100*134923/540520,"")</f>
        <v>24.9617035447347</v>
      </c>
      <c r="S55" s="1">
        <f>IF(COUNT(Q55:R55)=2,R55-Q55,"")</f>
        <v>-5.4951663473979195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IF(398725&gt;0,100*30051/398725,"")</f>
        <v>7.53677346542103</v>
      </c>
      <c r="E56" s="1">
        <f>IF(COUNT(C56:D56)=2,D56-C56,"")</f>
        <v>-2.2665250710280436</v>
      </c>
      <c r="H56" s="1">
        <v>18</v>
      </c>
      <c r="I56" s="1">
        <v>17</v>
      </c>
      <c r="J56" s="4">
        <f>IF(0&gt;0,100*0/0,"")</f>
        <v/>
      </c>
      <c r="K56" s="1">
        <f>IF(423847&gt;0,100*19956/423847,"")</f>
        <v>4.708302760194127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IF(427392&gt;0,100*26676/427392,"")</f>
        <v>6.241576819407008</v>
      </c>
      <c r="S56" s="1">
        <f>IF(COUNT(Q56:R56)=2,R56-Q56,"")</f>
        <v>-43.2192417168233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IF(522847&gt;0,100*189773/522847,"")</f>
        <v>36.29608661807374</v>
      </c>
      <c r="E57" s="1">
        <f>IF(COUNT(C57:D57)=2,D57-C57,"")</f>
        <v>-7.645016757771785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IF(757357&gt;0,100*195821/757357,"")</f>
        <v>25.855838131818945</v>
      </c>
      <c r="L57" s="1">
        <f>IF(COUNT(J57:K57)=2,K57-J57,"")</f>
        <v>-4.711254833714058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IF(432911&gt;0,100*41420/432911,"")</f>
        <v>9.567786450332747</v>
      </c>
      <c r="S57" s="1">
        <f>IF(COUNT(Q57:R57)=2,R57-Q57,"")</f>
        <v>-29.150945585237004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IF(776540&gt;0,100*231938/776540,"")</f>
        <v>29.868133000231797</v>
      </c>
      <c r="E58" s="1">
        <f>IF(COUNT(C58:D58)=2,D58-C58,"")</f>
        <v>-14.539391044915046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IF(720337&gt;0,100*174390/720337,"")</f>
        <v>24.2095019414524</v>
      </c>
      <c r="L58" s="1">
        <f>IF(COUNT(J58:K58)=2,K58-J58,"")</f>
        <v>-24.211593649858777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IF(826524&gt;0,100*172878/826524,"")</f>
        <v>20.916271033871976</v>
      </c>
      <c r="S58" s="1">
        <f>IF(COUNT(Q58:R58)=2,R58-Q58,"")</f>
        <v>-20.510224531329005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IF(373416&gt;0,100*59573/373416,"")</f>
        <v>15.953521006062942</v>
      </c>
      <c r="E59" s="1">
        <f>IF(COUNT(C59:D59)=2,D59-C59,"")</f>
        <v>-8.817336014028257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IF(773156&gt;0,100*59096/773156,"")</f>
        <v>7.643476866246915</v>
      </c>
      <c r="L59" s="1">
        <f>IF(COUNT(J59:K59)=2,K59-J59,"")</f>
        <v>-35.24029361872505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IF(588538&gt;0,100*90308/588538,"")</f>
        <v>15.34446373895993</v>
      </c>
      <c r="S59" s="1">
        <f>IF(COUNT(Q59:R59)=2,R59-Q59,"")</f>
        <v>-31.64357821859528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IF(211117&gt;0,100*73177/211117,"")</f>
        <v>34.66182259126456</v>
      </c>
      <c r="E60" s="1">
        <f>IF(COUNT(C60:D60)=2,D60-C60,"")</f>
        <v>-17.91364485635878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IF(316339&gt;0,100*130919/316339,"")</f>
        <v>41.38566537796478</v>
      </c>
      <c r="L60" s="1">
        <f>IF(COUNT(J60:K60)=2,K60-J60,"")</f>
        <v>-10.909105219900603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IF(6555&gt;0,100*2015/6555,"")</f>
        <v>30.739893211289093</v>
      </c>
      <c r="S60" s="1">
        <f>IF(COUNT(Q60:R60)=2,R60-Q60,"")</f>
        <v>-13.329195292176834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IF(331990&gt;0,100*903/331990,"")</f>
        <v>0.2719961444621826</v>
      </c>
      <c r="E61" s="1">
        <f>IF(COUNT(C61:D61)=2,D61-C61,"")</f>
        <v>-0.14526801313437582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IF(569573&gt;0,100*102947/569573,"")</f>
        <v>18.07441715109389</v>
      </c>
      <c r="L61" s="1">
        <f>IF(COUNT(J61:K61)=2,K61-J61,"")</f>
        <v>-38.09814409270781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IF(825114&gt;0,100*253224/825114,"")</f>
        <v>30.68957744020826</v>
      </c>
      <c r="S61" s="1">
        <f>IF(COUNT(Q61:R61)=2,R61-Q61,"")</f>
        <v>-15.568079159316241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IF(364545&gt;0,100*55714/364545,"")</f>
        <v>15.283161200949129</v>
      </c>
      <c r="E62" s="1">
        <f>IF(COUNT(C62:D62)=2,D62-C62,"")</f>
        <v>-3.3758914637068447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IF(858369&gt;0,100*252046/858369,"")</f>
        <v>29.36336237678667</v>
      </c>
      <c r="L62" s="1">
        <f>IF(COUNT(J62:K62)=2,K62-J62,"")</f>
        <v>-18.4912593782056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IF(561571&gt;0,100*7391/561571,"")</f>
        <v>1.3161292160741918</v>
      </c>
      <c r="S62" s="1">
        <f>IF(COUNT(Q62:R62)=2,R62-Q62,"")</f>
        <v>-20.28153266921766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IF(328837&gt;0,100*111681/328837,"")</f>
        <v>33.96241907084665</v>
      </c>
      <c r="E63" s="1">
        <f>IF(COUNT(C63:D63)=2,D63-C63,"")</f>
        <v>-12.306327420451773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IF(533614&gt;0,100*21295/533614,"")</f>
        <v>3.990712387606022</v>
      </c>
      <c r="L63" s="1">
        <f>IF(COUNT(J63:K63)=2,K63-J63,"")</f>
        <v>-36.17614247629134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IF(589657&gt;0,100*56367/589657,"")</f>
        <v>9.55928616127681</v>
      </c>
      <c r="S63" s="1">
        <f>IF(COUNT(Q63:R63)=2,R63-Q63,"")</f>
        <v>-35.19149203258699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IF(929311&gt;0,100*294134/929311,"")</f>
        <v>31.650760617274518</v>
      </c>
      <c r="L64" s="1">
        <f>IF(COUNT(J64:K64)=2,K64-J64,"")</f>
        <v>13.011649952493642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IF(523853&gt;0,100*130591/523853,"")</f>
        <v>24.92893998889001</v>
      </c>
      <c r="S64" s="1">
        <f>IF(COUNT(Q64:R64)=2,R64-Q64,"")</f>
        <v>-21.264928952705564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IF(400634&gt;0,100*122210/400634,"")</f>
        <v>30.504150920790547</v>
      </c>
      <c r="E65" s="1">
        <f>IF(COUNT(C65:D65)=2,D65-C65,"")</f>
        <v>4.837296495061647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IF(435083&gt;0,100*116225/435083,"")</f>
        <v>26.71329378532372</v>
      </c>
      <c r="L65" s="1">
        <f>IF(COUNT(J65:K65)=2,K65-J65,"")</f>
        <v>-10.480044957477396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IF(478682&gt;0,100*91278/478682,"")</f>
        <v>19.06860922282434</v>
      </c>
      <c r="S65" s="1">
        <f>IF(COUNT(Q65:R65)=2,R65-Q65,"")</f>
        <v>-6.196927017116931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IF(362256&gt;0,100*5471/362256,"")</f>
        <v>1.510257939136964</v>
      </c>
      <c r="E66" s="1">
        <f>IF(COUNT(C66:D66)=2,D66-C66,"")</f>
        <v>1.406895247498201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IF(351223&gt;0,100*138084/351223,"")</f>
        <v>39.31519291162595</v>
      </c>
      <c r="L66" s="1">
        <f>IF(COUNT(J66:K66)=2,K66-J66,"")</f>
        <v>-0.6177374661880677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IF(356483&gt;0,100*58862/356483,"")</f>
        <v>16.51186732607165</v>
      </c>
      <c r="S66" s="1">
        <f>IF(COUNT(Q66:R66)=2,R66-Q66,"")</f>
        <v>-9.557860438450653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IF(468924&gt;0,100*177453/468924,"")</f>
        <v>37.84259282954167</v>
      </c>
      <c r="E67" s="1">
        <f>IF(COUNT(C67:D67)=2,D67-C67,"")</f>
        <v>-3.220713852595644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IF(616599&gt;0,100*215102/616599,"")</f>
        <v>34.885233352632746</v>
      </c>
      <c r="L67" s="1">
        <f>IF(COUNT(J67:K67)=2,K67-J67,"")</f>
        <v>-16.66825579308467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IF(607554&gt;0,100*234638/607554,"")</f>
        <v>38.62010619632164</v>
      </c>
      <c r="S67" s="1">
        <f>IF(COUNT(Q67:R67)=2,R67-Q67,"")</f>
        <v>-6.333680110848121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IF(566362&gt;0,100*141441/566362,"")</f>
        <v>24.97360345503406</v>
      </c>
      <c r="E68" s="1">
        <f>IF(COUNT(C68:D68)=2,D68-C68,"")</f>
        <v>-20.23252457144887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IF(534331&gt;0,100*114011/534331,"")</f>
        <v>21.337148696220133</v>
      </c>
      <c r="L68" s="1">
        <f>IF(COUNT(J68:K68)=2,K68-J68,"")</f>
        <v>2.90542353769737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IF(417388&gt;0,100*6015/417388,"")</f>
        <v>1.4411051587491734</v>
      </c>
      <c r="S68" s="1">
        <f>IF(COUNT(Q68:R68)=2,R68-Q68,"")</f>
        <v>-2.4178869268921614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IF(528152&gt;0,100*21342/528152,"")</f>
        <v>4.040882170284312</v>
      </c>
      <c r="E69" s="1">
        <f>IF(COUNT(C69:D69)=2,D69-C69,"")</f>
        <v>3.395102534057422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IF(519956&gt;0,100*57535/519956,"")</f>
        <v>11.065359376562633</v>
      </c>
      <c r="L69" s="1">
        <f>IF(COUNT(J69:K69)=2,K69-J69,"")</f>
        <v>-21.19482177415614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IF(511322&gt;0,100*146694/511322,"")</f>
        <v>28.68916260203942</v>
      </c>
      <c r="S69" s="1">
        <f>IF(COUNT(Q69:R69)=2,R69-Q69,"")</f>
        <v>3.106626312055706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22.48157577751946</v>
      </c>
      <c r="E70" s="1">
        <f>IF(COUNT(E39:E69)&gt;0,AVERAGE(E39:E69),"")</f>
        <v>-10.585073942218157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20.114398810452485</v>
      </c>
      <c r="L70" s="1">
        <f>IF(COUNT(L39:L69)&gt;0,AVERAGE(L39:L69),"")</f>
        <v>-13.090920085341132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17.712445599072907</v>
      </c>
      <c r="S70" s="1">
        <f>IF(COUNT(S39:S69)&gt;0,AVERAGE(S39:S69),"")</f>
        <v>-14.130382101636641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IF(694939&gt;0,100*103732/694939,"")</f>
        <v>14.926777745960436</v>
      </c>
      <c r="E75" s="1">
        <f>IF(COUNT(C75:D75)=2,D75-C75,"")</f>
        <v>11.302909163172892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IF(949712&gt;0,100*171904/949712,"")</f>
        <v>18.100645248243676</v>
      </c>
      <c r="L75" s="1">
        <f>IF(COUNT(J75:K75)=2,K75-J75,"")</f>
        <v>-36.216600009244615</v>
      </c>
      <c r="O75" s="1">
        <v>1</v>
      </c>
      <c r="P75" s="1">
        <v>0</v>
      </c>
      <c r="Q75" s="1">
        <f>IF(517487&gt;0,100*261929/517487,"")</f>
        <v>50.61557101917536</v>
      </c>
      <c r="R75" s="1">
        <f>IF(753829&gt;0,100*143531/753829,"")</f>
        <v>19.040259793666735</v>
      </c>
      <c r="S75" s="1">
        <f>IF(COUNT(Q75:R75)=2,R75-Q75,"")</f>
        <v>-31.575311225508628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IF(330306&gt;0,100*128184/330306,"")</f>
        <v>38.80765108717371</v>
      </c>
      <c r="E76" s="1">
        <f>IF(COUNT(C76:D76)=2,D76-C76,"")</f>
        <v>-4.55177543167467</v>
      </c>
      <c r="H76" s="1">
        <v>2</v>
      </c>
      <c r="I76" s="1">
        <v>1</v>
      </c>
      <c r="J76" s="1">
        <f>IF(591060&gt;0,100*305577/591060,"")</f>
        <v>51.69982742868744</v>
      </c>
      <c r="K76" s="1">
        <f>IF(552868&gt;0,100*167407/552868,"")</f>
        <v>30.279741276398706</v>
      </c>
      <c r="L76" s="1">
        <f>IF(COUNT(J76:K76)=2,K76-J76,"")</f>
        <v>-21.420086152288736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IF(542506&gt;0,100*176336/542506,"")</f>
        <v>32.50397230629707</v>
      </c>
      <c r="S76" s="1">
        <f>IF(COUNT(Q76:R76)=2,R76-Q76,"")</f>
        <v>-18.466193963620206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IF(308835&gt;0,100*113693/308835,"")</f>
        <v>36.81350883157673</v>
      </c>
      <c r="E77" s="1">
        <f>IF(COUNT(C77:D77)=2,D77-C77,"")</f>
        <v>-10.581848600945882</v>
      </c>
      <c r="H77" s="1">
        <v>3</v>
      </c>
      <c r="I77" s="1">
        <v>2</v>
      </c>
      <c r="J77" s="1">
        <f>IF(584205&gt;0,100*244646/584205,"")</f>
        <v>41.87673847365223</v>
      </c>
      <c r="K77" s="1">
        <f>IF(609377&gt;0,100*55783/609377,"")</f>
        <v>9.154103289096897</v>
      </c>
      <c r="L77" s="1">
        <f>IF(COUNT(J77:K77)=2,K77-J77,"")</f>
        <v>-32.72263518455534</v>
      </c>
      <c r="O77" s="1">
        <v>3</v>
      </c>
      <c r="P77" s="1">
        <v>2</v>
      </c>
      <c r="Q77" s="1">
        <f>IF(871024&gt;0,100*37031/871024,"")</f>
        <v>4.2514327963408585</v>
      </c>
      <c r="R77" s="1">
        <f>IF(811296&gt;0,100*221804/811296,"")</f>
        <v>27.33946672977557</v>
      </c>
      <c r="S77" s="1">
        <f>IF(COUNT(Q77:R77)=2,R77-Q77,"")</f>
        <v>23.088033933434712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IF(597672&gt;0,100*194239/597672,"")</f>
        <v>32.49926381025044</v>
      </c>
      <c r="E78" s="1">
        <f>IF(COUNT(C78:D78)=2,D78-C78,"")</f>
        <v>-16.564164740158482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IF(742791&gt;0,100*14742/742791,"")</f>
        <v>1.9846767125611378</v>
      </c>
      <c r="L78" s="1">
        <f>IF(COUNT(J78:K78)=2,K78-J78,"")</f>
        <v>-41.296531440174206</v>
      </c>
      <c r="O78" s="1">
        <v>4</v>
      </c>
      <c r="P78" s="1">
        <v>3</v>
      </c>
      <c r="Q78" s="1">
        <f>IF(663228&gt;0,100*363210/663228,"")</f>
        <v>54.76397257051874</v>
      </c>
      <c r="R78" s="1">
        <f>IF(831090&gt;0,100*177811/831090,"")</f>
        <v>21.394915111480106</v>
      </c>
      <c r="S78" s="1">
        <f>IF(COUNT(Q78:R78)=2,R78-Q78,"")</f>
        <v>-33.36905745903863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IF(608918&gt;0,100*47406/608918,"")</f>
        <v>7.785284718139388</v>
      </c>
      <c r="E79" s="1">
        <f>IF(COUNT(C79:D79)=2,D79-C79,"")</f>
        <v>-41.112413975094185</v>
      </c>
      <c r="H79" s="1">
        <v>5</v>
      </c>
      <c r="I79" s="1">
        <v>4</v>
      </c>
      <c r="J79" s="1">
        <f>IF(383201&gt;0,100*174388/383201,"")</f>
        <v>45.50823197225477</v>
      </c>
      <c r="K79" s="1">
        <f>IF(751660&gt;0,100*263515/751660,"")</f>
        <v>35.05773887129819</v>
      </c>
      <c r="L79" s="1">
        <f>IF(COUNT(J79:K79)=2,K79-J79,"")</f>
        <v>-10.450493100956578</v>
      </c>
      <c r="O79" s="1">
        <v>5</v>
      </c>
      <c r="P79" s="1">
        <v>4</v>
      </c>
      <c r="Q79" s="1">
        <f>IF(322593&gt;0,100*116626/322593,"")</f>
        <v>36.152675352534</v>
      </c>
      <c r="R79" s="1">
        <f>IF(439595&gt;0,100*98111/439595,"")</f>
        <v>22.3184977081177</v>
      </c>
      <c r="S79" s="1">
        <f>IF(COUNT(Q79:R79)=2,R79-Q79,"")</f>
        <v>-13.834177644416297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IF(919832&gt;0,100*210931/919832,"")</f>
        <v>22.931470094539</v>
      </c>
      <c r="E80" s="1">
        <f>IF(COUNT(C80:D80)=2,D80-C80,"")</f>
        <v>-15.921401808410828</v>
      </c>
      <c r="H80" s="1">
        <v>6</v>
      </c>
      <c r="I80" s="1">
        <v>5</v>
      </c>
      <c r="J80" s="1">
        <f>IF(417286&gt;0,100*124193/417286,"")</f>
        <v>29.76208164184756</v>
      </c>
      <c r="K80" s="1">
        <f>IF(626464&gt;0,100*168330/626464,"")</f>
        <v>26.869860039842674</v>
      </c>
      <c r="L80" s="1">
        <f>IF(COUNT(J80:K80)=2,K80-J80,"")</f>
        <v>-2.8922216020048843</v>
      </c>
      <c r="O80" s="1">
        <v>6</v>
      </c>
      <c r="P80" s="1">
        <v>5</v>
      </c>
      <c r="Q80" s="1">
        <f>IF(460762&gt;0,100*159245/460762,"")</f>
        <v>34.56122683728259</v>
      </c>
      <c r="R80" s="1">
        <f>IF(623559&gt;0,100*72489/623559,"")</f>
        <v>11.625042698445537</v>
      </c>
      <c r="S80" s="1">
        <f>IF(COUNT(Q80:R80)=2,R80-Q80,"")</f>
        <v>-22.936184138837053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IF(552289&gt;0,100*202148/552289,"")</f>
        <v>36.60185156684272</v>
      </c>
      <c r="E81" s="1">
        <f>IF(COUNT(C81:D81)=2,D81-C81,"")</f>
        <v>-15.220060653418429</v>
      </c>
      <c r="H81" s="1">
        <v>7</v>
      </c>
      <c r="I81" s="1">
        <v>6</v>
      </c>
      <c r="J81" s="1">
        <f>IF(667678&gt;0,100*4575/667678,"")</f>
        <v>0.6852105356174683</v>
      </c>
      <c r="K81" s="1">
        <f>IF(552462&gt;0,100*11552/552462,"")</f>
        <v>2.0910035441351624</v>
      </c>
      <c r="L81" s="1">
        <f>IF(COUNT(J81:K81)=2,K81-J81,"")</f>
        <v>1.4057930085176942</v>
      </c>
      <c r="O81" s="1">
        <v>7</v>
      </c>
      <c r="P81" s="1">
        <v>6</v>
      </c>
      <c r="Q81" s="1">
        <f>IF(457006&gt;0,100*8837/457006,"")</f>
        <v>1.9336726432475722</v>
      </c>
      <c r="R81" s="1">
        <f>IF(808665&gt;0,100*27715/808665,"")</f>
        <v>3.4272535598795546</v>
      </c>
      <c r="S81" s="1">
        <f>IF(COUNT(Q81:R81)=2,R81-Q81,"")</f>
        <v>1.4935809166319824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IF(416114&gt;0,100*146688/416114,"")</f>
        <v>35.25187809110003</v>
      </c>
      <c r="E82" s="1">
        <f>IF(COUNT(C82:D82)=2,D82-C82,"")</f>
        <v>-12.138573147472826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IF(443599&gt;0,100*7815/443599,"")</f>
        <v>1.7617262437471681</v>
      </c>
      <c r="S82" s="1">
        <f>IF(COUNT(Q82:R82)=2,R82-Q82,"")</f>
        <v>0.8810892180060013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IF(244653&gt;0,100*81351/244653,"")</f>
        <v>33.25158489779402</v>
      </c>
      <c r="E83" s="1">
        <f>IF(COUNT(C83:D83)=2,D83-C83,"")</f>
        <v>-13.776730412393803</v>
      </c>
      <c r="H83" s="1">
        <v>9</v>
      </c>
      <c r="I83" s="1">
        <v>8</v>
      </c>
      <c r="J83" s="1">
        <f>IF(408350&gt;0,100*224416/408350,"")</f>
        <v>54.95677727439696</v>
      </c>
      <c r="K83" s="1">
        <f>IF(729392&gt;0,100*281493/729392,"")</f>
        <v>38.5928279992103</v>
      </c>
      <c r="L83" s="1">
        <f>IF(COUNT(J83:K83)=2,K83-J83,"")</f>
        <v>-16.363949275186663</v>
      </c>
      <c r="O83" s="1">
        <v>9</v>
      </c>
      <c r="P83" s="1">
        <v>8</v>
      </c>
      <c r="Q83" s="1">
        <f>IF(401424&gt;0,100*207750/401424,"")</f>
        <v>51.75325840009566</v>
      </c>
      <c r="R83" s="1">
        <f>IF(538688&gt;0,100*207449/538688,"")</f>
        <v>38.510046631816564</v>
      </c>
      <c r="S83" s="1">
        <f>IF(COUNT(Q83:R83)=2,R83-Q83,"")</f>
        <v>-13.243211768279096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IF(729507&gt;0,100*38711/729507,"")</f>
        <v>5.306460390373225</v>
      </c>
      <c r="E84" s="1">
        <f>IF(COUNT(C84:D84)=2,D84-C84,"")</f>
        <v>4.1584470253866215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IF(1002885&gt;0,100*279049/1002885,"")</f>
        <v>27.824625954122357</v>
      </c>
      <c r="L84" s="1">
        <f>IF(COUNT(J84:K84)=2,K84-J84,"")</f>
        <v>-25.56444632123299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IF(671838&gt;0,100*139983/671838,"")</f>
        <v>20.83582649388692</v>
      </c>
      <c r="S84" s="1">
        <f>IF(COUNT(Q84:R84)=2,R84-Q84,"")</f>
        <v>5.438818250434016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IF(582953&gt;0,100*230132/582953,"")</f>
        <v>39.47693896420466</v>
      </c>
      <c r="E85" s="1">
        <f>IF(COUNT(C85:D85)=2,D85-C85,"")</f>
        <v>-15.23310860469762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IF(843990&gt;0,100*91430/843990,"")</f>
        <v>10.83306674249695</v>
      </c>
      <c r="L85" s="1">
        <f>IF(COUNT(J85:K85)=2,K85-J85,"")</f>
        <v>-48.95076383649598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IF(1004758&gt;0,100*113562/1004758,"")</f>
        <v>11.302423071028048</v>
      </c>
      <c r="S85" s="1">
        <f>IF(COUNT(Q85:R85)=2,R85-Q85,"")</f>
        <v>-39.95657358244607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IF(336695&gt;0,100*134042/336695,"")</f>
        <v>39.811105006014344</v>
      </c>
      <c r="E86" s="1">
        <f>IF(COUNT(C86:D86)=2,D86-C86,"")</f>
        <v>-5.445088435576828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IF(870656&gt;0,100*228848/870656,"")</f>
        <v>26.28454866215819</v>
      </c>
      <c r="L86" s="1">
        <f>IF(COUNT(J86:K86)=2,K86-J86,"")</f>
        <v>-29.5103856842079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IF(772480&gt;0,100*112729/772480,"")</f>
        <v>14.593128624689312</v>
      </c>
      <c r="S86" s="1">
        <f>IF(COUNT(Q86:R86)=2,R86-Q86,"")</f>
        <v>-39.02508533762365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IF(498399&gt;0,100*33567/498399,"")</f>
        <v>6.734965359079774</v>
      </c>
      <c r="E87" s="1">
        <f>IF(COUNT(C87:D87)=2,D87-C87,"")</f>
        <v>-17.568080219361867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IF(718181&gt;0,100*18877/718181,"")</f>
        <v>2.6284460324068726</v>
      </c>
      <c r="L87" s="1">
        <f>IF(COUNT(J87:K87)=2,K87-J87,"")</f>
        <v>-42.43720354701502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IF(682980&gt;0,100*13242/682980,"")</f>
        <v>1.9388561890538523</v>
      </c>
      <c r="S87" s="1">
        <f>IF(COUNT(Q87:R87)=2,R87-Q87,"")</f>
        <v>0.3798373503455721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IF(663979&gt;0,100*15964/663979,"")</f>
        <v>2.404292906853982</v>
      </c>
      <c r="E88" s="1">
        <f>IF(COUNT(C88:D88)=2,D88-C88,"")</f>
        <v>-10.540119517841937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IF(432767&gt;0,100*71905/432767,"")</f>
        <v>16.615176295789652</v>
      </c>
      <c r="L88" s="1">
        <f>IF(COUNT(J88:K88)=2,K88-J88,"")</f>
        <v>-7.1931033487918725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IF(436480&gt;0,100*66012/436480,"")</f>
        <v>15.123717008797653</v>
      </c>
      <c r="S88" s="1">
        <f>IF(COUNT(Q88:R88)=2,R88-Q88,"")</f>
        <v>9.052355408866337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IF(511284&gt;0,100*196982/511284,"")</f>
        <v>38.52692437079979</v>
      </c>
      <c r="E89" s="1">
        <f>IF(COUNT(C89:D89)=2,D89-C89,"")</f>
        <v>-12.48831955824221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IF(739663&gt;0,100*153385/739663,"")</f>
        <v>20.73714651131664</v>
      </c>
      <c r="L89" s="1">
        <f>IF(COUNT(J89:K89)=2,K89-J89,"")</f>
        <v>4.1316640716059965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IF(735914&gt;0,100*170924/735914,"")</f>
        <v>23.226083482580844</v>
      </c>
      <c r="S89" s="1">
        <f>IF(COUNT(Q89:R89)=2,R89-Q89,"")</f>
        <v>2.672947872673017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IF(440747&gt;0,100*101139/440747,"")</f>
        <v>22.94717831318194</v>
      </c>
      <c r="E90" s="1">
        <f>IF(COUNT(C90:D90)=2,D90-C90,"")</f>
        <v>-19.14772098554816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IF(815919&gt;0,100*55403/815919,"")</f>
        <v>6.790257366233658</v>
      </c>
      <c r="L90" s="1">
        <f>IF(COUNT(J90:K90)=2,K90-J90,"")</f>
        <v>-45.23790231000233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IF(779236&gt;0,100*101192/779236,"")</f>
        <v>12.98605300576462</v>
      </c>
      <c r="S90" s="1">
        <f>IF(COUNT(Q90:R90)=2,R90-Q90,"")</f>
        <v>-44.59991672006795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IF(437427&gt;0,100*7675/437427,"")</f>
        <v>1.7545784782375116</v>
      </c>
      <c r="E91" s="1">
        <f>IF(COUNT(C91:D91)=2,D91-C91,"")</f>
        <v>-2.94095592332389</v>
      </c>
      <c r="H91" s="1">
        <v>17</v>
      </c>
      <c r="I91" s="1">
        <v>16</v>
      </c>
      <c r="J91" s="1">
        <f>IF(107131&gt;0,100*2558/107131,"")</f>
        <v>2.3877309088872503</v>
      </c>
      <c r="K91" s="1">
        <f>IF(326394&gt;0,100*98337/326394,"")</f>
        <v>30.12831118219085</v>
      </c>
      <c r="L91" s="1">
        <f>IF(COUNT(J91:K91)=2,K91-J91,"")</f>
        <v>27.7405802733036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IF(686726&gt;0,100*288633/686726,"")</f>
        <v>42.03030029444058</v>
      </c>
      <c r="S91" s="1">
        <f>IF(COUNT(Q91:R91)=2,R91-Q91,"")</f>
        <v>0.8982853438163616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IF(409259&gt;0,100*32021/409259,"")</f>
        <v>7.8241407030755585</v>
      </c>
      <c r="E92" s="1">
        <f>IF(COUNT(C92:D92)=2,D92-C92,"")</f>
        <v>-10.1897823446441</v>
      </c>
      <c r="H92" s="1">
        <v>18</v>
      </c>
      <c r="I92" s="1">
        <v>17</v>
      </c>
      <c r="J92" s="4"/>
      <c r="K92" s="1">
        <f>IF(666953&gt;0,100*44408/666953,"")</f>
        <v>6.658340242865689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IF(954038&gt;0,100*226711/954038,"")</f>
        <v>23.763309218291095</v>
      </c>
      <c r="S92" s="1">
        <f>IF(COUNT(Q92:R92)=2,R92-Q92,"")</f>
        <v>-27.751018363791356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IF(555892&gt;0,100*195026/555892,"")</f>
        <v>35.08343347268894</v>
      </c>
      <c r="E93" s="1">
        <f>IF(COUNT(C93:D93)=2,D93-C93,"")</f>
        <v>-16.43671550658123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IF(484998&gt;0,100*26333/484998,"")</f>
        <v>5.429506925801756</v>
      </c>
      <c r="L93" s="1">
        <f>IF(COUNT(J93:K93)=2,K93-J93,"")</f>
        <v>-10.31346162974458</v>
      </c>
      <c r="O93" s="1">
        <v>19</v>
      </c>
      <c r="P93" s="1">
        <v>18</v>
      </c>
      <c r="Q93" s="1">
        <f>IF(725510&gt;0,100*356287/725510,"")</f>
        <v>49.1084892007002</v>
      </c>
      <c r="R93" s="1">
        <f>IF(1054715&gt;0,100*147251/1054715,"")</f>
        <v>13.96121227061339</v>
      </c>
      <c r="S93" s="1">
        <f>IF(COUNT(Q93:R93)=2,R93-Q93,"")</f>
        <v>-35.14727693008681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IF(1020131&gt;0,100*340865/1020131,"")</f>
        <v>33.41384586881489</v>
      </c>
      <c r="E94" s="1">
        <f>IF(COUNT(C94:D94)=2,D94-C94,"")</f>
        <v>-12.151483805949056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IF(1006051&gt;0,100*304280/1006051,"")</f>
        <v>30.244987580152497</v>
      </c>
      <c r="L94" s="1">
        <f>IF(COUNT(J94:K94)=2,K94-J94,"")</f>
        <v>8.63865120430993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IF(891236&gt;0,100*133633/891236,"")</f>
        <v>14.994120524754386</v>
      </c>
      <c r="S94" s="1">
        <f>IF(COUNT(Q94:R94)=2,R94-Q94,"")</f>
        <v>-35.18775540375646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IF(588371&gt;0,100*87384/588371,"")</f>
        <v>14.851853677356633</v>
      </c>
      <c r="E95" s="1">
        <f>IF(COUNT(C95:D95)=2,D95-C95,"")</f>
        <v>-34.09767311644596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IF(658300&gt;0,100*104609/658300,"")</f>
        <v>15.890779279963542</v>
      </c>
      <c r="L95" s="1">
        <f>IF(COUNT(J95:K95)=2,K95-J95,"")</f>
        <v>-40.40411267668111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IF(127666&gt;0,100*21655/127666,"")</f>
        <v>16.962229567778422</v>
      </c>
      <c r="S95" s="1">
        <f>IF(COUNT(Q95:R95)=2,R95-Q95,"")</f>
        <v>-37.74347193189705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IF(339950&gt;0,100*135622/339950,"")</f>
        <v>39.89469039564642</v>
      </c>
      <c r="E96" s="1">
        <f>IF(COUNT(C96:D96)=2,D96-C96,"")</f>
        <v>3.3134542340858104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IF(317082&gt;0,100*91616/317082,"")</f>
        <v>28.89347235100069</v>
      </c>
      <c r="L96" s="1">
        <f>IF(COUNT(J96:K96)=2,K96-J96,"")</f>
        <v>-20.987561603389345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IF(204330&gt;0,100*67331/204330,"")</f>
        <v>32.952087309744044</v>
      </c>
      <c r="S96" s="1">
        <f>IF(COUNT(Q96:R96)=2,R96-Q96,"")</f>
        <v>-8.104710660923942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IF(419354&gt;0,100*4606/419354,"")</f>
        <v>1.0983560428659318</v>
      </c>
      <c r="E97" s="1">
        <f>IF(COUNT(C97:D97)=2,D97-C97,"")</f>
        <v>0.9065681679785589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IF(681288&gt;0,100*178489/681288,"")</f>
        <v>26.198758821526287</v>
      </c>
      <c r="L97" s="1">
        <f>IF(COUNT(J97:K97)=2,K97-J97,"")</f>
        <v>-28.09201012515555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IF(763263&gt;0,100*290926/763263,"")</f>
        <v>38.11608842561476</v>
      </c>
      <c r="S97" s="1">
        <f>IF(COUNT(Q97:R97)=2,R97-Q97,"")</f>
        <v>-5.367213846386008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IF(799097&gt;0,100*144860/799097,"")</f>
        <v>18.12796193703643</v>
      </c>
      <c r="E98" s="1">
        <f>IF(COUNT(C98:D98)=2,D98-C98,"")</f>
        <v>-22.383785791865115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IF(1063770&gt;0,100*286568/1063770,"")</f>
        <v>26.938905966515318</v>
      </c>
      <c r="L98" s="1">
        <f>IF(COUNT(J98:K98)=2,K98-J98,"")</f>
        <v>-20.440690192724706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IF(1002899&gt;0,100*265565/1002899,"")</f>
        <v>26.479735247517446</v>
      </c>
      <c r="S98" s="1">
        <f>IF(COUNT(Q98:R98)=2,R98-Q98,"")</f>
        <v>0.198965232089936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IF(320641&gt;0,100*115863/320641,"")</f>
        <v>36.13480496879688</v>
      </c>
      <c r="E99" s="1">
        <f>IF(COUNT(C99:D99)=2,D99-C99,"")</f>
        <v>-8.555532758882443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IF(782807&gt;0,100*19810/782807,"")</f>
        <v>2.530636542596068</v>
      </c>
      <c r="L99" s="1">
        <f>IF(COUNT(J99:K99)=2,K99-J99,"")</f>
        <v>-48.74151510512268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IF(1001195&gt;0,100*200682/1001195,"")</f>
        <v>20.044247124686</v>
      </c>
      <c r="S99" s="1">
        <f>IF(COUNT(Q99:R99)=2,R99-Q99,"")</f>
        <v>-22.52382397304339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IF(574272&gt;0,100*206721/574272,"")</f>
        <v>35.99705366098295</v>
      </c>
      <c r="E100" s="1">
        <f>IF(COUNT(C100:D100)=2,D100-C100,"")</f>
        <v>-15.195399739862339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IF(824789&gt;0,100*73303/824789,"")</f>
        <v>8.88748516287196</v>
      </c>
      <c r="L100" s="1">
        <f>IF(COUNT(J100:K100)=2,K100-J100,"")</f>
        <v>2.8113092024364637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IF(779726&gt;0,100*166134/779726,"")</f>
        <v>21.30671543593519</v>
      </c>
      <c r="S100" s="1">
        <f>IF(COUNT(Q100:R100)=2,R100-Q100,"")</f>
        <v>-38.281248851145385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IF(564110&gt;0,100*206113/564110,"")</f>
        <v>36.5377320026236</v>
      </c>
      <c r="E101" s="1">
        <f>IF(COUNT(C101:D101)=2,D101-C101,"")</f>
        <v>-21.277158319876968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IF(559089&gt;0,100*47941/559089,"")</f>
        <v>8.574842288079358</v>
      </c>
      <c r="L101" s="1">
        <f>IF(COUNT(J101:K101)=2,K101-J101,"")</f>
        <v>-11.25521844536908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IF(858293&gt;0,100*205900/858293,"")</f>
        <v>23.989476787064557</v>
      </c>
      <c r="S101" s="1">
        <f>IF(COUNT(Q101:R101)=2,R101-Q101,"")</f>
        <v>5.539562635736001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IF(450348&gt;0,100*101767/450348,"")</f>
        <v>22.597413555739116</v>
      </c>
      <c r="L102" s="1">
        <f>IF(COUNT(J102:K102)=2,K102-J102,"")</f>
        <v>-12.050294096052184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IF(416739&gt;0,100*112082/416739,"")</f>
        <v>26.89501102608587</v>
      </c>
      <c r="S102" s="1">
        <f>IF(COUNT(Q102:R102)=2,R102-Q102,"")</f>
        <v>-1.6991677273441574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IF(566223&gt;0,100*249933/566223,"")</f>
        <v>44.14038285269231</v>
      </c>
      <c r="E103" s="1">
        <f>IF(COUNT(C103:D103)=2,D103-C103,"")</f>
        <v>-12.007762529898365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IF(589493&gt;0,100*234122/589493,"")</f>
        <v>39.71582359756604</v>
      </c>
      <c r="L103" s="1">
        <f>IF(COUNT(J103:K103)=2,K103-J103,"")</f>
        <v>-16.463949048153886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IF(620849&gt;0,100*279779/620849,"")</f>
        <v>45.06393664159884</v>
      </c>
      <c r="S103" s="1">
        <f>IF(COUNT(Q103:R103)=2,R103-Q103,"")</f>
        <v>-6.102555004017994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IF(667888&gt;0,100*184578/667888,"")</f>
        <v>27.63607071844381</v>
      </c>
      <c r="E104" s="1">
        <f>IF(COUNT(C104:D104)=2,D104-C104,"")</f>
        <v>-24.871761761454586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IF(709641&gt;0,100*16201/709641,"")</f>
        <v>2.2829853404749727</v>
      </c>
      <c r="L104" s="1">
        <f>IF(COUNT(J104:K104)=2,K104-J104,"")</f>
        <v>-25.828188127209394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IF(570127&gt;0,100*7014/570127,"")</f>
        <v>1.2302522069644133</v>
      </c>
      <c r="S104" s="1">
        <f>IF(COUNT(Q104:R104)=2,R104-Q104,"")</f>
        <v>-0.1728428269484268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IF(526512&gt;0,100*2803/526512,"")</f>
        <v>0.5323715318929103</v>
      </c>
      <c r="E105" s="1">
        <f>IF(COUNT(C105:D105)=2,D105-C105,"")</f>
        <v>-21.935334481470118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IF(549329&gt;0,100*138966/549329,"")</f>
        <v>25.297408292662503</v>
      </c>
      <c r="L105" s="1">
        <f>IF(COUNT(J105:K105)=2,K105-J105,"")</f>
        <v>7.9538082956393055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IF(660354&gt;0,100*157793/660354,"")</f>
        <v>23.895213779275963</v>
      </c>
      <c r="S105" s="1">
        <f>IF(COUNT(Q105:R105)=2,R105-Q105,"")</f>
        <v>-15.597944192903185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24.10987416767952</v>
      </c>
      <c r="E106" s="1">
        <f>IF(COUNT(E75:E105)&gt;0,AVERAGE(E75:E105),"")</f>
        <v>-12.663852615662911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17.89084835327642</v>
      </c>
      <c r="L106" s="1">
        <f>IF(COUNT(L75:L105)&gt;0,AVERAGE(L75:L105),"")</f>
        <v>-18.098154305757458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20.95520014578685</v>
      </c>
      <c r="S106" s="1">
        <f>IF(COUNT(S75:S105)&gt;0,AVERAGE(S75:S105),"")</f>
        <v>-14.227137593227347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IF(353251&gt;0,100*61182/353251,"")</f>
        <v>17.319696193358265</v>
      </c>
      <c r="E3" s="1">
        <f>IF(COUNT(C3:D3)=2,D3-C3,"")</f>
        <v>1.6807236476439495</v>
      </c>
      <c r="H3" s="1">
        <v>1</v>
      </c>
      <c r="I3" s="1">
        <v>0</v>
      </c>
      <c r="J3" s="1">
        <f>IF(215009&gt;0,100*58251/215009,"")</f>
        <v>27.09235427354204</v>
      </c>
      <c r="K3" s="1">
        <f>IF(402600&gt;0,100*101181/402600,"")</f>
        <v>25.13189269746647</v>
      </c>
      <c r="L3" s="1">
        <f>IF(COUNT(J3:K3)=2,K3-J3,"")</f>
        <v>-1.96046157607557</v>
      </c>
      <c r="O3" s="1">
        <v>1</v>
      </c>
      <c r="P3" s="1">
        <v>0</v>
      </c>
      <c r="Q3" s="1">
        <f>IF(558995&gt;0,100*195788/558995,"")</f>
        <v>35.0250002236156</v>
      </c>
      <c r="R3" s="1">
        <f>IF(515979&gt;0,100*81767/515979,"")</f>
        <v>15.846962763988456</v>
      </c>
      <c r="S3" s="1">
        <f>IF(COUNT(Q3:R3)=2,R3-Q3,"")</f>
        <v>-19.17803745962714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IF(208908&gt;0,100*62813/208908,"")</f>
        <v>30.067302353188964</v>
      </c>
      <c r="E4" s="1">
        <f>IF(COUNT(C4:D4)=2,D4-C4,"")</f>
        <v>-17.748263999102164</v>
      </c>
      <c r="H4" s="1">
        <v>2</v>
      </c>
      <c r="I4" s="1">
        <v>1</v>
      </c>
      <c r="J4" s="1">
        <f>IF(296332&gt;0,100*64971/296332,"")</f>
        <v>21.925070529001257</v>
      </c>
      <c r="K4" s="1">
        <f>IF(158351&gt;0,100*11111/158351,"")</f>
        <v>7.016690769240485</v>
      </c>
      <c r="L4" s="1">
        <f>IF(COUNT(J4:K4)=2,K4-J4,"")</f>
        <v>-14.908379759760772</v>
      </c>
      <c r="O4" s="1">
        <v>2</v>
      </c>
      <c r="P4" s="1">
        <v>1</v>
      </c>
      <c r="Q4" s="1">
        <f>IF(348213&gt;0,100*131600/348213,"")</f>
        <v>37.792960056057645</v>
      </c>
      <c r="R4" s="1">
        <f>IF(283884&gt;0,100*60001/283884,"")</f>
        <v>21.135745586225358</v>
      </c>
      <c r="S4" s="1">
        <f>IF(COUNT(Q4:R4)=2,R4-Q4,"")</f>
        <v>-16.657214469832287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IF(258409&gt;0,100*93500/258409,"")</f>
        <v>36.182950284239325</v>
      </c>
      <c r="E5" s="1">
        <f>IF(COUNT(C5:D5)=2,D5-C5,"")</f>
        <v>-6.036822648724822</v>
      </c>
      <c r="H5" s="1">
        <v>3</v>
      </c>
      <c r="I5" s="1">
        <v>2</v>
      </c>
      <c r="J5" s="1">
        <f>IF(328831&gt;0,100*62705/328831,"")</f>
        <v>19.069065872743142</v>
      </c>
      <c r="K5" s="1">
        <f>IF(643651&gt;0,100*194257/643651,"")</f>
        <v>30.180486008722117</v>
      </c>
      <c r="L5" s="1">
        <f>IF(COUNT(J5:K5)=2,K5-J5,"")</f>
        <v>11.111420135978975</v>
      </c>
      <c r="O5" s="1">
        <v>3</v>
      </c>
      <c r="P5" s="1">
        <v>2</v>
      </c>
      <c r="Q5" s="1">
        <f>IF(499604&gt;0,100*190955/499604,"")</f>
        <v>38.221271246827484</v>
      </c>
      <c r="R5" s="1">
        <f>IF(533230&gt;0,100*129940/533230,"")</f>
        <v>24.368471391332072</v>
      </c>
      <c r="S5" s="1">
        <f>IF(COUNT(Q5:R5)=2,R5-Q5,"")</f>
        <v>-13.852799855495412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IF(419861&gt;0,100*123575/419861,"")</f>
        <v>29.432359757157727</v>
      </c>
      <c r="E6" s="1">
        <f>IF(COUNT(C6:D6)=2,D6-C6,"")</f>
        <v>-9.293567366350253</v>
      </c>
      <c r="H6" s="1">
        <v>4</v>
      </c>
      <c r="I6" s="1">
        <v>3</v>
      </c>
      <c r="J6" s="1">
        <f>IF(464767&gt;0,100*69099/464767,"")</f>
        <v>14.867449711360747</v>
      </c>
      <c r="K6" s="1">
        <f>IF(347637&gt;0,100*43814/347637,"")</f>
        <v>12.60337651055555</v>
      </c>
      <c r="L6" s="1">
        <f>IF(COUNT(J6:K6)=2,K6-J6,"")</f>
        <v>-2.2640732008051963</v>
      </c>
      <c r="O6" s="1">
        <v>4</v>
      </c>
      <c r="P6" s="1">
        <v>3</v>
      </c>
      <c r="Q6" s="1">
        <f>IF(332328&gt;0,100*11557/332328,"")</f>
        <v>3.477588406634409</v>
      </c>
      <c r="R6" s="1">
        <f>IF(383419&gt;0,100*26360/383419,"")</f>
        <v>6.874985329365525</v>
      </c>
      <c r="S6" s="1">
        <f>IF(COUNT(Q6:R6)=2,R6-Q6,"")</f>
        <v>3.3973969227311156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IF(599942&gt;0,100*134007/599942,"")</f>
        <v>22.336659210390337</v>
      </c>
      <c r="E7" s="1">
        <f>IF(COUNT(C7:D7)=2,D7-C7,"")</f>
        <v>-12.719262318493406</v>
      </c>
      <c r="H7" s="1">
        <v>5</v>
      </c>
      <c r="I7" s="1">
        <v>4</v>
      </c>
      <c r="J7" s="1">
        <f>IF(411240&gt;0,100*106457/411240,"")</f>
        <v>25.88683007489544</v>
      </c>
      <c r="K7" s="1">
        <f>IF(278164&gt;0,100*65501/278164,"")</f>
        <v>23.547619390000143</v>
      </c>
      <c r="L7" s="1">
        <f>IF(COUNT(J7:K7)=2,K7-J7,"")</f>
        <v>-2.3392106848952956</v>
      </c>
      <c r="O7" s="1">
        <v>5</v>
      </c>
      <c r="P7" s="1">
        <v>4</v>
      </c>
      <c r="Q7" s="1">
        <f>IF(258766&gt;0,100*96546/258766,"")</f>
        <v>37.3101566666409</v>
      </c>
      <c r="R7" s="1">
        <f>IF(296647&gt;0,100*74412/296647,"")</f>
        <v>25.08435952495727</v>
      </c>
      <c r="S7" s="1">
        <f>IF(COUNT(Q7:R7)=2,R7-Q7,"")</f>
        <v>-12.225797141683628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IF(479075&gt;0,100*95189/479075,"")</f>
        <v>19.869331524291603</v>
      </c>
      <c r="E8" s="1">
        <f>IF(COUNT(C8:D8)=2,D8-C8,"")</f>
        <v>-3.621049025825176</v>
      </c>
      <c r="H8" s="1">
        <v>6</v>
      </c>
      <c r="I8" s="1">
        <v>5</v>
      </c>
      <c r="J8" s="1">
        <f>IF(324059&gt;0,100*91696/324059,"")</f>
        <v>28.29608188632317</v>
      </c>
      <c r="K8" s="1">
        <f>IF(294473&gt;0,100*57219/294473,"")</f>
        <v>19.430983485752513</v>
      </c>
      <c r="L8" s="1">
        <f>IF(COUNT(J8:K8)=2,K8-J8,"")</f>
        <v>-8.865098400570655</v>
      </c>
      <c r="O8" s="1">
        <v>6</v>
      </c>
      <c r="P8" s="1">
        <v>5</v>
      </c>
      <c r="Q8" s="1">
        <f>IF(371148&gt;0,100*77908/371148,"")</f>
        <v>20.9910871134965</v>
      </c>
      <c r="R8" s="1">
        <f>IF(427443&gt;0,100*65659/427443,"")</f>
        <v>15.360878526493591</v>
      </c>
      <c r="S8" s="1">
        <f>IF(COUNT(Q8:R8)=2,R8-Q8,"")</f>
        <v>-5.63020858700291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IF(392681&gt;0,100*109394/392681,"")</f>
        <v>27.858236074574528</v>
      </c>
      <c r="E9" s="1">
        <f>IF(COUNT(C9:D9)=2,D9-C9,"")</f>
        <v>-16.60674780097741</v>
      </c>
      <c r="H9" s="1">
        <v>7</v>
      </c>
      <c r="I9" s="1">
        <v>6</v>
      </c>
      <c r="J9" s="1">
        <f>IF(325191&gt;0,100*2956/325191,"")</f>
        <v>0.9090042467349957</v>
      </c>
      <c r="K9" s="1">
        <f>IF(362340&gt;0,100*22766/362340,"")</f>
        <v>6.283049069934316</v>
      </c>
      <c r="L9" s="1">
        <f>IF(COUNT(J9:K9)=2,K9-J9,"")</f>
        <v>5.374044823199321</v>
      </c>
      <c r="O9" s="1">
        <v>7</v>
      </c>
      <c r="P9" s="1">
        <v>6</v>
      </c>
      <c r="Q9" s="1">
        <f>IF(434887&gt;0,100*93317/434887,"")</f>
        <v>21.457757992306046</v>
      </c>
      <c r="R9" s="1">
        <f>IF(396396&gt;0,100*18779/396396,"")</f>
        <v>4.737434282888828</v>
      </c>
      <c r="S9" s="1">
        <f>IF(COUNT(Q9:R9)=2,R9-Q9,"")</f>
        <v>-16.72032370941722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IF(348817&gt;0,100*112375/348817,"")</f>
        <v>32.21603304884796</v>
      </c>
      <c r="E10" s="1">
        <f>IF(COUNT(C10:D10)=2,D10-C10,"")</f>
        <v>-13.312085221145722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IF(283012&gt;0,100*8474/283012,"")</f>
        <v>2.994219326388987</v>
      </c>
      <c r="S10" s="1">
        <f>IF(COUNT(Q10:R10)=2,R10-Q10,"")</f>
        <v>2.5905752874824888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IF(169082&gt;0,100*53589/169082,"")</f>
        <v>31.694089258466306</v>
      </c>
      <c r="E11" s="1">
        <f>IF(COUNT(C11:D11)=2,D11-C11,"")</f>
        <v>-14.854740495354186</v>
      </c>
      <c r="H11" s="1">
        <v>9</v>
      </c>
      <c r="I11" s="1">
        <v>8</v>
      </c>
      <c r="J11" s="1">
        <f>IF(422295&gt;0,100*144131/422295,"")</f>
        <v>34.13040646941119</v>
      </c>
      <c r="K11" s="1">
        <f>IF(461276&gt;0,100*142966/461276,"")</f>
        <v>30.99359168914056</v>
      </c>
      <c r="L11" s="1">
        <f>IF(COUNT(J11:K11)=2,K11-J11,"")</f>
        <v>-3.136814780270633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IF(394166&gt;0,100*127311/394166,"")</f>
        <v>32.298828412394776</v>
      </c>
      <c r="S11" s="1">
        <f>IF(COUNT(Q11:R11)=2,R11-Q11,"")</f>
        <v>-6.205964929813987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IF(482476&gt;0,100*12717/482476,"")</f>
        <v>2.635778774488265</v>
      </c>
      <c r="E12" s="1">
        <f>IF(COUNT(C12:D12)=2,D12-C12,"")</f>
        <v>-28.28680910767056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IF(334315&gt;0,100*26174/334315,"")</f>
        <v>7.829143173354471</v>
      </c>
      <c r="L12" s="1">
        <f>IF(COUNT(J12:K12)=2,K12-J12,"")</f>
        <v>-8.908485097373045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IF(478767&gt;0,100*13891/478767,"")</f>
        <v>2.901411333696767</v>
      </c>
      <c r="S12" s="1">
        <f>IF(COUNT(Q12:R12)=2,R12-Q12,"")</f>
        <v>-15.252094015335462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IF(424273&gt;0,100*140834/424273,"")</f>
        <v>33.19419336134989</v>
      </c>
      <c r="E13" s="1">
        <f>IF(COUNT(C13:D13)=2,D13-C13,"")</f>
        <v>0.7409944749958441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IF(404673&gt;0,100*37655/404673,"")</f>
        <v>9.305043825508497</v>
      </c>
      <c r="L13" s="1">
        <f>IF(COUNT(J13:K13)=2,K13-J13,"")</f>
        <v>4.108310070815061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IF(545648&gt;0,100*57703/545648,"")</f>
        <v>10.575132686273935</v>
      </c>
      <c r="S13" s="1">
        <f>IF(COUNT(Q13:R13)=2,R13-Q13,"")</f>
        <v>9.848156497546125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IF(268646&gt;0,100*100732/268646,"")</f>
        <v>37.49618457002896</v>
      </c>
      <c r="E14" s="1">
        <f>IF(COUNT(C14:D14)=2,D14-C14,"")</f>
        <v>-6.477546464849645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IF(499001&gt;0,100*48917/499001,"")</f>
        <v>9.802986366760788</v>
      </c>
      <c r="L14" s="1">
        <f>IF(COUNT(J14:K14)=2,K14-J14,"")</f>
        <v>5.747455387552377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IF(511269&gt;0,100*30648/511269,"")</f>
        <v>5.994496048068629</v>
      </c>
      <c r="S14" s="1">
        <f>IF(COUNT(Q14:R14)=2,R14-Q14,"")</f>
        <v>-32.25135484503826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IF(472539&gt;0,100*51894/472539,"")</f>
        <v>10.981950696133017</v>
      </c>
      <c r="E15" s="1">
        <f>IF(COUNT(C15:D15)=2,D15-C15,"")</f>
        <v>-21.055363502508165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IF(429033&gt;0,100*72864/429033,"")</f>
        <v>16.983308976232596</v>
      </c>
      <c r="L15" s="1">
        <f>IF(COUNT(J15:K15)=2,K15-J15,"")</f>
        <v>-25.273761401818664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IF(526259&gt;0,100*145283/526259,"")</f>
        <v>27.606748768192087</v>
      </c>
      <c r="S15" s="1">
        <f>IF(COUNT(Q15:R15)=2,R15-Q15,"")</f>
        <v>19.82748272301285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IF(295079&gt;0,100*20598/295079,"")</f>
        <v>6.980503526174346</v>
      </c>
      <c r="E16" s="1">
        <f>IF(COUNT(C16:D16)=2,D16-C16,"")</f>
        <v>-9.565951781112087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IF(270355&gt;0,100*42238/270355,"")</f>
        <v>15.623162138669526</v>
      </c>
      <c r="L16" s="1">
        <f>IF(COUNT(J16:K16)=2,K16-J16,"")</f>
        <v>-1.329964039206752</v>
      </c>
      <c r="O16" s="1">
        <v>14</v>
      </c>
      <c r="P16" s="1">
        <v>13</v>
      </c>
      <c r="Q16" s="1">
        <f>IF(284672&gt;0,100*4186/284672,"")</f>
        <v>1.4704642535971224</v>
      </c>
      <c r="R16" s="1">
        <f>IF(301197&gt;0,100*44011/301197,"")</f>
        <v>14.612031328333284</v>
      </c>
      <c r="S16" s="1">
        <f>IF(COUNT(Q16:R16)=2,R16-Q16,"")</f>
        <v>13.141567074736162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IF(214302&gt;0,100*62189/214302,"")</f>
        <v>29.019327864415636</v>
      </c>
      <c r="E17" s="1">
        <f>IF(COUNT(C17:D17)=2,D17-C17,"")</f>
        <v>-12.972024449317331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IF(516889&gt;0,100*95403/516889,"")</f>
        <v>18.457154243947926</v>
      </c>
      <c r="L17" s="1">
        <f>IF(COUNT(J17:K17)=2,K17-J17,"")</f>
        <v>-27.472676146023737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IF(584398&gt;0,100*135355/584398,"")</f>
        <v>23.161441346479624</v>
      </c>
      <c r="S17" s="1">
        <f>IF(COUNT(Q17:R17)=2,R17-Q17,"")</f>
        <v>-9.869090065417975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IF(355403&gt;0,100*127505/355403,"")</f>
        <v>35.876174371066085</v>
      </c>
      <c r="E18" s="1">
        <f>IF(COUNT(C18:D18)=2,D18-C18,"")</f>
        <v>-3.132556857389133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IF(335472&gt;0,100*19470/335472,"")</f>
        <v>5.803763056231221</v>
      </c>
      <c r="L18" s="1">
        <f>IF(COUNT(J18:K18)=2,K18-J18,"")</f>
        <v>-18.782460330241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IF(405107&gt;0,100*94007/405107,"")</f>
        <v>23.205474109309392</v>
      </c>
      <c r="S18" s="1">
        <f>IF(COUNT(Q18:R18)=2,R18-Q18,"")</f>
        <v>-9.164606676033365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IF(285993&gt;0,100*11179/285993,"")</f>
        <v>3.9088369295751995</v>
      </c>
      <c r="E19" s="1">
        <f>IF(COUNT(C19:D19)=2,D19-C19,"")</f>
        <v>-2.749928087622141</v>
      </c>
      <c r="H19" s="1">
        <v>17</v>
      </c>
      <c r="I19" s="1">
        <v>16</v>
      </c>
      <c r="J19" s="1">
        <f>IF(392782&gt;0,100*147986/392782,"")</f>
        <v>37.6763700984261</v>
      </c>
      <c r="K19" s="1">
        <f>IF(253217&gt;0,100*77898/253217,"")</f>
        <v>30.76333737466284</v>
      </c>
      <c r="L19" s="1">
        <f>IF(COUNT(J19:K19)=2,K19-J19,"")</f>
        <v>-6.9130327237632585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IF(337415&gt;0,100*71274/337415,"")</f>
        <v>21.123542225449373</v>
      </c>
      <c r="S19" s="1">
        <f>IF(COUNT(Q19:R19)=2,R19-Q19,"")</f>
        <v>-1.050291979271229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IF(422897&gt;0,100*28720/422897,"")</f>
        <v>6.791251770525683</v>
      </c>
      <c r="L20" s="1">
        <f>IF(COUNT(J20:K20)=2,K20-J20,"")</f>
        <v>-14.997859017802977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IF(565613&gt;0,100*78483/565613,"")</f>
        <v>13.875741894192672</v>
      </c>
      <c r="S20" s="1">
        <f>IF(COUNT(Q20:R20)=2,R20-Q20,"")</f>
        <v>-19.49297974230491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IF(338564&gt;0,100*110832/338564,"")</f>
        <v>32.73590812962985</v>
      </c>
      <c r="E21" s="1">
        <f>IF(COUNT(C21:D21)=2,D21-C21,"")</f>
        <v>-7.1129625755010295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IF(345078&gt;0,100*30401/345078,"")</f>
        <v>8.809892256243517</v>
      </c>
      <c r="L21" s="1">
        <f>IF(COUNT(J21:K21)=2,K21-J21,"")</f>
        <v>-5.084702438449181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IF(366676&gt;0,100*91985/366676,"")</f>
        <v>25.08617962451865</v>
      </c>
      <c r="S21" s="1">
        <f>IF(COUNT(Q21:R21)=2,R21-Q21,"")</f>
        <v>6.915953933059164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IF(607090&gt;0,100*79922/607090,"")</f>
        <v>13.164769638768552</v>
      </c>
      <c r="E22" s="1">
        <f>IF(COUNT(C22:D22)=2,D22-C22,"")</f>
        <v>-21.6730494093014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IF(270532&gt;0,100*37174/270532,"")</f>
        <v>13.741073144766608</v>
      </c>
      <c r="L22" s="1">
        <f>IF(COUNT(J22:K22)=2,K22-J22,"")</f>
        <v>1.370069198228265</v>
      </c>
      <c r="O22" s="1">
        <v>20</v>
      </c>
      <c r="P22" s="1">
        <v>19</v>
      </c>
      <c r="Q22" s="1">
        <f>IF(385907&gt;0,100*79870/385907,"")</f>
        <v>20.69669635430298</v>
      </c>
      <c r="R22" s="1">
        <f>IF(708637&gt;0,100*75539/708637,"")</f>
        <v>10.659759510158233</v>
      </c>
      <c r="S22" s="1">
        <f>IF(COUNT(Q22:R22)=2,R22-Q22,"")</f>
        <v>-10.036936844144746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IF(274189&gt;0,100*29011/274189,"")</f>
        <v>10.580657867383447</v>
      </c>
      <c r="E23" s="1">
        <f>IF(COUNT(C23:D23)=2,D23-C23,"")</f>
        <v>-4.287816986098903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IF(343769&gt;0,100*46042/343769,"")</f>
        <v>13.39329607963487</v>
      </c>
      <c r="L23" s="1">
        <f>IF(COUNT(J23:K23)=2,K23-J23,"")</f>
        <v>-29.24118899967194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IF(451289&gt;0,100*102309/451289,"")</f>
        <v>22.67039524561866</v>
      </c>
      <c r="S23" s="1">
        <f>IF(COUNT(Q23:R23)=2,R23-Q23,"")</f>
        <v>-4.019773352849214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IF(195404&gt;0,100*65417/195404,"")</f>
        <v>33.477820310740825</v>
      </c>
      <c r="E24" s="1">
        <f>IF(COUNT(C24:D24)=2,D24-C24,"")</f>
        <v>-9.380406265019914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IF(241597&gt;0,100*78009/241597,"")</f>
        <v>32.28889431574068</v>
      </c>
      <c r="L24" s="1">
        <f>IF(COUNT(J24:K24)=2,K24-J24,"")</f>
        <v>5.954815543401605</v>
      </c>
      <c r="O24" s="1">
        <v>22</v>
      </c>
      <c r="P24" s="1">
        <v>21</v>
      </c>
      <c r="Q24" s="1">
        <f>IF(97184&gt;0,100*37074/97184,"")</f>
        <v>38.14825485676655</v>
      </c>
      <c r="R24" s="1">
        <f>IF(169972&gt;0,100*55631/169972,"")</f>
        <v>32.729508389617116</v>
      </c>
      <c r="S24" s="1">
        <f>IF(COUNT(Q24:R24)=2,R24-Q24,"")</f>
        <v>-5.4187464671494325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IF(510573&gt;0,100*111974/510573,"")</f>
        <v>21.9310460991866</v>
      </c>
      <c r="L25" s="1">
        <f>IF(COUNT(J25:K25)=2,K25-J25,"")</f>
        <v>5.425830227562503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IF(315017&gt;0,100*34438/315017,"")</f>
        <v>10.932108425894475</v>
      </c>
      <c r="S25" s="1">
        <f>IF(COUNT(Q25:R25)=2,R25-Q25,"")</f>
        <v>-22.89911927741143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IF(512083&gt;0,100*3854/512083,"")</f>
        <v>0.7526123694791664</v>
      </c>
      <c r="E26" s="1">
        <f>IF(COUNT(C26:D26)=2,D26-C26,"")</f>
        <v>-14.8481955877826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IF(470233&gt;0,100*48537/470233,"")</f>
        <v>10.321904247468808</v>
      </c>
      <c r="L26" s="1">
        <f>IF(COUNT(J26:K26)=2,K26-J26,"")</f>
        <v>-19.64969555854373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IF(656325&gt;0,100*190026/656325,"")</f>
        <v>28.953033938978404</v>
      </c>
      <c r="S26" s="1">
        <f>IF(COUNT(Q26:R26)=2,R26-Q26,"")</f>
        <v>4.500451281672067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IF(363835&gt;0,100*111344/363835,"")</f>
        <v>30.60288317506562</v>
      </c>
      <c r="E27" s="1">
        <f>IF(COUNT(C27:D27)=2,D27-C27,"")</f>
        <v>-14.926867756714842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IF(440522&gt;0,100*9415/440522,"")</f>
        <v>2.1372371867920332</v>
      </c>
      <c r="L27" s="1">
        <f>IF(COUNT(J27:K27)=2,K27-J27,"")</f>
        <v>-17.197414429161107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IF(346356&gt;0,100*37872/346356,"")</f>
        <v>10.934414302047605</v>
      </c>
      <c r="S27" s="1">
        <f>IF(COUNT(Q27:R27)=2,R27-Q27,"")</f>
        <v>5.668626872981623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IF(360506&gt;0,100*100943/360506,"")</f>
        <v>28.000366152019662</v>
      </c>
      <c r="E28" s="1">
        <f>IF(COUNT(C28:D28)=2,D28-C28,"")</f>
        <v>-14.245667975975191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IF(328312&gt;0,100*72123/328312,"")</f>
        <v>21.96782329004118</v>
      </c>
      <c r="L28" s="1">
        <f>IF(COUNT(J28:K28)=2,K28-J28,"")</f>
        <v>-9.501458999137256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IF(443706&gt;0,100*60385/443706,"")</f>
        <v>13.609236746854899</v>
      </c>
      <c r="S28" s="1">
        <f>IF(COUNT(Q28:R28)=2,R28-Q28,"")</f>
        <v>-10.295965447820981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IF(376128&gt;0,100*116066/376128,"")</f>
        <v>30.858112132040155</v>
      </c>
      <c r="E29" s="1">
        <f>IF(COUNT(C29:D29)=2,D29-C29,"")</f>
        <v>1.2389541882767574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IF(423666&gt;0,100*51477/423666,"")</f>
        <v>12.150373171318916</v>
      </c>
      <c r="L29" s="1">
        <f>IF(COUNT(J29:K29)=2,K29-J29,"")</f>
        <v>4.076655926406019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IF(419188&gt;0,100*89155/419188,"")</f>
        <v>21.26850005248242</v>
      </c>
      <c r="S29" s="1">
        <f>IF(COUNT(Q29:R29)=2,R29-Q29,"")</f>
        <v>-23.34772767789593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IF(343155&gt;0,100*48044/343155,"")</f>
        <v>14.000670251052732</v>
      </c>
      <c r="L30" s="1">
        <f>IF(COUNT(J30:K30)=2,K30-J30,"")</f>
        <v>-21.156495103277976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IF(363259&gt;0,100*55448/363259,"")</f>
        <v>15.26404025777751</v>
      </c>
      <c r="S30" s="1">
        <f>IF(COUNT(Q30:R30)=2,R30-Q30,"")</f>
        <v>-7.814588489293076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IF(241084&gt;0,100*80020/241084,"")</f>
        <v>33.191750593154254</v>
      </c>
      <c r="E31" s="1">
        <f>IF(COUNT(C31:D31)=2,D31-C31,"")</f>
        <v>-9.059215758787957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IF(423999&gt;0,100*106447/423999,"")</f>
        <v>25.105483739348443</v>
      </c>
      <c r="L31" s="1">
        <f>IF(COUNT(J31:K31)=2,K31-J31,"")</f>
        <v>-18.365206387372318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IF(264890&gt;0,100*53169/264890,"")</f>
        <v>20.07210540224244</v>
      </c>
      <c r="S31" s="1">
        <f>IF(COUNT(Q31:R31)=2,R31-Q31,"")</f>
        <v>-26.507767322847183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IF(102407&gt;0,100*21131/102407,"")</f>
        <v>20.63433163748572</v>
      </c>
      <c r="E32" s="1">
        <f>IF(COUNT(C32:D32)=2,D32-C32,"")</f>
        <v>-25.136686493847986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IF(334888&gt;0,100*43178/334888,"")</f>
        <v>12.893265808270227</v>
      </c>
      <c r="L32" s="1">
        <f>IF(COUNT(J32:K32)=2,K32-J32,"")</f>
        <v>-11.362064857052284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IF(492752&gt;0,100*44422/492752,"")</f>
        <v>9.015082637919278</v>
      </c>
      <c r="S32" s="1">
        <f>IF(COUNT(Q32:R32)=2,R32-Q32,"")</f>
        <v>-10.297944492593494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IF(324665&gt;0,100*90945/324665,"")</f>
        <v>28.011950780034805</v>
      </c>
      <c r="L33" s="1">
        <f>IF(COUNT(J33:K33)=2,K33-J33,"")</f>
        <v>10.061641175376138</v>
      </c>
      <c r="O33" s="1">
        <v>31</v>
      </c>
      <c r="P33" s="1">
        <v>30</v>
      </c>
      <c r="Q33" s="1">
        <f>IF(348777&gt;0,100*89281/348777,"")</f>
        <v>25.59830493409829</v>
      </c>
      <c r="R33" s="1">
        <f>IF(430555&gt;0,100*97996/430555,"")</f>
        <v>22.760390658568593</v>
      </c>
      <c r="S33" s="1">
        <f>IF(COUNT(Q33:R33)=2,R33-Q33,"")</f>
        <v>-2.837914275529698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20.75378570121399</v>
      </c>
      <c r="E34" s="1">
        <f>IF(COUNT(E3:E33)&gt;0,AVERAGE(E3:E33),"")</f>
        <v>-9.531472626444604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15.91665576232407</v>
      </c>
      <c r="L34" s="1">
        <f>IF(COUNT(L3:L33)&gt;0,AVERAGE(L3:L33),"")</f>
        <v>-6.957304860221449</v>
      </c>
      <c r="O34" s="2" t="s">
        <v>6</v>
      </c>
      <c r="P34" s="1"/>
      <c r="Q34" s="1">
        <f>IF(COUNT(Q3:Q33)&gt;0,AVERAGE(Q3:Q33),"")</f>
        <v>24.86611924539666</v>
      </c>
      <c r="R34" s="1">
        <f>IF(COUNT(R3:R33)&gt;0,AVERAGE(R3:R33),"")</f>
        <v>17.281053550861575</v>
      </c>
      <c r="S34" s="1">
        <f>IF(COUNT(S3:S33)&gt;0,AVERAGE(S3:S33),"")</f>
        <v>-7.585065694535077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IF(484364&gt;0,100*26819/484364,"")</f>
        <v>5.536951548835174</v>
      </c>
      <c r="E39" s="1">
        <f>IF(COUNT(C39:D39)=2,D39-C39,"")</f>
        <v>-2.4694136534532456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IF(720649&gt;0,100*177981/720649,"")</f>
        <v>24.697321442200018</v>
      </c>
      <c r="L39" s="1">
        <f>IF(COUNT(J39:K39)=2,K39-J39,"")</f>
        <v>-4.9038001841582</v>
      </c>
      <c r="O39" s="1">
        <v>1</v>
      </c>
      <c r="P39" s="1">
        <v>0</v>
      </c>
      <c r="Q39" s="1">
        <f>IF(523211&gt;0,100*80163/523211,"")</f>
        <v>15.321352188696338</v>
      </c>
      <c r="R39" s="1">
        <f>IF(579502&gt;0,100*171872/579502,"")</f>
        <v>29.658568909166835</v>
      </c>
      <c r="S39" s="1">
        <f>IF(COUNT(Q39:R39)=2,R39-Q39,"")</f>
        <v>14.337216720470497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IF(161837&gt;0,100*49091/161837,"")</f>
        <v>30.33360727151393</v>
      </c>
      <c r="E40" s="1">
        <f>IF(COUNT(C40:D40)=2,D40-C40,"")</f>
        <v>-9.551435420791929</v>
      </c>
      <c r="H40" s="1">
        <v>2</v>
      </c>
      <c r="I40" s="1">
        <v>1</v>
      </c>
      <c r="J40" s="1">
        <f>IF(594344&gt;0,100*221110/594344,"")</f>
        <v>37.20236092229416</v>
      </c>
      <c r="K40" s="1">
        <f>IF(514389&gt;0,100*194251/514389,"")</f>
        <v>37.763443619517524</v>
      </c>
      <c r="L40" s="1">
        <f>IF(COUNT(J40:K40)=2,K40-J40,"")</f>
        <v>0.5610826972233625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IF(422650&gt;0,100*87103/422650,"")</f>
        <v>20.60877794865728</v>
      </c>
      <c r="S40" s="1">
        <f>IF(COUNT(Q40:R40)=2,R40-Q40,"")</f>
        <v>-27.946275099099925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IF(545431&gt;0,100*218874/545431,"")</f>
        <v>40.1286322192908</v>
      </c>
      <c r="E41" s="1">
        <f>IF(COUNT(C41:D41)=2,D41-C41,"")</f>
        <v>-11.470948872488748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IF(303368&gt;0,100*10589/303368,"")</f>
        <v>3.4904802088552516</v>
      </c>
      <c r="L41" s="1">
        <f>IF(COUNT(J41:K41)=2,K41-J41,"")</f>
        <v>-29.322512758312882</v>
      </c>
      <c r="O41" s="1">
        <v>3</v>
      </c>
      <c r="P41" s="1">
        <v>2</v>
      </c>
      <c r="Q41" s="1">
        <f>IF(735676&gt;0,100*303277/735676,"")</f>
        <v>41.22426176740848</v>
      </c>
      <c r="R41" s="1">
        <f>IF(641816&gt;0,100*136092/641816,"")</f>
        <v>21.204208059630798</v>
      </c>
      <c r="S41" s="1">
        <f>IF(COUNT(Q41:R41)=2,R41-Q41,"")</f>
        <v>-20.02005370777768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IF(612010&gt;0,100*136023/612010,"")</f>
        <v>22.225617228476658</v>
      </c>
      <c r="E42" s="1">
        <f>IF(COUNT(C42:D42)=2,D42-C42,"")</f>
        <v>-21.15175260624759</v>
      </c>
      <c r="H42" s="1">
        <v>4</v>
      </c>
      <c r="I42" s="1">
        <v>3</v>
      </c>
      <c r="J42" s="1">
        <f>IF(584626&gt;0,100*38325/584626,"")</f>
        <v>6.555473071673172</v>
      </c>
      <c r="K42" s="1">
        <f>IF(460525&gt;0,100*16896/460525,"")</f>
        <v>3.6688561967319906</v>
      </c>
      <c r="L42" s="1">
        <f>IF(COUNT(J42:K42)=2,K42-J42,"")</f>
        <v>-2.886616874941182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IF(559932&gt;0,100*23507/559932,"")</f>
        <v>4.198188351442675</v>
      </c>
      <c r="S42" s="1">
        <f>IF(COUNT(Q42:R42)=2,R42-Q42,"")</f>
        <v>-1.6940521672490805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IF(658475&gt;0,100*74770/658475,"")</f>
        <v>11.355024868066366</v>
      </c>
      <c r="E43" s="1">
        <f>IF(COUNT(C43:D43)=2,D43-C43,"")</f>
        <v>-5.726681757046904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IF(669675&gt;0,100*198834/669675,"")</f>
        <v>29.69111882629634</v>
      </c>
      <c r="L43" s="1">
        <f>IF(COUNT(J43:K43)=2,K43-J43,"")</f>
        <v>-13.380346807933726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IF(428136&gt;0,100*136044/428136,"")</f>
        <v>31.775884298447224</v>
      </c>
      <c r="S43" s="1">
        <f>IF(COUNT(Q43:R43)=2,R43-Q43,"")</f>
        <v>-9.600199974635991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IF(651834&gt;0,100*122176/651834,"")</f>
        <v>18.743422405090868</v>
      </c>
      <c r="E44" s="1">
        <f>IF(COUNT(C44:D44)=2,D44-C44,"")</f>
        <v>-29.31131303545562</v>
      </c>
      <c r="H44" s="1">
        <v>6</v>
      </c>
      <c r="I44" s="1">
        <v>5</v>
      </c>
      <c r="J44" s="1">
        <f>IF(458928&gt;0,100*143171/458928,"")</f>
        <v>31.19683261862427</v>
      </c>
      <c r="K44" s="1">
        <f>IF(544845&gt;0,100*148794/544845,"")</f>
        <v>27.309418274922226</v>
      </c>
      <c r="L44" s="1">
        <f>IF(COUNT(J44:K44)=2,K44-J44,"")</f>
        <v>-3.8874143437020443</v>
      </c>
      <c r="O44" s="1">
        <v>6</v>
      </c>
      <c r="P44" s="1">
        <v>5</v>
      </c>
      <c r="Q44" s="1">
        <f>IF(652890&gt;0,100*52664/652890,"")</f>
        <v>8.066289880378012</v>
      </c>
      <c r="R44" s="1">
        <f>IF(509915&gt;0,100*94565/509915,"")</f>
        <v>18.545247737367994</v>
      </c>
      <c r="S44" s="1">
        <f>IF(COUNT(Q44:R44)=2,R44-Q44,"")</f>
        <v>10.478957856989982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IF(538844&gt;0,100*194331/538844,"")</f>
        <v>36.06442680998582</v>
      </c>
      <c r="E45" s="1">
        <f>IF(COUNT(C45:D45)=2,D45-C45,"")</f>
        <v>-19.055962030516525</v>
      </c>
      <c r="H45" s="1">
        <v>7</v>
      </c>
      <c r="I45" s="1">
        <v>6</v>
      </c>
      <c r="J45" s="1">
        <f>IF(516628&gt;0,100*1474/516628,"")</f>
        <v>0.28531167493825343</v>
      </c>
      <c r="K45" s="1">
        <f>IF(528461&gt;0,100*3919/528461,"")</f>
        <v>0.7415873640628163</v>
      </c>
      <c r="L45" s="1">
        <f>IF(COUNT(J45:K45)=2,K45-J45,"")</f>
        <v>0.4562756891245629</v>
      </c>
      <c r="O45" s="1">
        <v>7</v>
      </c>
      <c r="P45" s="1">
        <v>6</v>
      </c>
      <c r="Q45" s="1">
        <f>IF(639485&gt;0,100*13388/639485,"")</f>
        <v>2.093559661289944</v>
      </c>
      <c r="R45" s="1">
        <f>IF(502920&gt;0,100*49961/502920,"")</f>
        <v>9.934184363318222</v>
      </c>
      <c r="S45" s="1">
        <f>IF(COUNT(Q45:R45)=2,R45-Q45,"")</f>
        <v>7.840624702028277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IF(304203&gt;0,100*95325/304203,"")</f>
        <v>31.335982879853255</v>
      </c>
      <c r="E46" s="1">
        <f>IF(COUNT(C46:D46)=2,D46-C46,"")</f>
        <v>-12.301439839476352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IF(373271&gt;0,100*4547/373271,"")</f>
        <v>1.2181498160853643</v>
      </c>
      <c r="L46" s="1">
        <f>IF(COUNT(J46:K46)=2,K46-J46,"")</f>
        <v>0.6523142426405232</v>
      </c>
      <c r="O46" s="1">
        <v>8</v>
      </c>
      <c r="P46" s="1">
        <v>7</v>
      </c>
      <c r="Q46" s="1">
        <f>IF(448273&gt;0,100*9937/448273,"")</f>
        <v>2.216729537580894</v>
      </c>
      <c r="R46" s="1">
        <f>IF(413214&gt;0,100*12160/413214,"")</f>
        <v>2.9427850944062883</v>
      </c>
      <c r="S46" s="1">
        <f>IF(COUNT(Q46:R46)=2,R46-Q46,"")</f>
        <v>0.7260555568253944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IF(188994&gt;0,100*71080/188994,"")</f>
        <v>37.609659565912146</v>
      </c>
      <c r="E47" s="1">
        <f>IF(COUNT(C47:D47)=2,D47-C47,"")</f>
        <v>-22.998221154499824</v>
      </c>
      <c r="H47" s="1">
        <v>9</v>
      </c>
      <c r="I47" s="1">
        <v>8</v>
      </c>
      <c r="J47" s="1">
        <f>IF(433696&gt;0,100*195875/433696,"")</f>
        <v>45.16412417914853</v>
      </c>
      <c r="K47" s="1">
        <f>IF(544727&gt;0,100*239966/544727,"")</f>
        <v>44.05252539345397</v>
      </c>
      <c r="L47" s="1">
        <f>IF(COUNT(J47:K47)=2,K47-J47,"")</f>
        <v>-1.1115987856945608</v>
      </c>
      <c r="O47" s="1">
        <v>9</v>
      </c>
      <c r="P47" s="1">
        <v>8</v>
      </c>
      <c r="Q47" s="1">
        <f>IF(341160&gt;0,100*196686/341160,"")</f>
        <v>57.65212803376715</v>
      </c>
      <c r="R47" s="1">
        <f>IF(451015&gt;0,100*183904/451015,"")</f>
        <v>40.77558396062215</v>
      </c>
      <c r="S47" s="1">
        <f>IF(COUNT(Q47:R47)=2,R47-Q47,"")</f>
        <v>-16.876544073145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IF(640281&gt;0,100*31623/640281,"")</f>
        <v>4.938925253131047</v>
      </c>
      <c r="E48" s="1">
        <f>IF(COUNT(C48:D48)=2,D48-C48,"")</f>
        <v>-16.915064918414675</v>
      </c>
      <c r="H48" s="1">
        <v>10</v>
      </c>
      <c r="I48" s="1">
        <v>9</v>
      </c>
      <c r="J48" s="1">
        <f>IF(716304&gt;0,100*319115/716304,"")</f>
        <v>44.550218901472</v>
      </c>
      <c r="K48" s="1">
        <f>IF(667035&gt;0,100*24635/667035,"")</f>
        <v>3.693209501750283</v>
      </c>
      <c r="L48" s="1">
        <f>IF(COUNT(J48:K48)=2,K48-J48,"")</f>
        <v>-40.85700939972172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IF(518078&gt;0,100*12550/518078,"")</f>
        <v>2.422415157563147</v>
      </c>
      <c r="S48" s="1">
        <f>IF(COUNT(Q48:R48)=2,R48-Q48,"")</f>
        <v>-19.536890464236514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IF(514125&gt;0,100*97928/514125,"")</f>
        <v>19.04750790177486</v>
      </c>
      <c r="E49" s="1">
        <f>IF(COUNT(C49:D49)=2,D49-C49,"")</f>
        <v>-27.621637712338117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IF(890210&gt;0,100*27048/890210,"")</f>
        <v>3.0383842014805493</v>
      </c>
      <c r="L49" s="1">
        <f>IF(COUNT(J49:K49)=2,K49-J49,"")</f>
        <v>-30.314515605873535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IF(750475&gt;0,100*137618/750475,"")</f>
        <v>18.337452946467238</v>
      </c>
      <c r="S49" s="1">
        <f>IF(COUNT(Q49:R49)=2,R49-Q49,"")</f>
        <v>-26.290267074926618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IF(449798&gt;0,100*177120/449798,"")</f>
        <v>39.37767620131704</v>
      </c>
      <c r="E50" s="1">
        <f>IF(COUNT(C50:D50)=2,D50-C50,"")</f>
        <v>-8.294296706181605</v>
      </c>
      <c r="H50" s="1">
        <v>12</v>
      </c>
      <c r="I50" s="1">
        <v>11</v>
      </c>
      <c r="J50" s="4">
        <f>IF(0&gt;0,100*0/0,"")</f>
        <v/>
      </c>
      <c r="K50" s="1">
        <f>IF(767599&gt;0,100*158700/767599,"")</f>
        <v>20.67485757537464</v>
      </c>
      <c r="L50" s="1">
        <f>IF(COUNT(J50:K50)=2,K50-J50,"")</f>
        <v/>
      </c>
      <c r="O50" s="1">
        <v>12</v>
      </c>
      <c r="P50" s="1">
        <v>11</v>
      </c>
      <c r="Q50" s="1">
        <f>IF(917983&gt;0,100*390280/917983,"")</f>
        <v>42.51494853390531</v>
      </c>
      <c r="R50" s="1">
        <f>IF(438672&gt;0,100*32715/438672,"")</f>
        <v>7.457736076157129</v>
      </c>
      <c r="S50" s="1">
        <f>IF(COUNT(Q50:R50)=2,R50-Q50,"")</f>
        <v>-35.05721245774818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IF(662063&gt;0,100*123043/662063,"")</f>
        <v>18.584787248343435</v>
      </c>
      <c r="E51" s="1">
        <f>IF(COUNT(C51:D51)=2,D51-C51,"")</f>
        <v>-28.887328032744424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IF(690807&gt;0,100*17483/690807,"")</f>
        <v>2.5308081707336494</v>
      </c>
      <c r="L51" s="1">
        <f>IF(COUNT(J51:K51)=2,K51-J51,"")</f>
        <v>-7.2232810488811605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IF(587264&gt;0,100*21217/587264,"")</f>
        <v>3.6128555470793375</v>
      </c>
      <c r="S51" s="1">
        <f>IF(COUNT(Q51:R51)=2,R51-Q51,"")</f>
        <v>1.461797216388228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IF(616070&gt;0,100*9399/616070,"")</f>
        <v>1.5256383203207429</v>
      </c>
      <c r="E52" s="1">
        <f>IF(COUNT(C52:D52)=2,D52-C52,"")</f>
        <v>1.1518872095776678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IF(304123&gt;0,100*55095/304123,"")</f>
        <v>18.116025423923872</v>
      </c>
      <c r="L52" s="1">
        <f>IF(COUNT(J52:K52)=2,K52-J52,"")</f>
        <v>0.015988459662477084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IF(363972&gt;0,100*54598/363972,"")</f>
        <v>15.000604442099942</v>
      </c>
      <c r="S52" s="1">
        <f>IF(COUNT(Q52:R52)=2,R52-Q52,"")</f>
        <v>2.5595444708644965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IF(481893&gt;0,100*173936/481893,"")</f>
        <v>36.094319693375915</v>
      </c>
      <c r="E53" s="1">
        <f>IF(COUNT(C53:D53)=2,D53-C53,"")</f>
        <v>-4.778618822745571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IF(617593&gt;0,100*204692/617593,"")</f>
        <v>33.143510370098106</v>
      </c>
      <c r="L53" s="1">
        <f>IF(COUNT(J53:K53)=2,K53-J53,"")</f>
        <v>4.821192538246354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IF(616396&gt;0,100*183736/616396,"")</f>
        <v>29.80811037060591</v>
      </c>
      <c r="S53" s="1">
        <f>IF(COUNT(Q53:R53)=2,R53-Q53,"")</f>
        <v>-24.11943217587494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IF(313495&gt;0,100*69565/313495,"")</f>
        <v>22.190146573310578</v>
      </c>
      <c r="E54" s="1">
        <f>IF(COUNT(C54:D54)=2,D54-C54,"")</f>
        <v>-23.928186626867472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IF(301803&gt;0,100*5343/301803,"")</f>
        <v>1.7703601355851333</v>
      </c>
      <c r="L54" s="1">
        <f>IF(COUNT(J54:K54)=2,K54-J54,"")</f>
        <v>-47.78723878680508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IF(588336&gt;0,100*64190/588336,"")</f>
        <v>10.910432134018656</v>
      </c>
      <c r="S54" s="1">
        <f>IF(COUNT(Q54:R54)=2,R54-Q54,"")</f>
        <v>-40.547301856129124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IF(306700&gt;0,100*2062/306700,"")</f>
        <v>0.6723182262797522</v>
      </c>
      <c r="E55" s="1">
        <f>IF(COUNT(C55:D55)=2,D55-C55,"")</f>
        <v>-1.7675786433629364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IF(540874&gt;0,100*125616/540874,"")</f>
        <v>23.22463272407252</v>
      </c>
      <c r="L55" s="1">
        <f>IF(COUNT(J55:K55)=2,K55-J55,"")</f>
        <v>-19.323447760340876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IF(505020&gt;0,100*157548/505020,"")</f>
        <v>31.196388261851016</v>
      </c>
      <c r="S55" s="1">
        <f>IF(COUNT(Q55:R55)=2,R55-Q55,"")</f>
        <v>0.7395183697183967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IF(333324&gt;0,100*14783/333324,"")</f>
        <v>4.435024180677059</v>
      </c>
      <c r="E56" s="1">
        <f>IF(COUNT(C56:D56)=2,D56-C56,"")</f>
        <v>-5.368274355772014</v>
      </c>
      <c r="H56" s="1">
        <v>18</v>
      </c>
      <c r="I56" s="1">
        <v>17</v>
      </c>
      <c r="J56" s="4">
        <f>IF(0&gt;0,100*0/0,"")</f>
        <v/>
      </c>
      <c r="K56" s="1">
        <f>IF(813605&gt;0,100*280389/813605,"")</f>
        <v>34.462546321617985</v>
      </c>
      <c r="L56" s="1">
        <f>IF(COUNT(J56:K56)=2,K56-J56,"")</f>
        <v/>
      </c>
      <c r="O56" s="1">
        <v>18</v>
      </c>
      <c r="P56" s="1">
        <v>17</v>
      </c>
      <c r="Q56" s="1">
        <f>IF(706163&gt;0,100*349274/706163,"")</f>
        <v>49.460818536230306</v>
      </c>
      <c r="R56" s="1">
        <f>IF(776929&gt;0,100*240685/776929,"")</f>
        <v>30.979021249045925</v>
      </c>
      <c r="S56" s="1">
        <f>IF(COUNT(Q56:R56)=2,R56-Q56,"")</f>
        <v>-18.48179728718438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IF(458842&gt;0,100*187938/458842,"")</f>
        <v>40.95919728359653</v>
      </c>
      <c r="E57" s="1">
        <f>IF(COUNT(C57:D57)=2,D57-C57,"")</f>
        <v>-2.981906092248991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IF(500103&gt;0,100*56772/500103,"")</f>
        <v>11.35206147533608</v>
      </c>
      <c r="L57" s="1">
        <f>IF(COUNT(J57:K57)=2,K57-J57,"")</f>
        <v>-19.21503149019692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IF(727431&gt;0,100*171652/727431,"")</f>
        <v>23.597014699675984</v>
      </c>
      <c r="S57" s="1">
        <f>IF(COUNT(Q57:R57)=2,R57-Q57,"")</f>
        <v>-15.121717335893766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IF(662383&gt;0,100*56910/662383,"")</f>
        <v>8.591706006947643</v>
      </c>
      <c r="E58" s="1">
        <f>IF(COUNT(C58:D58)=2,D58-C58,"")</f>
        <v>-35.8158180381992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IF(772770&gt;0,100*192838/772770,"")</f>
        <v>24.95412606597047</v>
      </c>
      <c r="L58" s="1">
        <f>IF(COUNT(J58:K58)=2,K58-J58,"")</f>
        <v>-23.46696952534071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IF(644436&gt;0,100*26484/644436,"")</f>
        <v>4.109640057352475</v>
      </c>
      <c r="S58" s="1">
        <f>IF(COUNT(Q58:R58)=2,R58-Q58,"")</f>
        <v>-37.3168555078485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IF(477396&gt;0,100*84952/477396,"")</f>
        <v>17.794870505827447</v>
      </c>
      <c r="E59" s="1">
        <f>IF(COUNT(C59:D59)=2,D59-C59,"")</f>
        <v>-6.975986514263752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IF(664213&gt;0,100*185442/664213,"")</f>
        <v>27.919056085924243</v>
      </c>
      <c r="L59" s="1">
        <f>IF(COUNT(J59:K59)=2,K59-J59,"")</f>
        <v>-14.964714399047718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IF(422741&gt;0,100*53048/422741,"")</f>
        <v>12.548581755732233</v>
      </c>
      <c r="S59" s="1">
        <f>IF(COUNT(Q59:R59)=2,R59-Q59,"")</f>
        <v>-34.43946020182298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IF(312483&gt;0,100*112922/312483,"")</f>
        <v>36.13700585311841</v>
      </c>
      <c r="E60" s="1">
        <f>IF(COUNT(C60:D60)=2,D60-C60,"")</f>
        <v>-16.43846159450493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IF(472253&gt;0,100*124862/472253,"")</f>
        <v>26.43964146336815</v>
      </c>
      <c r="L60" s="1">
        <f>IF(COUNT(J60:K60)=2,K60-J60,"")</f>
        <v>-25.85512913449723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IF(168639&gt;0,100*55045/168639,"")</f>
        <v>32.640729605844435</v>
      </c>
      <c r="S60" s="1">
        <f>IF(COUNT(Q60:R60)=2,R60-Q60,"")</f>
        <v>-11.428358897621493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IF(453428&gt;0,100*923/453428,"")</f>
        <v>0.20356043296840953</v>
      </c>
      <c r="E61" s="1">
        <f>IF(COUNT(C61:D61)=2,D61-C61,"")</f>
        <v>-0.2137037246281489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IF(660798&gt;0,100*66613/660798,"")</f>
        <v>10.080690316859313</v>
      </c>
      <c r="L61" s="1">
        <f>IF(COUNT(J61:K61)=2,K61-J61,"")</f>
        <v>-46.09187092694239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IF(730795&gt;0,100*279496/730795,"")</f>
        <v>38.2454723964997</v>
      </c>
      <c r="S61" s="1">
        <f>IF(COUNT(Q61:R61)=2,R61-Q61,"")</f>
        <v>-8.012184203024802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IF(688895&gt;0,100*8177/688895,"")</f>
        <v>1.1869733413655201</v>
      </c>
      <c r="E62" s="1">
        <f>IF(COUNT(C62:D62)=2,D62-C62,"")</f>
        <v>-17.472079323290455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IF(675416&gt;0,100*8368/675416,"")</f>
        <v>1.2389401494782475</v>
      </c>
      <c r="L62" s="1">
        <f>IF(COUNT(J62:K62)=2,K62-J62,"")</f>
        <v>-46.61568160551403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IF(631308&gt;0,100*57674/631308,"")</f>
        <v>9.135635854448225</v>
      </c>
      <c r="S62" s="1">
        <f>IF(COUNT(Q62:R62)=2,R62-Q62,"")</f>
        <v>-12.462026030843628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IF(319104&gt;0,100*103486/319104,"")</f>
        <v>32.4301795026073</v>
      </c>
      <c r="E63" s="1">
        <f>IF(COUNT(C63:D63)=2,D63-C63,"")</f>
        <v>-13.83856698869112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IF(562360&gt;0,100*23698/562360,"")</f>
        <v>4.214026602176542</v>
      </c>
      <c r="L63" s="1">
        <f>IF(COUNT(J63:K63)=2,K63-J63,"")</f>
        <v>-35.952828261720825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IF(494302&gt;0,100*26934/494302,"")</f>
        <v>5.448895614421953</v>
      </c>
      <c r="S63" s="1">
        <f>IF(COUNT(Q63:R63)=2,R63-Q63,"")</f>
        <v>-39.30188257944185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IF(513950&gt;0,100*174712/513950,"")</f>
        <v>33.99396828485261</v>
      </c>
      <c r="E64" s="1">
        <f>IF(COUNT(C64:D64)=2,D64-C64,"")</f>
        <v>-16.70079098815947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IF(615143&gt;0,100*112512/615143,"")</f>
        <v>18.290381260942578</v>
      </c>
      <c r="L64" s="1">
        <f>IF(COUNT(J64:K64)=2,K64-J64,"")</f>
        <v>-0.3487294038382984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IF(603880&gt;0,100*110445/603880,"")</f>
        <v>18.289229648274492</v>
      </c>
      <c r="S64" s="1">
        <f>IF(COUNT(Q64:R64)=2,R64-Q64,"")</f>
        <v>-27.904639293321083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IF(486246&gt;0,100*179543/486246,"")</f>
        <v>36.92431403034678</v>
      </c>
      <c r="E65" s="1">
        <f>IF(COUNT(C65:D65)=2,D65-C65,"")</f>
        <v>11.257459604617878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IF(775731&gt;0,100*176174/775731,"")</f>
        <v>22.71070770666636</v>
      </c>
      <c r="L65" s="1">
        <f>IF(COUNT(J65:K65)=2,K65-J65,"")</f>
        <v>-14.482631036134759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IF(741616&gt;0,100*172614/741616,"")</f>
        <v>23.275387801773423</v>
      </c>
      <c r="S65" s="1">
        <f>IF(COUNT(Q65:R65)=2,R65-Q65,"")</f>
        <v>-1.9901484381678465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IF(414325&gt;0,100*3484/414325,"")</f>
        <v>0.840885778072769</v>
      </c>
      <c r="E66" s="1">
        <f>IF(COUNT(C66:D66)=2,D66-C66,"")</f>
        <v>0.7375230864340061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IF(473302&gt;0,100*121898/473302,"")</f>
        <v>25.754803486991392</v>
      </c>
      <c r="L66" s="1">
        <f>IF(COUNT(J66:K66)=2,K66-J66,"")</f>
        <v>-14.178126890822625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IF(480523&gt;0,100*110023/480523,"")</f>
        <v>22.896510676908285</v>
      </c>
      <c r="S66" s="1">
        <f>IF(COUNT(Q66:R66)=2,R66-Q66,"")</f>
        <v>-3.1732170876140167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IF(483827&gt;0,100*166134/483827,"")</f>
        <v>34.337480132361364</v>
      </c>
      <c r="E67" s="1">
        <f>IF(COUNT(C67:D67)=2,D67-C67,"")</f>
        <v>-6.725826549775952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IF(535125&gt;0,100*179374/535125,"")</f>
        <v>33.52001868722261</v>
      </c>
      <c r="L67" s="1">
        <f>IF(COUNT(J67:K67)=2,K67-J67,"")</f>
        <v>-18.033470458494804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IF(659552&gt;0,100*239242/659552,"")</f>
        <v>36.27340982970259</v>
      </c>
      <c r="S67" s="1">
        <f>IF(COUNT(Q67:R67)=2,R67-Q67,"")</f>
        <v>-8.680376477467178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IF(600813&gt;0,100*206074/600813,"")</f>
        <v>34.29919126250597</v>
      </c>
      <c r="E68" s="1">
        <f>IF(COUNT(C68:D68)=2,D68-C68,"")</f>
        <v>-10.906936763976958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IF(549795&gt;0,100*40701/549795,"")</f>
        <v>7.402941096226775</v>
      </c>
      <c r="L68" s="1">
        <f>IF(COUNT(J68:K68)=2,K68-J68,"")</f>
        <v>-11.028784062295987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IF(447958&gt;0,100*106734/447958,"")</f>
        <v>23.826787332741016</v>
      </c>
      <c r="S68" s="1">
        <f>IF(COUNT(Q68:R68)=2,R68-Q68,"")</f>
        <v>19.96779524709968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IF(428550&gt;0,100*3725/428550,"")</f>
        <v>0.8692101271730254</v>
      </c>
      <c r="E69" s="1">
        <f>IF(COUNT(C69:D69)=2,D69-C69,"")</f>
        <v>0.22343049094613554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IF(379110&gt;0,100*42407/379110,"")</f>
        <v>11.18593548046741</v>
      </c>
      <c r="L69" s="1">
        <f>IF(COUNT(J69:K69)=2,K69-J69,"")</f>
        <v>-21.07424567025136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IF(357596&gt;0,100*32363/357596,"")</f>
        <v>9.050157160594637</v>
      </c>
      <c r="S69" s="1">
        <f>IF(COUNT(Q69:R69)=2,R69-Q69,"")</f>
        <v>-16.532379129389078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21.250587449590295</v>
      </c>
      <c r="E70" s="1">
        <f>IF(COUNT(E39:E69)&gt;0,AVERAGE(E39:E69),"")</f>
        <v>-11.816062270147315</v>
      </c>
      <c r="H70" s="2" t="s">
        <v>6</v>
      </c>
      <c r="I70" s="1"/>
      <c r="J70" s="1">
        <f>IF(COUNT(J39:J69)&gt;0,AVERAGE(J39:J69),"")</f>
        <v>33.41421734972294</v>
      </c>
      <c r="K70" s="1">
        <f>IF(COUNT(K39:K69)&gt;0,AVERAGE(K39:K69),"")</f>
        <v>17.366147272399754</v>
      </c>
      <c r="L70" s="1">
        <f>IF(COUNT(L39:L69)&gt;0,AVERAGE(L39:L69),"")</f>
        <v>-16.75169453774364</v>
      </c>
      <c r="O70" s="2" t="s">
        <v>6</v>
      </c>
      <c r="P70" s="1"/>
      <c r="Q70" s="1">
        <f>IF(COUNT(Q39:Q69)&gt;0,AVERAGE(Q39:Q69),"")</f>
        <v>31.84282770070954</v>
      </c>
      <c r="R70" s="1">
        <f>IF(COUNT(R39:R69)&gt;0,AVERAGE(R39:R69),"")</f>
        <v>18.990512817481196</v>
      </c>
      <c r="S70" s="1">
        <f>IF(COUNT(S39:S69)&gt;0,AVERAGE(S39:S69),"")</f>
        <v>-12.852314883228345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29</v>
      </c>
      <c r="K71" s="3">
        <f>COUNT(K39:K69)</f>
        <v>31</v>
      </c>
      <c r="L71" s="3">
        <f>COUNT(L39:L69)</f>
        <v>29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IF(494854&gt;0,100*80000/494854,"")</f>
        <v>16.166384428538517</v>
      </c>
      <c r="E75" s="1">
        <f>IF(COUNT(C75:D75)=2,D75-C75,"")</f>
        <v>12.542515845750973</v>
      </c>
      <c r="H75" s="1">
        <v>1</v>
      </c>
      <c r="I75" s="1">
        <v>0</v>
      </c>
      <c r="J75" s="1">
        <f>IF(796677&gt;0,100*432733/796677,"")</f>
        <v>54.317245257488295</v>
      </c>
      <c r="K75" s="1">
        <f>IF(918965&gt;0,100*146043/918965,"")</f>
        <v>15.892117762918065</v>
      </c>
      <c r="L75" s="1">
        <f>IF(COUNT(J75:K75)=2,K75-J75,"")</f>
        <v>-38.42512749457023</v>
      </c>
      <c r="O75" s="1">
        <v>1</v>
      </c>
      <c r="P75" s="1">
        <v>0</v>
      </c>
      <c r="Q75" s="1">
        <f>IF(517487&gt;0,100*261929/517487,"")</f>
        <v>50.61557101917536</v>
      </c>
      <c r="R75" s="1">
        <f>IF(886925&gt;0,100*235371/886925,"")</f>
        <v>26.537869605660006</v>
      </c>
      <c r="S75" s="1">
        <f>IF(COUNT(Q75:R75)=2,R75-Q75,"")</f>
        <v>-24.077701413515356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IF(20455&gt;0,100*6004/20455,"")</f>
        <v>29.352236616964067</v>
      </c>
      <c r="E76" s="1">
        <f>IF(COUNT(C76:D76)=2,D76-C76,"")</f>
        <v>-14.007189901884313</v>
      </c>
      <c r="H76" s="1">
        <v>2</v>
      </c>
      <c r="I76" s="1">
        <v>1</v>
      </c>
      <c r="J76" s="1">
        <f>IF(591060&gt;0,100*305577/591060,"")</f>
        <v>51.69982742868744</v>
      </c>
      <c r="K76" s="1">
        <f>IF(767381&gt;0,100*142148/767381,"")</f>
        <v>18.523784143730428</v>
      </c>
      <c r="L76" s="1">
        <f>IF(COUNT(J76:K76)=2,K76-J76,"")</f>
        <v>-33.17604328495702</v>
      </c>
      <c r="O76" s="1">
        <v>2</v>
      </c>
      <c r="P76" s="1">
        <v>1</v>
      </c>
      <c r="Q76" s="1">
        <f>IF(548205&gt;0,100*279421/548205,"")</f>
        <v>50.97016626991728</v>
      </c>
      <c r="R76" s="1">
        <f>IF(387877&gt;0,100*158548/387877,"")</f>
        <v>40.87584466209649</v>
      </c>
      <c r="S76" s="1">
        <f>IF(COUNT(Q76:R76)=2,R76-Q76,"")</f>
        <v>-10.094321607820788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IF(433599&gt;0,100*153108/433599,"")</f>
        <v>35.31096704558821</v>
      </c>
      <c r="E77" s="1">
        <f>IF(COUNT(C77:D77)=2,D77-C77,"")</f>
        <v>-12.084390386934409</v>
      </c>
      <c r="H77" s="1">
        <v>3</v>
      </c>
      <c r="I77" s="1">
        <v>2</v>
      </c>
      <c r="J77" s="1">
        <f>IF(584205&gt;0,100*244646/584205,"")</f>
        <v>41.87673847365223</v>
      </c>
      <c r="K77" s="1">
        <f>IF(828604&gt;0,100*166473/828604,"")</f>
        <v>20.090779190059425</v>
      </c>
      <c r="L77" s="1">
        <f>IF(COUNT(J77:K77)=2,K77-J77,"")</f>
        <v>-21.785959283592806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IF(746820&gt;0,100*187607/746820,"")</f>
        <v>25.120778768645724</v>
      </c>
      <c r="S77" s="1">
        <f>IF(COUNT(Q77:R77)=2,R77-Q77,"")</f>
        <v>20.869345972304867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IF(831638&gt;0,100*326830/831638,"")</f>
        <v>39.29955100656776</v>
      </c>
      <c r="E78" s="1">
        <f>IF(COUNT(C78:D78)=2,D78-C78,"")</f>
        <v>-9.763877543841161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IF(565928&gt;0,100*6092/565928,"")</f>
        <v>1.0764620234376105</v>
      </c>
      <c r="L78" s="1">
        <f>IF(COUNT(J78:K78)=2,K78-J78,"")</f>
        <v>-42.20474612929773</v>
      </c>
      <c r="O78" s="1">
        <v>4</v>
      </c>
      <c r="P78" s="1">
        <v>3</v>
      </c>
      <c r="Q78" s="1">
        <f>IF(663228&gt;0,100*363210/663228,"")</f>
        <v>54.76397257051874</v>
      </c>
      <c r="R78" s="1">
        <f>IF(941059&gt;0,100*197198/941059,"")</f>
        <v>20.954902933822428</v>
      </c>
      <c r="S78" s="1">
        <f>IF(COUNT(Q78:R78)=2,R78-Q78,"")</f>
        <v>-33.80906963669631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IF(614259&gt;0,100*106120/614259,"")</f>
        <v>17.276100146680797</v>
      </c>
      <c r="E79" s="1">
        <f>IF(COUNT(C79:D79)=2,D79-C79,"")</f>
        <v>-31.621598546552775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IF(455452&gt;0,100*61796/455452,"")</f>
        <v>13.568059861412399</v>
      </c>
      <c r="S79" s="1">
        <f>IF(COUNT(Q79:R79)=2,R79-Q79,"")</f>
        <v>-22.584615491121596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IF(735390&gt;0,100*178175/735390,"")</f>
        <v>24.22864058526768</v>
      </c>
      <c r="E80" s="1">
        <f>IF(COUNT(C80:D80)=2,D80-C80,"")</f>
        <v>-14.624231317682149</v>
      </c>
      <c r="H80" s="1">
        <v>6</v>
      </c>
      <c r="I80" s="1">
        <v>5</v>
      </c>
      <c r="J80" s="1">
        <f>IF(417286&gt;0,100*124193/417286,"")</f>
        <v>29.76208164184756</v>
      </c>
      <c r="K80" s="1">
        <f>IF(673226&gt;0,100*101139/673226,"")</f>
        <v>15.023038325911358</v>
      </c>
      <c r="L80" s="1">
        <f>IF(COUNT(J80:K80)=2,K80-J80,"")</f>
        <v>-14.7390433159362</v>
      </c>
      <c r="O80" s="1">
        <v>6</v>
      </c>
      <c r="P80" s="1">
        <v>5</v>
      </c>
      <c r="Q80" s="1">
        <f>IF(460762&gt;0,100*159245/460762,"")</f>
        <v>34.56122683728259</v>
      </c>
      <c r="R80" s="1">
        <f>IF(766386&gt;0,100*111879/766386,"")</f>
        <v>14.598257275054607</v>
      </c>
      <c r="S80" s="1">
        <f>IF(COUNT(Q80:R80)=2,R80-Q80,"")</f>
        <v>-19.962969562227983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IF(508412&gt;0,100*184734/508412,"")</f>
        <v>36.335491687843714</v>
      </c>
      <c r="E81" s="1">
        <f>IF(COUNT(C81:D81)=2,D81-C81,"")</f>
        <v>-15.486420532417434</v>
      </c>
      <c r="H81" s="1">
        <v>7</v>
      </c>
      <c r="I81" s="1">
        <v>6</v>
      </c>
      <c r="J81" s="1">
        <f>IF(667678&gt;0,100*4575/667678,"")</f>
        <v>0.6852105356174683</v>
      </c>
      <c r="K81" s="1">
        <f>IF(518252&gt;0,100*11385/518252,"")</f>
        <v>2.1968077306021008</v>
      </c>
      <c r="L81" s="1">
        <f>IF(COUNT(J81:K81)=2,K81-J81,"")</f>
        <v>1.5115971949846325</v>
      </c>
      <c r="O81" s="1">
        <v>7</v>
      </c>
      <c r="P81" s="1">
        <v>6</v>
      </c>
      <c r="Q81" s="1">
        <f>IF(457006&gt;0,100*8837/457006,"")</f>
        <v>1.9336726432475722</v>
      </c>
      <c r="R81" s="1">
        <f>IF(678044&gt;0,100*37436/678044,"")</f>
        <v>5.5211756169216155</v>
      </c>
      <c r="S81" s="1">
        <f>IF(COUNT(Q81:R81)=2,R81-Q81,"")</f>
        <v>3.5875029736740434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IF(463046&gt;0,100*190271/463046,"")</f>
        <v>41.09116588848624</v>
      </c>
      <c r="E82" s="1">
        <f>IF(COUNT(C82:D82)=2,D82-C82,"")</f>
        <v>-6.29928535008662</v>
      </c>
      <c r="H82" s="1">
        <v>8</v>
      </c>
      <c r="I82" s="1">
        <v>7</v>
      </c>
      <c r="J82" s="1">
        <f>IF(581531&gt;0,100*7536/581531,"")</f>
        <v>1.2958896430284885</v>
      </c>
      <c r="K82" s="1">
        <f>IF(473484&gt;0,100*1360/473484,"")</f>
        <v>0.28723251472066635</v>
      </c>
      <c r="L82" s="1">
        <f>IF(COUNT(J82:K82)=2,K82-J82,"")</f>
        <v>-1.008657128307822</v>
      </c>
      <c r="O82" s="1">
        <v>8</v>
      </c>
      <c r="P82" s="1">
        <v>7</v>
      </c>
      <c r="Q82" s="1">
        <f>IF(579694&gt;0,100*5105/579694,"")</f>
        <v>0.8806370257411669</v>
      </c>
      <c r="R82" s="1">
        <f>IF(573405&gt;0,100*64753/573405,"")</f>
        <v>11.292716317437064</v>
      </c>
      <c r="S82" s="1">
        <f>IF(COUNT(Q82:R82)=2,R82-Q82,"")</f>
        <v>10.412079291695896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IF(6068&gt;0,100*956/6068,"")</f>
        <v>15.754779169413316</v>
      </c>
      <c r="E83" s="1">
        <f>IF(COUNT(C83:D83)=2,D83-C83,"")</f>
        <v>-31.273536140774503</v>
      </c>
      <c r="H83" s="1">
        <v>9</v>
      </c>
      <c r="I83" s="1">
        <v>8</v>
      </c>
      <c r="J83" s="1">
        <f>IF(408350&gt;0,100*224416/408350,"")</f>
        <v>54.95677727439696</v>
      </c>
      <c r="K83" s="1">
        <f>IF(470768&gt;0,100*178253/470768,"")</f>
        <v>37.86429833803487</v>
      </c>
      <c r="L83" s="1">
        <f>IF(COUNT(J83:K83)=2,K83-J83,"")</f>
        <v>-17.09247893636209</v>
      </c>
      <c r="O83" s="1">
        <v>9</v>
      </c>
      <c r="P83" s="1">
        <v>8</v>
      </c>
      <c r="Q83" s="1">
        <f>IF(401424&gt;0,100*207750/401424,"")</f>
        <v>51.75325840009566</v>
      </c>
      <c r="R83" s="1">
        <f>IF(589945&gt;0,100*239278/589945,"")</f>
        <v>40.559374178948886</v>
      </c>
      <c r="S83" s="1">
        <f>IF(COUNT(Q83:R83)=2,R83-Q83,"")</f>
        <v>-11.193884221146774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IF(706587&gt;0,100*43250/706587,"")</f>
        <v>6.1209730719642454</v>
      </c>
      <c r="E84" s="1">
        <f>IF(COUNT(C84:D84)=2,D84-C84,"")</f>
        <v>4.972959706977642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IF(689332&gt;0,100*179451/689332,"")</f>
        <v>26.032593873489116</v>
      </c>
      <c r="L84" s="1">
        <f>IF(COUNT(J84:K84)=2,K84-J84,"")</f>
        <v>-27.35647840186623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IF(517553&gt;0,100*56133/517553,"")</f>
        <v>10.84584573947016</v>
      </c>
      <c r="S84" s="1">
        <f>IF(COUNT(Q84:R84)=2,R84-Q84,"")</f>
        <v>-4.551162503982743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IF(684279&gt;0,100*193405/684279,"")</f>
        <v>28.264056035622897</v>
      </c>
      <c r="E85" s="1">
        <f>IF(COUNT(C85:D85)=2,D85-C85,"")</f>
        <v>-26.445991533279386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IF(967013&gt;0,100*389563/967013,"")</f>
        <v>40.28518747938239</v>
      </c>
      <c r="L85" s="1">
        <f>IF(COUNT(J85:K85)=2,K85-J85,"")</f>
        <v>-19.498643099610547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IF(826363&gt;0,100*140477/826363,"")</f>
        <v>16.99943003256438</v>
      </c>
      <c r="S85" s="1">
        <f>IF(COUNT(Q85:R85)=2,R85-Q85,"")</f>
        <v>-34.25956662090974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IF(453353&gt;0,100*164035/453353,"")</f>
        <v>36.1826214892148</v>
      </c>
      <c r="E86" s="1">
        <f>IF(COUNT(C86:D86)=2,D86-C86,"")</f>
        <v>-9.07357195237637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IF(1002714&gt;0,100*110838/1002714,"")</f>
        <v>11.053799986835728</v>
      </c>
      <c r="L86" s="1">
        <f>IF(COUNT(J86:K86)=2,K86-J86,"")</f>
        <v>-44.74113435953036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IF(1022693&gt;0,100*54961/1022693,"")</f>
        <v>5.374144537999184</v>
      </c>
      <c r="S86" s="1">
        <f>IF(COUNT(Q86:R86)=2,R86-Q86,"")</f>
        <v>-48.24406942431378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IF(770130&gt;0,100*103449/770130,"")</f>
        <v>13.432667212029138</v>
      </c>
      <c r="E87" s="1">
        <f>IF(COUNT(C87:D87)=2,D87-C87,"")</f>
        <v>-10.870378366412503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IF(614813&gt;0,100*30105/614813,"")</f>
        <v>4.896610839393442</v>
      </c>
      <c r="L87" s="1">
        <f>IF(COUNT(J87:K87)=2,K87-J87,"")</f>
        <v>-40.16903874002845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IF(340589&gt;0,100*3305/340589,"")</f>
        <v>0.9703777867165411</v>
      </c>
      <c r="E88" s="1">
        <f>IF(COUNT(C88:D88)=2,D88-C88,"")</f>
        <v>-11.974034637979377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IF(450583&gt;0,100*150535/450583,"")</f>
        <v>33.40893908558468</v>
      </c>
      <c r="E89" s="1">
        <f>IF(COUNT(C89:D89)=2,D89-C89,"")</f>
        <v>-17.606304843457323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IF(715748&gt;0,100*181150/715748,"")</f>
        <v>25.30918703230746</v>
      </c>
      <c r="L89" s="1">
        <f>IF(COUNT(J89:K89)=2,K89-J89,"")</f>
        <v>8.703704592596814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IF(844329&gt;0,100*175582/844329,"")</f>
        <v>20.795448219829</v>
      </c>
      <c r="S89" s="1">
        <f>IF(COUNT(Q89:R89)=2,R89-Q89,"")</f>
        <v>0.24231260992117498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IF(466021&gt;0,100*190705/466021,"")</f>
        <v>40.92197561912446</v>
      </c>
      <c r="E90" s="1">
        <f>IF(COUNT(C90:D90)=2,D90-C90,"")</f>
        <v>-1.1729236796056384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IF(1053782&gt;0,100*384077/1053782,"")</f>
        <v>36.44748154741683</v>
      </c>
      <c r="L90" s="1">
        <f>IF(COUNT(J90:K90)=2,K90-J90,"")</f>
        <v>-15.580678128819166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IF(758263&gt;0,100*138359/758263,"")</f>
        <v>18.24683520097908</v>
      </c>
      <c r="S90" s="1">
        <f>IF(COUNT(Q90:R90)=2,R90-Q90,"")</f>
        <v>-39.33913452485349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IF(427336&gt;0,100*5974/427336,"")</f>
        <v>1.3979631952374711</v>
      </c>
      <c r="E91" s="1">
        <f>IF(COUNT(C91:D91)=2,D91-C91,"")</f>
        <v>-3.29757120632393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IF(714930&gt;0,100*308959/714930,"")</f>
        <v>43.21527981760452</v>
      </c>
      <c r="L91" s="1">
        <f>IF(COUNT(J91:K91)=2,K91-J91,"")</f>
        <v>40.82754890871727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IF(444616&gt;0,100*126892/444616,"")</f>
        <v>28.53968368209871</v>
      </c>
      <c r="S91" s="1">
        <f>IF(COUNT(Q91:R91)=2,R91-Q91,"")</f>
        <v>-12.592331268525509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IF(549533&gt;0,100*21261/549533,"")</f>
        <v>3.8689214296502668</v>
      </c>
      <c r="S92" s="1">
        <f>IF(COUNT(Q92:R92)=2,R92-Q92,"")</f>
        <v>-47.64540615243219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IF(647649&gt;0,100*254111/647649,"")</f>
        <v>39.23591328018726</v>
      </c>
      <c r="E93" s="1">
        <f>IF(COUNT(C93:D93)=2,D93-C93,"")</f>
        <v>-12.284235699082906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IF(659311&gt;0,100*135581/659311,"")</f>
        <v>20.56404337255104</v>
      </c>
      <c r="L93" s="1">
        <f>IF(COUNT(J93:K93)=2,K93-J93,"")</f>
        <v>4.821074817004703</v>
      </c>
      <c r="O93" s="1">
        <v>19</v>
      </c>
      <c r="P93" s="1">
        <v>18</v>
      </c>
      <c r="Q93" s="1">
        <f>IF(725510&gt;0,100*356287/725510,"")</f>
        <v>49.1084892007002</v>
      </c>
      <c r="R93" s="1">
        <f>IF(536450&gt;0,100*38107/536450,"")</f>
        <v>7.103551123124243</v>
      </c>
      <c r="S93" s="1">
        <f>IF(COUNT(Q93:R93)=2,R93-Q93,"")</f>
        <v>-42.00493807757596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IF(699760&gt;0,100*120838/699760,"")</f>
        <v>17.268492054418658</v>
      </c>
      <c r="E94" s="1">
        <f>IF(COUNT(C94:D94)=2,D94-C94,"")</f>
        <v>-28.296837620345286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IF(455220&gt;0,100*112605/455220,"")</f>
        <v>24.736391195465927</v>
      </c>
      <c r="L94" s="1">
        <f>IF(COUNT(J94:K94)=2,K94-J94,"")</f>
        <v>3.1300548196233606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IF(886413&gt;0,100*184114/886413,"")</f>
        <v>20.77067913038279</v>
      </c>
      <c r="S94" s="1">
        <f>IF(COUNT(Q94:R94)=2,R94-Q94,"")</f>
        <v>-29.41119679812806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IF(399622&gt;0,100*67389/399622,"")</f>
        <v>16.86318571049642</v>
      </c>
      <c r="E95" s="1">
        <f>IF(COUNT(C95:D95)=2,D95-C95,"")</f>
        <v>-32.08634108330618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IF(837944&gt;0,100*78363/837944,"")</f>
        <v>9.351818259931452</v>
      </c>
      <c r="L95" s="1">
        <f>IF(COUNT(J95:K95)=2,K95-J95,"")</f>
        <v>-46.9430736967132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IF(861285&gt;0,100*309629/861285,"")</f>
        <v>35.94965661772816</v>
      </c>
      <c r="S95" s="1">
        <f>IF(COUNT(Q95:R95)=2,R95-Q95,"")</f>
        <v>-18.75604488194731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IF(424230&gt;0,100*180206/424230,"")</f>
        <v>42.4783725809113</v>
      </c>
      <c r="E96" s="1">
        <f>IF(COUNT(C96:D96)=2,D96-C96,"")</f>
        <v>5.897136419350687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IF(343448&gt;0,100*143357/343448,"")</f>
        <v>41.740525494397986</v>
      </c>
      <c r="L96" s="1">
        <f>IF(COUNT(J96:K96)=2,K96-J96,"")</f>
        <v>-8.140508459992049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IF(112295&gt;0,100*30313/112295,"")</f>
        <v>26.994078097867224</v>
      </c>
      <c r="S96" s="1">
        <f>IF(COUNT(Q96:R96)=2,R96-Q96,"")</f>
        <v>-14.062719872800763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IF(407971&gt;0,100*3111/407971,"")</f>
        <v>0.7625542011564548</v>
      </c>
      <c r="E97" s="1">
        <f>IF(COUNT(C97:D97)=2,D97-C97,"")</f>
        <v>0.5707663262690819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IF(1059985&gt;0,100*439555/1059985,"")</f>
        <v>41.46803964207041</v>
      </c>
      <c r="L97" s="1">
        <f>IF(COUNT(J97:K97)=2,K97-J97,"")</f>
        <v>-12.822729304611428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IF(714880&gt;0,100*286150/714880,"")</f>
        <v>40.027696956132495</v>
      </c>
      <c r="S97" s="1">
        <f>IF(COUNT(Q97:R97)=2,R97-Q97,"")</f>
        <v>-3.455605315868276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IF(703435&gt;0,100*27530/703435,"")</f>
        <v>3.9136522919672747</v>
      </c>
      <c r="E98" s="1">
        <f>IF(COUNT(C98:D98)=2,D98-C98,"")</f>
        <v>-36.59809543693427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IF(874358&gt;0,100*141558/874358,"")</f>
        <v>16.18993593013388</v>
      </c>
      <c r="L98" s="1">
        <f>IF(COUNT(J98:K98)=2,K98-J98,"")</f>
        <v>-31.189660229106142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IF(690920&gt;0,100*126798/690920,"")</f>
        <v>18.352052336015745</v>
      </c>
      <c r="S98" s="1">
        <f>IF(COUNT(Q98:R98)=2,R98-Q98,"")</f>
        <v>-7.928717679411765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IF(489167&gt;0,100*180628/489167,"")</f>
        <v>36.925630715072764</v>
      </c>
      <c r="E99" s="1">
        <f>IF(COUNT(C99:D99)=2,D99-C99,"")</f>
        <v>-7.764707012606557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IF(850147&gt;0,100*166438/850147,"")</f>
        <v>19.57755541100539</v>
      </c>
      <c r="L99" s="1">
        <f>IF(COUNT(J99:K99)=2,K99-J99,"")</f>
        <v>-31.69459623671336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IF(817304&gt;0,100*136855/817304,"")</f>
        <v>16.744687411293718</v>
      </c>
      <c r="S99" s="1">
        <f>IF(COUNT(Q99:R99)=2,R99-Q99,"")</f>
        <v>-25.82338368643567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IF(740322&gt;0,100*173523/740322,"")</f>
        <v>23.438854984722862</v>
      </c>
      <c r="L100" s="1">
        <f>IF(COUNT(J100:K100)=2,K100-J100,"")</f>
        <v>17.362679024287367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IF(526021&gt;0,100*127871/526021,"")</f>
        <v>24.309105530007358</v>
      </c>
      <c r="S100" s="1">
        <f>IF(COUNT(Q100:R100)=2,R100-Q100,"")</f>
        <v>-35.278858757073216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IF(209043&gt;0,100*56268/209043,"")</f>
        <v>26.916950101175356</v>
      </c>
      <c r="E101" s="1">
        <f>IF(COUNT(C101:D101)=2,D101-C101,"")</f>
        <v>-30.89794022132521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IF(590522&gt;0,100*110685/590522,"")</f>
        <v>18.743586183071926</v>
      </c>
      <c r="L101" s="1">
        <f>IF(COUNT(J101:K101)=2,K101-J101,"")</f>
        <v>-1.0864745503765114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IF(490696&gt;0,100*86600/490696,"")</f>
        <v>17.64840145426089</v>
      </c>
      <c r="S101" s="1">
        <f>IF(COUNT(Q101:R101)=2,R101-Q101,"")</f>
        <v>-0.8015126970676683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IF(723089&gt;0,100*1192/723089,"")</f>
        <v>0.1648483105122606</v>
      </c>
      <c r="E102" s="1">
        <f>IF(COUNT(C102:D102)=2,D102-C102,"")</f>
        <v>-0.06489592759628734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IF(500265&gt;0,100*216668/500265,"")</f>
        <v>43.31064535796028</v>
      </c>
      <c r="L102" s="1">
        <f>IF(COUNT(J102:K102)=2,K102-J102,"")</f>
        <v>8.662937706168982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IF(422805&gt;0,100*115585/422805,"")</f>
        <v>27.337661569754378</v>
      </c>
      <c r="S102" s="1">
        <f>IF(COUNT(Q102:R102)=2,R102-Q102,"")</f>
        <v>-1.2565171836756512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IF(525720&gt;0,100*221196/525720,"")</f>
        <v>42.074868751426614</v>
      </c>
      <c r="E103" s="1">
        <f>IF(COUNT(C103:D103)=2,D103-C103,"")</f>
        <v>-14.073276631164063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IF(572687&gt;0,100*90497/572687,"")</f>
        <v>15.802174660853137</v>
      </c>
      <c r="L103" s="1">
        <f>IF(COUNT(J103:K103)=2,K103-J103,"")</f>
        <v>-40.377597984866796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IF(743272&gt;0,100*201986/743272,"")</f>
        <v>27.17524674681678</v>
      </c>
      <c r="S103" s="1">
        <f>IF(COUNT(Q103:R103)=2,R103-Q103,"")</f>
        <v>-23.99124489880006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IF(777951&gt;0,100*292698/777951,"")</f>
        <v>37.62422054859496</v>
      </c>
      <c r="E104" s="1">
        <f>IF(COUNT(C104:D104)=2,D104-C104,"")</f>
        <v>-14.883611931303435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IF(568635&gt;0,100*16691/568635,"")</f>
        <v>2.93527482479974</v>
      </c>
      <c r="L104" s="1">
        <f>IF(COUNT(J104:K104)=2,K104-J104,"")</f>
        <v>-25.175898642884626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IF(739395&gt;0,100*10861/739395,"")</f>
        <v>1.4689036306710215</v>
      </c>
      <c r="S104" s="1">
        <f>IF(COUNT(Q104:R104)=2,R104-Q104,"")</f>
        <v>0.0658085967581814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IF(623589&gt;0,100*195804/623589,"")</f>
        <v>31.39952757344982</v>
      </c>
      <c r="L105" s="1">
        <f>IF(COUNT(J105:K105)=2,K105-J105,"")</f>
        <v>14.055927576426622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IF(763804&gt;0,100*162444/763804,"")</f>
        <v>21.267759791779042</v>
      </c>
      <c r="S105" s="1">
        <f>IF(COUNT(Q105:R105)=2,R105-Q105,"")</f>
        <v>-18.225398180400106</v>
      </c>
    </row>
    <row r="106" spans="1:19">
      <c r="A106" s="2" t="s">
        <v>6</v>
      </c>
      <c r="B106" s="1"/>
      <c r="C106" s="1">
        <f>IF(COUNT(C75:C105)&gt;0,AVERAGE(C75:C105),"")</f>
        <v>36.77372678334243</v>
      </c>
      <c r="D106" s="1">
        <f>IF(COUNT(D75:D105)&gt;0,AVERAGE(D75:D105),"")</f>
        <v>23.2270371256734</v>
      </c>
      <c r="E106" s="1">
        <f>IF(COUNT(E75:E105)&gt;0,AVERAGE(E75:E105),"")</f>
        <v>-13.546689657669038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20.840088223379897</v>
      </c>
      <c r="L106" s="1">
        <f>IF(COUNT(L75:L105)&gt;0,AVERAGE(L75:L105),"")</f>
        <v>-14.886823932334867</v>
      </c>
      <c r="O106" s="2" t="s">
        <v>6</v>
      </c>
      <c r="P106" s="1"/>
      <c r="Q106" s="1">
        <f>IF(COUNT(Q75:Q105)&gt;0,AVERAGE(Q75:Q105),"")</f>
        <v>35.1823377390142</v>
      </c>
      <c r="R106" s="1">
        <f>IF(COUNT(R75:R105)&gt;0,AVERAGE(R75:R105),"")</f>
        <v>19.061606402919015</v>
      </c>
      <c r="S106" s="1">
        <f>IF(COUNT(S75:S105)&gt;0,AVERAGE(S75:S105),"")</f>
        <v>-16.120731336095176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6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style="3" customWidth="1"/>
    <col min="2" max="5" width="28.7109375" style="3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 t="s">
        <v>21</v>
      </c>
      <c r="B2" s="3" t="s">
        <v>22</v>
      </c>
      <c r="C2" s="3">
        <v>439471</v>
      </c>
      <c r="D2" s="3">
        <v>24519</v>
      </c>
      <c r="E2" s="3" t="s">
        <v>23</v>
      </c>
    </row>
    <row r="3" spans="1:5">
      <c r="A3" s="3" t="s">
        <v>24</v>
      </c>
      <c r="B3" s="3" t="s">
        <v>22</v>
      </c>
      <c r="C3" s="3">
        <v>684778</v>
      </c>
      <c r="D3" s="3">
        <v>177449</v>
      </c>
      <c r="E3" s="3" t="s">
        <v>23</v>
      </c>
    </row>
    <row r="4" spans="1:5">
      <c r="A4" s="3" t="s">
        <v>25</v>
      </c>
      <c r="B4" s="3" t="s">
        <v>22</v>
      </c>
      <c r="C4" s="3">
        <v>371756</v>
      </c>
      <c r="D4" s="3">
        <v>127955</v>
      </c>
      <c r="E4" s="3" t="s">
        <v>23</v>
      </c>
    </row>
    <row r="5" spans="1:5">
      <c r="A5" s="3" t="s">
        <v>26</v>
      </c>
      <c r="B5" s="3" t="s">
        <v>22</v>
      </c>
      <c r="C5" s="3">
        <v>657008</v>
      </c>
      <c r="D5" s="3">
        <v>97750</v>
      </c>
      <c r="E5" s="3" t="s">
        <v>23</v>
      </c>
    </row>
    <row r="6" spans="1:5">
      <c r="A6" s="3" t="s">
        <v>27</v>
      </c>
      <c r="B6" s="3" t="s">
        <v>22</v>
      </c>
      <c r="C6" s="3">
        <v>627958</v>
      </c>
      <c r="D6" s="3">
        <v>2347</v>
      </c>
      <c r="E6" s="3" t="s">
        <v>23</v>
      </c>
    </row>
    <row r="7" spans="1:5">
      <c r="A7" s="3" t="s">
        <v>28</v>
      </c>
      <c r="B7" s="3" t="s">
        <v>22</v>
      </c>
      <c r="C7" s="3">
        <v>467093</v>
      </c>
      <c r="D7" s="3">
        <v>174826</v>
      </c>
      <c r="E7" s="3" t="s">
        <v>23</v>
      </c>
    </row>
    <row r="8" spans="1:5">
      <c r="A8" s="3" t="s">
        <v>29</v>
      </c>
      <c r="B8" s="3" t="s">
        <v>22</v>
      </c>
      <c r="C8" s="3">
        <v>584406</v>
      </c>
      <c r="D8" s="3">
        <v>222913</v>
      </c>
      <c r="E8" s="3" t="s">
        <v>23</v>
      </c>
    </row>
    <row r="9" spans="1:5">
      <c r="A9" s="3" t="s">
        <v>30</v>
      </c>
      <c r="B9" s="3" t="s">
        <v>22</v>
      </c>
      <c r="C9" s="3">
        <v>421488</v>
      </c>
      <c r="D9" s="3">
        <v>6361</v>
      </c>
      <c r="E9" s="3" t="s">
        <v>23</v>
      </c>
    </row>
    <row r="10" spans="1:5">
      <c r="A10" s="3" t="s">
        <v>31</v>
      </c>
      <c r="B10" s="3" t="s">
        <v>22</v>
      </c>
      <c r="C10" s="3">
        <v>429270</v>
      </c>
      <c r="D10" s="3">
        <v>12001</v>
      </c>
      <c r="E10" s="3" t="s">
        <v>23</v>
      </c>
    </row>
    <row r="11" spans="1:5">
      <c r="A11" s="3" t="s">
        <v>32</v>
      </c>
      <c r="B11" s="3" t="s">
        <v>22</v>
      </c>
      <c r="C11" s="3">
        <v>191607</v>
      </c>
      <c r="D11" s="3">
        <v>54161</v>
      </c>
      <c r="E11" s="3" t="s">
        <v>23</v>
      </c>
    </row>
    <row r="12" spans="1:5">
      <c r="A12" s="3" t="s">
        <v>33</v>
      </c>
      <c r="B12" s="3" t="s">
        <v>22</v>
      </c>
      <c r="C12" s="3">
        <v>670157</v>
      </c>
      <c r="D12" s="3">
        <v>151414</v>
      </c>
      <c r="E12" s="3" t="s">
        <v>23</v>
      </c>
    </row>
    <row r="13" spans="1:5">
      <c r="A13" s="3" t="s">
        <v>34</v>
      </c>
      <c r="B13" s="3" t="s">
        <v>22</v>
      </c>
      <c r="C13" s="3">
        <v>229311</v>
      </c>
      <c r="D13" s="3">
        <v>88282</v>
      </c>
      <c r="E13" s="3" t="s">
        <v>23</v>
      </c>
    </row>
    <row r="14" spans="1:5">
      <c r="A14" s="3" t="s">
        <v>35</v>
      </c>
      <c r="B14" s="3" t="s">
        <v>22</v>
      </c>
      <c r="C14" s="3">
        <v>524176</v>
      </c>
      <c r="D14" s="3">
        <v>158616</v>
      </c>
      <c r="E14" s="3" t="s">
        <v>23</v>
      </c>
    </row>
    <row r="15" spans="1:5">
      <c r="A15" s="3" t="s">
        <v>36</v>
      </c>
      <c r="B15" s="3" t="s">
        <v>22</v>
      </c>
      <c r="C15" s="3">
        <v>320340</v>
      </c>
      <c r="D15" s="3">
        <v>110144</v>
      </c>
      <c r="E15" s="3" t="s">
        <v>23</v>
      </c>
    </row>
    <row r="16" spans="1:5">
      <c r="A16" s="3" t="s">
        <v>37</v>
      </c>
      <c r="B16" s="3" t="s">
        <v>22</v>
      </c>
      <c r="C16" s="3">
        <v>340312</v>
      </c>
      <c r="D16" s="3">
        <v>1420</v>
      </c>
      <c r="E16" s="3" t="s">
        <v>23</v>
      </c>
    </row>
    <row r="17" spans="1:5">
      <c r="A17" s="3" t="s">
        <v>38</v>
      </c>
      <c r="B17" s="3" t="s">
        <v>22</v>
      </c>
      <c r="C17" s="3">
        <v>590977</v>
      </c>
      <c r="D17" s="3">
        <v>14108</v>
      </c>
      <c r="E17" s="3" t="s">
        <v>23</v>
      </c>
    </row>
    <row r="18" spans="1:5">
      <c r="A18" s="3" t="s">
        <v>39</v>
      </c>
      <c r="B18" s="3" t="s">
        <v>22</v>
      </c>
      <c r="C18" s="3">
        <v>459303</v>
      </c>
      <c r="D18" s="3">
        <v>155886</v>
      </c>
      <c r="E18" s="3" t="s">
        <v>23</v>
      </c>
    </row>
    <row r="19" spans="1:5">
      <c r="A19" s="3" t="s">
        <v>40</v>
      </c>
      <c r="B19" s="3" t="s">
        <v>22</v>
      </c>
      <c r="C19" s="3">
        <v>556035</v>
      </c>
      <c r="D19" s="3">
        <v>120613</v>
      </c>
      <c r="E19" s="3" t="s">
        <v>23</v>
      </c>
    </row>
    <row r="20" spans="1:5">
      <c r="A20" s="3" t="s">
        <v>41</v>
      </c>
      <c r="B20" s="3" t="s">
        <v>22</v>
      </c>
      <c r="C20" s="3">
        <v>415999</v>
      </c>
      <c r="D20" s="3">
        <v>92342</v>
      </c>
      <c r="E20" s="3" t="s">
        <v>23</v>
      </c>
    </row>
    <row r="21" spans="1:5">
      <c r="A21" s="3" t="s">
        <v>42</v>
      </c>
      <c r="B21" s="3" t="s">
        <v>22</v>
      </c>
      <c r="C21" s="3">
        <v>323134</v>
      </c>
      <c r="D21" s="3">
        <v>334</v>
      </c>
      <c r="E21" s="3" t="s">
        <v>23</v>
      </c>
    </row>
    <row r="22" spans="1:5">
      <c r="A22" s="3" t="s">
        <v>43</v>
      </c>
      <c r="B22" s="3" t="s">
        <v>22</v>
      </c>
      <c r="C22" s="3">
        <v>410843</v>
      </c>
      <c r="D22" s="3">
        <v>151799</v>
      </c>
      <c r="E22" s="3" t="s">
        <v>23</v>
      </c>
    </row>
    <row r="23" spans="1:5">
      <c r="A23" s="3" t="s">
        <v>44</v>
      </c>
      <c r="B23" s="3" t="s">
        <v>22</v>
      </c>
      <c r="C23" s="3">
        <v>497160</v>
      </c>
      <c r="D23" s="3">
        <v>67757</v>
      </c>
      <c r="E23" s="3" t="s">
        <v>23</v>
      </c>
    </row>
    <row r="24" spans="1:5">
      <c r="A24" s="3" t="s">
        <v>45</v>
      </c>
      <c r="B24" s="3" t="s">
        <v>22</v>
      </c>
      <c r="C24" s="3">
        <v>410873</v>
      </c>
      <c r="D24" s="3">
        <v>69224</v>
      </c>
      <c r="E24" s="3" t="s">
        <v>23</v>
      </c>
    </row>
    <row r="25" spans="1:5">
      <c r="A25" s="3" t="s">
        <v>46</v>
      </c>
      <c r="B25" s="3" t="s">
        <v>22</v>
      </c>
      <c r="C25" s="3">
        <v>600979</v>
      </c>
      <c r="D25" s="3">
        <v>3881</v>
      </c>
      <c r="E25" s="3" t="s">
        <v>23</v>
      </c>
    </row>
    <row r="26" spans="1:5">
      <c r="A26" s="3" t="s">
        <v>47</v>
      </c>
      <c r="B26" s="3" t="s">
        <v>22</v>
      </c>
      <c r="C26" s="3">
        <v>593423</v>
      </c>
      <c r="D26" s="3">
        <v>203549</v>
      </c>
      <c r="E26" s="3" t="s">
        <v>23</v>
      </c>
    </row>
    <row r="27" spans="1:5">
      <c r="A27" s="3" t="s">
        <v>48</v>
      </c>
      <c r="B27" s="3" t="s">
        <v>22</v>
      </c>
      <c r="C27" s="3">
        <v>469694</v>
      </c>
      <c r="D27" s="3">
        <v>6526</v>
      </c>
      <c r="E27" s="3" t="s">
        <v>23</v>
      </c>
    </row>
    <row r="28" spans="1:5">
      <c r="A28" s="3" t="s">
        <v>49</v>
      </c>
      <c r="B28" s="3" t="s">
        <v>22</v>
      </c>
      <c r="C28" s="3">
        <v>544639</v>
      </c>
      <c r="D28" s="3">
        <v>49230</v>
      </c>
      <c r="E28" s="3" t="s">
        <v>23</v>
      </c>
    </row>
    <row r="29" spans="1:5">
      <c r="A29" s="3" t="s">
        <v>50</v>
      </c>
      <c r="B29" s="3" t="s">
        <v>22</v>
      </c>
      <c r="C29" s="3">
        <v>586288</v>
      </c>
      <c r="D29" s="3">
        <v>164721</v>
      </c>
      <c r="E29" s="3" t="s">
        <v>23</v>
      </c>
    </row>
    <row r="30" spans="1:5">
      <c r="A30" s="3" t="s">
        <v>51</v>
      </c>
      <c r="B30" s="3" t="s">
        <v>22</v>
      </c>
      <c r="C30" s="3">
        <v>463782</v>
      </c>
      <c r="D30" s="3">
        <v>139026</v>
      </c>
      <c r="E30" s="3" t="s">
        <v>23</v>
      </c>
    </row>
    <row r="31" spans="1:5">
      <c r="A31" s="3" t="s">
        <v>52</v>
      </c>
      <c r="B31" s="3" t="s">
        <v>22</v>
      </c>
      <c r="C31" s="3">
        <v>290986</v>
      </c>
      <c r="D31" s="3">
        <v>103428</v>
      </c>
      <c r="E31" s="3" t="s">
        <v>23</v>
      </c>
    </row>
    <row r="32" spans="1:5">
      <c r="A32" s="3" t="s">
        <v>53</v>
      </c>
      <c r="B32" s="3" t="s">
        <v>22</v>
      </c>
      <c r="C32" s="3">
        <v>473639</v>
      </c>
      <c r="D32" s="3">
        <v>8177</v>
      </c>
      <c r="E32" s="3" t="s">
        <v>23</v>
      </c>
    </row>
    <row r="33" spans="1:5">
      <c r="A33" s="3" t="s">
        <v>54</v>
      </c>
      <c r="B33" s="3" t="s">
        <v>22</v>
      </c>
      <c r="C33" s="3">
        <v>648777</v>
      </c>
      <c r="D33" s="3">
        <v>36092</v>
      </c>
      <c r="E33" s="3" t="s">
        <v>23</v>
      </c>
    </row>
    <row r="34" spans="1:5">
      <c r="A34" s="3" t="s">
        <v>55</v>
      </c>
      <c r="B34" s="3" t="s">
        <v>22</v>
      </c>
      <c r="C34" s="3">
        <v>724264</v>
      </c>
      <c r="D34" s="3">
        <v>11349</v>
      </c>
      <c r="E34" s="3" t="s">
        <v>23</v>
      </c>
    </row>
    <row r="35" spans="1:5">
      <c r="A35" s="3" t="s">
        <v>56</v>
      </c>
      <c r="B35" s="3" t="s">
        <v>22</v>
      </c>
      <c r="C35" s="3">
        <v>846402</v>
      </c>
      <c r="D35" s="3">
        <v>60606</v>
      </c>
      <c r="E35" s="3" t="s">
        <v>23</v>
      </c>
    </row>
    <row r="36" spans="1:5">
      <c r="A36" s="3" t="s">
        <v>57</v>
      </c>
      <c r="B36" s="3" t="s">
        <v>22</v>
      </c>
      <c r="C36" s="3">
        <v>638281</v>
      </c>
      <c r="D36" s="3">
        <v>47410</v>
      </c>
      <c r="E36" s="3" t="s">
        <v>23</v>
      </c>
    </row>
    <row r="37" spans="1:5">
      <c r="A37" s="3" t="s">
        <v>58</v>
      </c>
      <c r="B37" s="3" t="s">
        <v>22</v>
      </c>
      <c r="C37" s="3">
        <v>324852</v>
      </c>
      <c r="D37" s="3">
        <v>52727</v>
      </c>
      <c r="E37" s="3" t="s">
        <v>23</v>
      </c>
    </row>
    <row r="38" spans="1:5">
      <c r="A38" s="3" t="s">
        <v>59</v>
      </c>
      <c r="B38" s="3" t="s">
        <v>22</v>
      </c>
      <c r="C38" s="3">
        <v>825282</v>
      </c>
      <c r="D38" s="3">
        <v>178649</v>
      </c>
      <c r="E38" s="3" t="s">
        <v>23</v>
      </c>
    </row>
    <row r="39" spans="1:5">
      <c r="A39" s="3" t="s">
        <v>60</v>
      </c>
      <c r="B39" s="3" t="s">
        <v>22</v>
      </c>
      <c r="C39" s="3">
        <v>569979</v>
      </c>
      <c r="D39" s="3">
        <v>83201</v>
      </c>
      <c r="E39" s="3" t="s">
        <v>23</v>
      </c>
    </row>
    <row r="40" spans="1:5">
      <c r="A40" s="3" t="s">
        <v>61</v>
      </c>
      <c r="B40" s="3" t="s">
        <v>22</v>
      </c>
      <c r="C40" s="3">
        <v>669615</v>
      </c>
      <c r="D40" s="3">
        <v>128267</v>
      </c>
      <c r="E40" s="3" t="s">
        <v>23</v>
      </c>
    </row>
    <row r="41" spans="1:5">
      <c r="A41" s="3" t="s">
        <v>62</v>
      </c>
      <c r="B41" s="3" t="s">
        <v>22</v>
      </c>
      <c r="C41" s="3">
        <v>884594</v>
      </c>
      <c r="D41" s="3">
        <v>140147</v>
      </c>
      <c r="E41" s="3" t="s">
        <v>23</v>
      </c>
    </row>
    <row r="42" spans="1:5">
      <c r="A42" s="3" t="s">
        <v>63</v>
      </c>
      <c r="B42" s="3" t="s">
        <v>22</v>
      </c>
      <c r="C42" s="3">
        <v>795027</v>
      </c>
      <c r="D42" s="3">
        <v>122810</v>
      </c>
      <c r="E42" s="3" t="s">
        <v>23</v>
      </c>
    </row>
    <row r="43" spans="1:5">
      <c r="A43" s="3" t="s">
        <v>64</v>
      </c>
      <c r="B43" s="3" t="s">
        <v>22</v>
      </c>
      <c r="C43" s="3">
        <v>555494</v>
      </c>
      <c r="D43" s="3">
        <v>109013</v>
      </c>
      <c r="E43" s="3" t="s">
        <v>23</v>
      </c>
    </row>
    <row r="44" spans="1:5">
      <c r="A44" s="3" t="s">
        <v>65</v>
      </c>
      <c r="B44" s="3" t="s">
        <v>22</v>
      </c>
      <c r="C44" s="3">
        <v>649001</v>
      </c>
      <c r="D44" s="3">
        <v>162251</v>
      </c>
      <c r="E44" s="3" t="s">
        <v>23</v>
      </c>
    </row>
    <row r="45" spans="1:5">
      <c r="A45" s="3" t="s">
        <v>66</v>
      </c>
      <c r="B45" s="3" t="s">
        <v>22</v>
      </c>
      <c r="C45" s="3">
        <v>791647</v>
      </c>
      <c r="D45" s="3">
        <v>98837</v>
      </c>
      <c r="E45" s="3" t="s">
        <v>23</v>
      </c>
    </row>
    <row r="46" spans="1:5">
      <c r="A46" s="3" t="s">
        <v>67</v>
      </c>
      <c r="B46" s="3" t="s">
        <v>22</v>
      </c>
      <c r="C46" s="3">
        <v>294030</v>
      </c>
      <c r="D46" s="3">
        <v>93943</v>
      </c>
      <c r="E46" s="3" t="s">
        <v>23</v>
      </c>
    </row>
    <row r="47" spans="1:5">
      <c r="A47" s="3" t="s">
        <v>68</v>
      </c>
      <c r="B47" s="3" t="s">
        <v>22</v>
      </c>
      <c r="C47" s="3">
        <v>536626</v>
      </c>
      <c r="D47" s="3">
        <v>140281</v>
      </c>
      <c r="E47" s="3" t="s">
        <v>23</v>
      </c>
    </row>
    <row r="48" spans="1:5">
      <c r="A48" s="3" t="s">
        <v>69</v>
      </c>
      <c r="B48" s="3" t="s">
        <v>22</v>
      </c>
      <c r="C48" s="3">
        <v>808893</v>
      </c>
      <c r="D48" s="3">
        <v>87017</v>
      </c>
      <c r="E48" s="3" t="s">
        <v>23</v>
      </c>
    </row>
    <row r="49" spans="1:5">
      <c r="A49" s="3" t="s">
        <v>70</v>
      </c>
      <c r="B49" s="3" t="s">
        <v>22</v>
      </c>
      <c r="C49" s="3">
        <v>641607</v>
      </c>
      <c r="D49" s="3">
        <v>11786</v>
      </c>
      <c r="E49" s="3" t="s">
        <v>23</v>
      </c>
    </row>
    <row r="50" spans="1:5">
      <c r="A50" s="3" t="s">
        <v>71</v>
      </c>
      <c r="B50" s="3" t="s">
        <v>22</v>
      </c>
      <c r="C50" s="3">
        <v>694756</v>
      </c>
      <c r="D50" s="3">
        <v>131651</v>
      </c>
      <c r="E50" s="3" t="s">
        <v>23</v>
      </c>
    </row>
    <row r="51" spans="1:5">
      <c r="A51" s="3" t="s">
        <v>72</v>
      </c>
      <c r="B51" s="3" t="s">
        <v>22</v>
      </c>
      <c r="C51" s="3">
        <v>330421</v>
      </c>
      <c r="D51" s="3">
        <v>45419</v>
      </c>
      <c r="E51" s="3" t="s">
        <v>23</v>
      </c>
    </row>
    <row r="52" spans="1:5">
      <c r="A52" s="3" t="s">
        <v>73</v>
      </c>
      <c r="B52" s="3" t="s">
        <v>22</v>
      </c>
      <c r="C52" s="3">
        <v>634374</v>
      </c>
      <c r="D52" s="3">
        <v>201975</v>
      </c>
      <c r="E52" s="3" t="s">
        <v>23</v>
      </c>
    </row>
    <row r="53" spans="1:5">
      <c r="A53" s="3" t="s">
        <v>74</v>
      </c>
      <c r="B53" s="3" t="s">
        <v>22</v>
      </c>
      <c r="C53" s="3">
        <v>711406</v>
      </c>
      <c r="D53" s="3">
        <v>177759</v>
      </c>
      <c r="E53" s="3" t="s">
        <v>23</v>
      </c>
    </row>
    <row r="54" spans="1:5">
      <c r="A54" s="3" t="s">
        <v>75</v>
      </c>
      <c r="B54" s="3" t="s">
        <v>22</v>
      </c>
      <c r="C54" s="3">
        <v>482807</v>
      </c>
      <c r="D54" s="3">
        <v>86119</v>
      </c>
      <c r="E54" s="3" t="s">
        <v>23</v>
      </c>
    </row>
    <row r="55" spans="1:5">
      <c r="A55" s="3" t="s">
        <v>76</v>
      </c>
      <c r="B55" s="3" t="s">
        <v>22</v>
      </c>
      <c r="C55" s="3">
        <v>864453</v>
      </c>
      <c r="D55" s="3">
        <v>42327</v>
      </c>
      <c r="E55" s="3" t="s">
        <v>23</v>
      </c>
    </row>
    <row r="56" spans="1:5">
      <c r="A56" s="3" t="s">
        <v>77</v>
      </c>
      <c r="B56" s="3" t="s">
        <v>22</v>
      </c>
      <c r="C56" s="3">
        <v>646892</v>
      </c>
      <c r="D56" s="3">
        <v>175780</v>
      </c>
      <c r="E56" s="3" t="s">
        <v>23</v>
      </c>
    </row>
    <row r="57" spans="1:5">
      <c r="A57" s="3" t="s">
        <v>78</v>
      </c>
      <c r="B57" s="3" t="s">
        <v>22</v>
      </c>
      <c r="C57" s="3">
        <v>684750</v>
      </c>
      <c r="D57" s="3">
        <v>19842</v>
      </c>
      <c r="E57" s="3" t="s">
        <v>23</v>
      </c>
    </row>
    <row r="58" spans="1:5">
      <c r="A58" s="3" t="s">
        <v>79</v>
      </c>
      <c r="B58" s="3" t="s">
        <v>22</v>
      </c>
      <c r="C58" s="3">
        <v>493357</v>
      </c>
      <c r="D58" s="3">
        <v>113057</v>
      </c>
      <c r="E58" s="3" t="s">
        <v>23</v>
      </c>
    </row>
    <row r="59" spans="1:5">
      <c r="A59" s="3" t="s">
        <v>80</v>
      </c>
      <c r="B59" s="3" t="s">
        <v>22</v>
      </c>
      <c r="C59" s="3">
        <v>636119</v>
      </c>
      <c r="D59" s="3">
        <v>159840</v>
      </c>
      <c r="E59" s="3" t="s">
        <v>23</v>
      </c>
    </row>
    <row r="60" spans="1:5">
      <c r="A60" s="3" t="s">
        <v>81</v>
      </c>
      <c r="B60" s="3" t="s">
        <v>22</v>
      </c>
      <c r="C60" s="3">
        <v>516628</v>
      </c>
      <c r="D60" s="3">
        <v>1474</v>
      </c>
      <c r="E60" s="3" t="s">
        <v>23</v>
      </c>
    </row>
    <row r="61" spans="1:5">
      <c r="A61" s="3" t="s">
        <v>82</v>
      </c>
      <c r="B61" s="3" t="s">
        <v>22</v>
      </c>
      <c r="C61" s="3">
        <v>421854</v>
      </c>
      <c r="D61" s="3">
        <v>2387</v>
      </c>
      <c r="E61" s="3" t="s">
        <v>23</v>
      </c>
    </row>
    <row r="62" spans="1:5">
      <c r="A62" s="3" t="s">
        <v>83</v>
      </c>
      <c r="B62" s="3" t="s">
        <v>22</v>
      </c>
      <c r="C62" s="3">
        <v>577637</v>
      </c>
      <c r="D62" s="3">
        <v>178141</v>
      </c>
      <c r="E62" s="3" t="s">
        <v>23</v>
      </c>
    </row>
    <row r="63" spans="1:5">
      <c r="A63" s="3" t="s">
        <v>84</v>
      </c>
      <c r="B63" s="3" t="s">
        <v>22</v>
      </c>
      <c r="C63" s="3">
        <v>799840</v>
      </c>
      <c r="D63" s="3">
        <v>139838</v>
      </c>
      <c r="E63" s="3" t="s">
        <v>23</v>
      </c>
    </row>
    <row r="64" spans="1:5">
      <c r="A64" s="3" t="s">
        <v>85</v>
      </c>
      <c r="B64" s="3" t="s">
        <v>22</v>
      </c>
      <c r="C64" s="3">
        <v>459114</v>
      </c>
      <c r="D64" s="3">
        <v>59373</v>
      </c>
      <c r="E64" s="3" t="s">
        <v>23</v>
      </c>
    </row>
    <row r="65" spans="1:5">
      <c r="A65" s="3" t="s">
        <v>86</v>
      </c>
      <c r="B65" s="3" t="s">
        <v>22</v>
      </c>
      <c r="C65" s="3">
        <v>890800</v>
      </c>
      <c r="D65" s="3">
        <v>74165</v>
      </c>
      <c r="E65" s="3" t="s">
        <v>23</v>
      </c>
    </row>
    <row r="66" spans="1:5">
      <c r="A66" s="3" t="s">
        <v>87</v>
      </c>
      <c r="B66" s="3" t="s">
        <v>22</v>
      </c>
      <c r="C66" s="3">
        <v>868599</v>
      </c>
      <c r="D66" s="3">
        <v>53108</v>
      </c>
      <c r="E66" s="3" t="s">
        <v>23</v>
      </c>
    </row>
    <row r="67" spans="1:5">
      <c r="A67" s="3" t="s">
        <v>88</v>
      </c>
      <c r="B67" s="3" t="s">
        <v>22</v>
      </c>
      <c r="C67" s="3">
        <v>799431</v>
      </c>
      <c r="D67" s="3">
        <v>19519</v>
      </c>
      <c r="E67" s="3" t="s">
        <v>23</v>
      </c>
    </row>
    <row r="68" spans="1:5">
      <c r="A68" s="3" t="s">
        <v>89</v>
      </c>
      <c r="B68" s="3" t="s">
        <v>22</v>
      </c>
      <c r="C68" s="3">
        <v>407313</v>
      </c>
      <c r="D68" s="3">
        <v>34373</v>
      </c>
      <c r="E68" s="3" t="s">
        <v>23</v>
      </c>
    </row>
    <row r="69" spans="1:5">
      <c r="A69" s="3" t="s">
        <v>90</v>
      </c>
      <c r="B69" s="3" t="s">
        <v>22</v>
      </c>
      <c r="C69" s="3">
        <v>601444</v>
      </c>
      <c r="D69" s="3">
        <v>132906</v>
      </c>
      <c r="E69" s="3" t="s">
        <v>23</v>
      </c>
    </row>
    <row r="70" spans="1:5">
      <c r="A70" s="3" t="s">
        <v>91</v>
      </c>
      <c r="B70" s="3" t="s">
        <v>22</v>
      </c>
      <c r="C70" s="3">
        <v>699304</v>
      </c>
      <c r="D70" s="3">
        <v>56678</v>
      </c>
      <c r="E70" s="3" t="s">
        <v>23</v>
      </c>
    </row>
    <row r="71" spans="1:5">
      <c r="A71" s="3" t="s">
        <v>92</v>
      </c>
      <c r="B71" s="3" t="s">
        <v>22</v>
      </c>
      <c r="C71" s="3">
        <v>568304</v>
      </c>
      <c r="D71" s="3">
        <v>100503</v>
      </c>
      <c r="E71" s="3" t="s">
        <v>23</v>
      </c>
    </row>
    <row r="72" spans="1:5">
      <c r="A72" s="3" t="s">
        <v>93</v>
      </c>
      <c r="B72" s="3" t="s">
        <v>22</v>
      </c>
      <c r="C72" s="3">
        <v>656558</v>
      </c>
      <c r="D72" s="3">
        <v>82565</v>
      </c>
      <c r="E72" s="3" t="s">
        <v>23</v>
      </c>
    </row>
    <row r="73" spans="1:5">
      <c r="A73" s="3" t="s">
        <v>94</v>
      </c>
      <c r="B73" s="3" t="s">
        <v>22</v>
      </c>
      <c r="C73" s="3">
        <v>534436</v>
      </c>
      <c r="D73" s="3">
        <v>41309</v>
      </c>
      <c r="E73" s="3" t="s">
        <v>23</v>
      </c>
    </row>
    <row r="74" spans="1:5">
      <c r="A74" s="3" t="s">
        <v>95</v>
      </c>
      <c r="B74" s="3" t="s">
        <v>22</v>
      </c>
      <c r="C74" s="3">
        <v>589537</v>
      </c>
      <c r="D74" s="3">
        <v>43483</v>
      </c>
      <c r="E74" s="3" t="s">
        <v>23</v>
      </c>
    </row>
    <row r="75" spans="1:5">
      <c r="A75" s="3" t="s">
        <v>96</v>
      </c>
      <c r="B75" s="3" t="s">
        <v>22</v>
      </c>
      <c r="C75" s="3">
        <v>413898</v>
      </c>
      <c r="D75" s="3">
        <v>105187</v>
      </c>
      <c r="E75" s="3" t="s">
        <v>23</v>
      </c>
    </row>
    <row r="76" spans="1:5">
      <c r="A76" s="3" t="s">
        <v>97</v>
      </c>
      <c r="B76" s="3" t="s">
        <v>22</v>
      </c>
      <c r="C76" s="3">
        <v>29161</v>
      </c>
      <c r="D76" s="3">
        <v>8294</v>
      </c>
      <c r="E76" s="3" t="s">
        <v>23</v>
      </c>
    </row>
    <row r="77" spans="1:5">
      <c r="A77" s="3" t="s">
        <v>98</v>
      </c>
      <c r="B77" s="3" t="s">
        <v>22</v>
      </c>
      <c r="C77" s="3">
        <v>274633</v>
      </c>
      <c r="D77" s="3">
        <v>89348</v>
      </c>
      <c r="E77" s="3" t="s">
        <v>23</v>
      </c>
    </row>
    <row r="78" spans="1:5">
      <c r="A78" s="3" t="s">
        <v>99</v>
      </c>
      <c r="B78" s="3" t="s">
        <v>22</v>
      </c>
      <c r="C78" s="3">
        <v>830819</v>
      </c>
      <c r="D78" s="3">
        <v>172469</v>
      </c>
      <c r="E78" s="3" t="s">
        <v>23</v>
      </c>
    </row>
    <row r="79" spans="1:5">
      <c r="A79" s="3" t="s">
        <v>100</v>
      </c>
      <c r="B79" s="3" t="s">
        <v>22</v>
      </c>
      <c r="C79" s="3">
        <v>701148</v>
      </c>
      <c r="D79" s="3">
        <v>93889</v>
      </c>
      <c r="E79" s="3" t="s">
        <v>23</v>
      </c>
    </row>
    <row r="80" spans="1:5">
      <c r="A80" s="3" t="s">
        <v>101</v>
      </c>
      <c r="B80" s="3" t="s">
        <v>22</v>
      </c>
      <c r="C80" s="3">
        <v>651182</v>
      </c>
      <c r="D80" s="3">
        <v>203412</v>
      </c>
      <c r="E80" s="3" t="s">
        <v>23</v>
      </c>
    </row>
    <row r="81" spans="1:5">
      <c r="A81" s="3" t="s">
        <v>102</v>
      </c>
      <c r="B81" s="3" t="s">
        <v>22</v>
      </c>
      <c r="C81" s="3">
        <v>670830</v>
      </c>
      <c r="D81" s="3">
        <v>147918</v>
      </c>
      <c r="E81" s="3" t="s">
        <v>23</v>
      </c>
    </row>
    <row r="82" spans="1:5">
      <c r="A82" s="3" t="s">
        <v>103</v>
      </c>
      <c r="B82" s="3" t="s">
        <v>22</v>
      </c>
      <c r="C82" s="3">
        <v>775693</v>
      </c>
      <c r="D82" s="3">
        <v>83113</v>
      </c>
      <c r="E82" s="3" t="s">
        <v>23</v>
      </c>
    </row>
    <row r="83" spans="1:5">
      <c r="A83" s="3" t="s">
        <v>104</v>
      </c>
      <c r="B83" s="3" t="s">
        <v>22</v>
      </c>
      <c r="C83" s="3">
        <v>376038</v>
      </c>
      <c r="D83" s="3">
        <v>89609</v>
      </c>
      <c r="E83" s="3" t="s">
        <v>23</v>
      </c>
    </row>
    <row r="84" spans="1:5">
      <c r="A84" s="3" t="s">
        <v>105</v>
      </c>
      <c r="B84" s="3" t="s">
        <v>22</v>
      </c>
      <c r="C84" s="3">
        <v>616226</v>
      </c>
      <c r="D84" s="3">
        <v>132207</v>
      </c>
      <c r="E84" s="3" t="s">
        <v>23</v>
      </c>
    </row>
    <row r="85" spans="1:5">
      <c r="A85" s="3" t="s">
        <v>106</v>
      </c>
      <c r="B85" s="3" t="s">
        <v>22</v>
      </c>
      <c r="C85" s="3">
        <v>606695</v>
      </c>
      <c r="D85" s="3">
        <v>20224</v>
      </c>
      <c r="E85" s="3" t="s">
        <v>23</v>
      </c>
    </row>
    <row r="86" spans="1:5">
      <c r="A86" s="3" t="s">
        <v>107</v>
      </c>
      <c r="B86" s="3" t="s">
        <v>22</v>
      </c>
      <c r="C86" s="3">
        <v>814978</v>
      </c>
      <c r="D86" s="3">
        <v>223988</v>
      </c>
      <c r="E86" s="3" t="s">
        <v>23</v>
      </c>
    </row>
    <row r="87" spans="1:5">
      <c r="A87" s="3" t="s">
        <v>108</v>
      </c>
      <c r="B87" s="3" t="s">
        <v>22</v>
      </c>
      <c r="C87" s="3">
        <v>480379</v>
      </c>
      <c r="D87" s="3">
        <v>106385</v>
      </c>
      <c r="E87" s="3" t="s">
        <v>23</v>
      </c>
    </row>
    <row r="88" spans="1:5">
      <c r="A88" s="3" t="s">
        <v>109</v>
      </c>
      <c r="B88" s="3" t="s">
        <v>22</v>
      </c>
      <c r="C88" s="3">
        <v>460738</v>
      </c>
      <c r="D88" s="3">
        <v>6425</v>
      </c>
      <c r="E88" s="3" t="s">
        <v>23</v>
      </c>
    </row>
    <row r="89" spans="1:5">
      <c r="A89" s="3" t="s">
        <v>110</v>
      </c>
      <c r="B89" s="3" t="s">
        <v>22</v>
      </c>
      <c r="C89" s="3">
        <v>598677</v>
      </c>
      <c r="D89" s="3">
        <v>169448</v>
      </c>
      <c r="E89" s="3" t="s">
        <v>23</v>
      </c>
    </row>
    <row r="90" spans="1:5">
      <c r="A90" s="3" t="s">
        <v>111</v>
      </c>
      <c r="B90" s="3" t="s">
        <v>22</v>
      </c>
      <c r="C90" s="3">
        <v>638788</v>
      </c>
      <c r="D90" s="3">
        <v>30361</v>
      </c>
      <c r="E90" s="3" t="s">
        <v>23</v>
      </c>
    </row>
    <row r="91" spans="1:5">
      <c r="A91" s="3" t="s">
        <v>112</v>
      </c>
      <c r="B91" s="3" t="s">
        <v>22</v>
      </c>
      <c r="C91" s="3">
        <v>573316</v>
      </c>
      <c r="D91" s="3">
        <v>48486</v>
      </c>
      <c r="E91" s="3" t="s">
        <v>23</v>
      </c>
    </row>
    <row r="92" spans="1:5">
      <c r="A92" s="3" t="s">
        <v>113</v>
      </c>
      <c r="B92" s="3" t="s">
        <v>22</v>
      </c>
      <c r="C92" s="3">
        <v>445474</v>
      </c>
      <c r="D92" s="3">
        <v>6551</v>
      </c>
      <c r="E92" s="3" t="s">
        <v>23</v>
      </c>
    </row>
    <row r="93" spans="1:5">
      <c r="A93" s="3" t="s">
        <v>114</v>
      </c>
      <c r="B93" s="3" t="s">
        <v>22</v>
      </c>
      <c r="C93" s="3">
        <v>554878</v>
      </c>
      <c r="D93" s="3">
        <v>185336</v>
      </c>
      <c r="E93" s="3" t="s">
        <v>23</v>
      </c>
    </row>
    <row r="94" spans="1:5">
      <c r="A94" s="3" t="s">
        <v>115</v>
      </c>
      <c r="B94" s="3" t="s">
        <v>22</v>
      </c>
      <c r="C94" s="3">
        <v>633197</v>
      </c>
      <c r="D94" s="3">
        <v>81091</v>
      </c>
      <c r="E94" s="3" t="s">
        <v>23</v>
      </c>
    </row>
    <row r="95" spans="1:5">
      <c r="A95" s="3" t="s">
        <v>116</v>
      </c>
      <c r="B95" s="3" t="s">
        <v>22</v>
      </c>
      <c r="C95" s="3">
        <v>560689</v>
      </c>
      <c r="D95" s="3">
        <v>8844</v>
      </c>
      <c r="E95" s="3" t="s">
        <v>23</v>
      </c>
    </row>
    <row r="96" spans="1:5">
      <c r="A96" s="3" t="s">
        <v>117</v>
      </c>
      <c r="B96" s="3" t="s">
        <v>22</v>
      </c>
      <c r="C96" s="3">
        <v>741780</v>
      </c>
      <c r="D96" s="3">
        <v>255048</v>
      </c>
      <c r="E96" s="3" t="s">
        <v>23</v>
      </c>
    </row>
    <row r="97" spans="1:5">
      <c r="A97" s="3" t="s">
        <v>118</v>
      </c>
      <c r="B97" s="3" t="s">
        <v>22</v>
      </c>
      <c r="C97" s="3">
        <v>366094</v>
      </c>
      <c r="D97" s="3">
        <v>134096</v>
      </c>
      <c r="E97" s="3" t="s">
        <v>23</v>
      </c>
    </row>
    <row r="98" spans="1:5">
      <c r="A98" s="3" t="s">
        <v>119</v>
      </c>
      <c r="B98" s="3" t="s">
        <v>22</v>
      </c>
      <c r="C98" s="3">
        <v>628778</v>
      </c>
      <c r="D98" s="3">
        <v>28689</v>
      </c>
      <c r="E98" s="3" t="s">
        <v>23</v>
      </c>
    </row>
    <row r="99" spans="1:5">
      <c r="A99" s="3" t="s">
        <v>120</v>
      </c>
      <c r="B99" s="3" t="s">
        <v>22</v>
      </c>
      <c r="C99" s="3">
        <v>402849</v>
      </c>
      <c r="D99" s="3">
        <v>23104</v>
      </c>
      <c r="E99" s="3" t="s">
        <v>23</v>
      </c>
    </row>
    <row r="100" spans="1:5">
      <c r="A100" s="3" t="s">
        <v>121</v>
      </c>
      <c r="B100" s="3" t="s">
        <v>22</v>
      </c>
      <c r="C100" s="3">
        <v>611476</v>
      </c>
      <c r="D100" s="3">
        <v>259215</v>
      </c>
      <c r="E100" s="3" t="s">
        <v>23</v>
      </c>
    </row>
    <row r="101" spans="1:5">
      <c r="A101" s="3" t="s">
        <v>122</v>
      </c>
      <c r="B101" s="3" t="s">
        <v>22</v>
      </c>
      <c r="C101" s="3">
        <v>662875</v>
      </c>
      <c r="D101" s="3">
        <v>244771</v>
      </c>
      <c r="E101" s="3" t="s">
        <v>23</v>
      </c>
    </row>
    <row r="102" spans="1:5">
      <c r="A102" s="3" t="s">
        <v>123</v>
      </c>
      <c r="B102" s="3" t="s">
        <v>22</v>
      </c>
      <c r="C102" s="3">
        <v>416674</v>
      </c>
      <c r="D102" s="3">
        <v>20232</v>
      </c>
      <c r="E102" s="3" t="s">
        <v>23</v>
      </c>
    </row>
    <row r="103" spans="1:5">
      <c r="A103" s="3" t="s">
        <v>124</v>
      </c>
      <c r="B103" s="3" t="s">
        <v>22</v>
      </c>
      <c r="C103" s="3">
        <v>459254</v>
      </c>
      <c r="D103" s="3">
        <v>8537</v>
      </c>
      <c r="E103" s="3" t="s">
        <v>23</v>
      </c>
    </row>
    <row r="104" spans="1:5">
      <c r="A104" s="3" t="s">
        <v>125</v>
      </c>
      <c r="B104" s="3" t="s">
        <v>22</v>
      </c>
      <c r="C104" s="3">
        <v>648330</v>
      </c>
      <c r="D104" s="3">
        <v>271093</v>
      </c>
      <c r="E104" s="3" t="s">
        <v>23</v>
      </c>
    </row>
    <row r="105" spans="1:5">
      <c r="A105" s="3" t="s">
        <v>126</v>
      </c>
      <c r="B105" s="3" t="s">
        <v>22</v>
      </c>
      <c r="C105" s="3">
        <v>681687</v>
      </c>
      <c r="D105" s="3">
        <v>230613</v>
      </c>
      <c r="E105" s="3" t="s">
        <v>23</v>
      </c>
    </row>
    <row r="106" spans="1:5">
      <c r="A106" s="3" t="s">
        <v>127</v>
      </c>
      <c r="B106" s="3" t="s">
        <v>22</v>
      </c>
      <c r="C106" s="3">
        <v>159351</v>
      </c>
      <c r="D106" s="3">
        <v>57356</v>
      </c>
      <c r="E106" s="3" t="s">
        <v>23</v>
      </c>
    </row>
    <row r="107" spans="1:5">
      <c r="A107" s="3" t="s">
        <v>128</v>
      </c>
      <c r="B107" s="3" t="s">
        <v>22</v>
      </c>
      <c r="C107" s="3">
        <v>435635</v>
      </c>
      <c r="D107" s="3">
        <v>27549</v>
      </c>
      <c r="E107" s="3" t="s">
        <v>23</v>
      </c>
    </row>
    <row r="108" spans="1:5">
      <c r="A108" s="3" t="s">
        <v>129</v>
      </c>
      <c r="B108" s="3" t="s">
        <v>22</v>
      </c>
      <c r="C108" s="3">
        <v>278108</v>
      </c>
      <c r="D108" s="3">
        <v>111700</v>
      </c>
      <c r="E108" s="3" t="s">
        <v>23</v>
      </c>
    </row>
    <row r="109" spans="1:5">
      <c r="A109" s="3" t="s">
        <v>130</v>
      </c>
      <c r="B109" s="3" t="s">
        <v>22</v>
      </c>
      <c r="C109" s="3">
        <v>388450</v>
      </c>
      <c r="D109" s="3">
        <v>745</v>
      </c>
      <c r="E109" s="3" t="s">
        <v>23</v>
      </c>
    </row>
    <row r="110" spans="1:5">
      <c r="A110" s="3" t="s">
        <v>131</v>
      </c>
      <c r="B110" s="3" t="s">
        <v>22</v>
      </c>
      <c r="C110" s="3">
        <v>780493</v>
      </c>
      <c r="D110" s="3">
        <v>3119</v>
      </c>
      <c r="E110" s="3" t="s">
        <v>23</v>
      </c>
    </row>
    <row r="111" spans="1:5">
      <c r="A111" s="3" t="s">
        <v>132</v>
      </c>
      <c r="B111" s="3" t="s">
        <v>22</v>
      </c>
      <c r="C111" s="3">
        <v>564652</v>
      </c>
      <c r="D111" s="3">
        <v>178481</v>
      </c>
      <c r="E111" s="3" t="s">
        <v>23</v>
      </c>
    </row>
    <row r="112" spans="1:5">
      <c r="A112" s="3" t="s">
        <v>133</v>
      </c>
      <c r="B112" s="3" t="s">
        <v>22</v>
      </c>
      <c r="C112" s="3">
        <v>690191</v>
      </c>
      <c r="D112" s="3">
        <v>266108</v>
      </c>
      <c r="E112" s="3" t="s">
        <v>23</v>
      </c>
    </row>
    <row r="113" spans="1:5">
      <c r="A113" s="3" t="s">
        <v>134</v>
      </c>
      <c r="B113" s="3" t="s">
        <v>22</v>
      </c>
      <c r="C113" s="3">
        <v>684165</v>
      </c>
      <c r="D113" s="3">
        <v>259767</v>
      </c>
      <c r="E113" s="3" t="s">
        <v>23</v>
      </c>
    </row>
    <row r="114" spans="1:5">
      <c r="A114" s="3" t="s">
        <v>135</v>
      </c>
      <c r="B114" s="3" t="s">
        <v>22</v>
      </c>
      <c r="C114" s="3">
        <v>765634</v>
      </c>
      <c r="D114" s="3">
        <v>1759</v>
      </c>
      <c r="E114" s="3" t="s">
        <v>23</v>
      </c>
    </row>
    <row r="115" spans="1:5">
      <c r="A115" s="3" t="s">
        <v>136</v>
      </c>
      <c r="B115" s="3" t="s">
        <v>22</v>
      </c>
      <c r="C115" s="3">
        <v>605954</v>
      </c>
      <c r="D115" s="3">
        <v>238543</v>
      </c>
      <c r="E115" s="3" t="s">
        <v>23</v>
      </c>
    </row>
    <row r="116" spans="1:5">
      <c r="A116" s="3" t="s">
        <v>137</v>
      </c>
      <c r="B116" s="3" t="s">
        <v>22</v>
      </c>
      <c r="C116" s="3">
        <v>720824</v>
      </c>
      <c r="D116" s="3">
        <v>196456</v>
      </c>
      <c r="E116" s="3" t="s">
        <v>23</v>
      </c>
    </row>
    <row r="117" spans="1:5">
      <c r="A117" s="3" t="s">
        <v>138</v>
      </c>
      <c r="B117" s="3" t="s">
        <v>22</v>
      </c>
      <c r="C117" s="3">
        <v>373496</v>
      </c>
      <c r="D117" s="3">
        <v>122593</v>
      </c>
      <c r="E117" s="3" t="s">
        <v>23</v>
      </c>
    </row>
    <row r="118" spans="1:5">
      <c r="A118" s="3" t="s">
        <v>139</v>
      </c>
      <c r="B118" s="3" t="s">
        <v>22</v>
      </c>
      <c r="C118" s="3">
        <v>756005</v>
      </c>
      <c r="D118" s="3">
        <v>23860</v>
      </c>
      <c r="E118" s="3" t="s">
        <v>23</v>
      </c>
    </row>
    <row r="119" spans="1:5">
      <c r="A119" s="3" t="s">
        <v>140</v>
      </c>
      <c r="B119" s="3" t="s">
        <v>22</v>
      </c>
      <c r="C119" s="3">
        <v>689637</v>
      </c>
      <c r="D119" s="3">
        <v>205827</v>
      </c>
      <c r="E119" s="3" t="s">
        <v>23</v>
      </c>
    </row>
    <row r="120" spans="1:5">
      <c r="A120" s="3" t="s">
        <v>141</v>
      </c>
      <c r="B120" s="3" t="s">
        <v>22</v>
      </c>
      <c r="C120" s="3">
        <v>700049</v>
      </c>
      <c r="D120" s="3">
        <v>33263</v>
      </c>
      <c r="E120" s="3" t="s">
        <v>23</v>
      </c>
    </row>
    <row r="121" spans="1:5">
      <c r="A121" s="3" t="s">
        <v>142</v>
      </c>
      <c r="B121" s="3" t="s">
        <v>22</v>
      </c>
      <c r="C121" s="3">
        <v>482072</v>
      </c>
      <c r="D121" s="3">
        <v>119316</v>
      </c>
      <c r="E121" s="3" t="s">
        <v>23</v>
      </c>
    </row>
    <row r="122" spans="1:5">
      <c r="A122" s="3" t="s">
        <v>143</v>
      </c>
      <c r="B122" s="3" t="s">
        <v>22</v>
      </c>
      <c r="C122" s="3">
        <v>575197</v>
      </c>
      <c r="D122" s="3">
        <v>162178</v>
      </c>
      <c r="E122" s="3" t="s">
        <v>23</v>
      </c>
    </row>
    <row r="123" spans="1:5">
      <c r="A123" s="3" t="s">
        <v>144</v>
      </c>
      <c r="B123" s="3" t="s">
        <v>22</v>
      </c>
      <c r="C123" s="3">
        <v>451275</v>
      </c>
      <c r="D123" s="3">
        <v>177440</v>
      </c>
      <c r="E123" s="3" t="s">
        <v>23</v>
      </c>
    </row>
    <row r="124" spans="1:5">
      <c r="A124" s="3" t="s">
        <v>145</v>
      </c>
      <c r="B124" s="3" t="s">
        <v>22</v>
      </c>
      <c r="C124" s="3">
        <v>258424</v>
      </c>
      <c r="D124" s="3">
        <v>88796</v>
      </c>
      <c r="E124" s="3" t="s">
        <v>23</v>
      </c>
    </row>
    <row r="125" spans="1:5">
      <c r="A125" s="3" t="s">
        <v>146</v>
      </c>
      <c r="B125" s="3" t="s">
        <v>22</v>
      </c>
      <c r="C125" s="3">
        <v>543809</v>
      </c>
      <c r="D125" s="3">
        <v>6243</v>
      </c>
      <c r="E125" s="3" t="s">
        <v>23</v>
      </c>
    </row>
    <row r="126" spans="1:5">
      <c r="A126" s="3" t="s">
        <v>147</v>
      </c>
      <c r="B126" s="3" t="s">
        <v>22</v>
      </c>
      <c r="C126" s="3">
        <v>602723</v>
      </c>
      <c r="D126" s="3">
        <v>21533</v>
      </c>
      <c r="E126" s="3" t="s">
        <v>23</v>
      </c>
    </row>
    <row r="127" spans="1:5">
      <c r="A127" s="3" t="s">
        <v>148</v>
      </c>
      <c r="B127" s="3" t="s">
        <v>22</v>
      </c>
      <c r="C127" s="3">
        <v>790175</v>
      </c>
      <c r="D127" s="3">
        <v>81646</v>
      </c>
      <c r="E127" s="3" t="s">
        <v>23</v>
      </c>
    </row>
    <row r="128" spans="1:5">
      <c r="A128" s="3" t="s">
        <v>149</v>
      </c>
      <c r="B128" s="3" t="s">
        <v>22</v>
      </c>
      <c r="C128" s="3">
        <v>880389</v>
      </c>
      <c r="D128" s="3">
        <v>129886</v>
      </c>
      <c r="E128" s="3" t="s">
        <v>23</v>
      </c>
    </row>
    <row r="129" spans="1:5">
      <c r="A129" s="3" t="s">
        <v>150</v>
      </c>
      <c r="B129" s="3" t="s">
        <v>22</v>
      </c>
      <c r="C129" s="3">
        <v>810816</v>
      </c>
      <c r="D129" s="3">
        <v>88403</v>
      </c>
      <c r="E129" s="3" t="s">
        <v>23</v>
      </c>
    </row>
    <row r="130" spans="1:5">
      <c r="A130" s="3" t="s">
        <v>151</v>
      </c>
      <c r="B130" s="3" t="s">
        <v>22</v>
      </c>
      <c r="C130" s="3">
        <v>547993</v>
      </c>
      <c r="D130" s="3">
        <v>102875</v>
      </c>
      <c r="E130" s="3" t="s">
        <v>23</v>
      </c>
    </row>
    <row r="131" spans="1:5">
      <c r="A131" s="3" t="s">
        <v>152</v>
      </c>
      <c r="B131" s="3" t="s">
        <v>22</v>
      </c>
      <c r="C131" s="3">
        <v>596300</v>
      </c>
      <c r="D131" s="3">
        <v>101923</v>
      </c>
      <c r="E131" s="3" t="s">
        <v>23</v>
      </c>
    </row>
    <row r="132" spans="1:5">
      <c r="A132" s="3" t="s">
        <v>153</v>
      </c>
      <c r="B132" s="3" t="s">
        <v>22</v>
      </c>
      <c r="C132" s="3">
        <v>642874</v>
      </c>
      <c r="D132" s="3">
        <v>40787</v>
      </c>
      <c r="E132" s="3" t="s">
        <v>23</v>
      </c>
    </row>
    <row r="133" spans="1:5">
      <c r="A133" s="3" t="s">
        <v>154</v>
      </c>
      <c r="B133" s="3" t="s">
        <v>22</v>
      </c>
      <c r="C133" s="3">
        <v>107131</v>
      </c>
      <c r="D133" s="3">
        <v>2558</v>
      </c>
      <c r="E133" s="3" t="s">
        <v>23</v>
      </c>
    </row>
    <row r="134" spans="1:5">
      <c r="A134" s="3" t="s">
        <v>155</v>
      </c>
      <c r="B134" s="3" t="s">
        <v>22</v>
      </c>
      <c r="C134" s="3">
        <v>856301</v>
      </c>
      <c r="D134" s="3">
        <v>70067</v>
      </c>
      <c r="E134" s="3" t="s">
        <v>23</v>
      </c>
    </row>
    <row r="135" spans="1:5">
      <c r="A135" s="3" t="s">
        <v>156</v>
      </c>
      <c r="B135" s="3" t="s">
        <v>22</v>
      </c>
      <c r="C135" s="3">
        <v>645272</v>
      </c>
      <c r="D135" s="3">
        <v>93940</v>
      </c>
      <c r="E135" s="3" t="s">
        <v>23</v>
      </c>
    </row>
    <row r="136" spans="1:5">
      <c r="A136" s="3" t="s">
        <v>157</v>
      </c>
      <c r="B136" s="3" t="s">
        <v>22</v>
      </c>
      <c r="C136" s="3">
        <v>478303</v>
      </c>
      <c r="D136" s="3">
        <v>96775</v>
      </c>
      <c r="E136" s="3" t="s">
        <v>23</v>
      </c>
    </row>
    <row r="137" spans="1:5">
      <c r="A137" s="3" t="s">
        <v>158</v>
      </c>
      <c r="B137" s="3" t="s">
        <v>22</v>
      </c>
      <c r="C137" s="3">
        <v>666159</v>
      </c>
      <c r="D137" s="3">
        <v>194467</v>
      </c>
      <c r="E137" s="3" t="s">
        <v>23</v>
      </c>
    </row>
    <row r="138" spans="1:5">
      <c r="A138" s="3" t="s">
        <v>159</v>
      </c>
      <c r="B138" s="3" t="s">
        <v>22</v>
      </c>
      <c r="C138" s="3">
        <v>728020</v>
      </c>
      <c r="D138" s="3">
        <v>112938</v>
      </c>
      <c r="E138" s="3" t="s">
        <v>23</v>
      </c>
    </row>
    <row r="139" spans="1:5">
      <c r="A139" s="3" t="s">
        <v>160</v>
      </c>
      <c r="B139" s="3" t="s">
        <v>22</v>
      </c>
      <c r="C139" s="3">
        <v>461872</v>
      </c>
      <c r="D139" s="3">
        <v>152336</v>
      </c>
      <c r="E139" s="3" t="s">
        <v>23</v>
      </c>
    </row>
    <row r="140" spans="1:5">
      <c r="A140" s="3" t="s">
        <v>161</v>
      </c>
      <c r="B140" s="3" t="s">
        <v>22</v>
      </c>
      <c r="C140" s="3">
        <v>961511</v>
      </c>
      <c r="D140" s="3">
        <v>139474</v>
      </c>
      <c r="E140" s="3" t="s">
        <v>23</v>
      </c>
    </row>
    <row r="141" spans="1:5">
      <c r="A141" s="3" t="s">
        <v>162</v>
      </c>
      <c r="B141" s="3" t="s">
        <v>22</v>
      </c>
      <c r="C141" s="3">
        <v>850524</v>
      </c>
      <c r="D141" s="3">
        <v>94360</v>
      </c>
      <c r="E141" s="3" t="s">
        <v>23</v>
      </c>
    </row>
    <row r="142" spans="1:5">
      <c r="A142" s="3" t="s">
        <v>163</v>
      </c>
      <c r="B142" s="3" t="s">
        <v>22</v>
      </c>
      <c r="C142" s="3">
        <v>646421</v>
      </c>
      <c r="D142" s="3">
        <v>38712</v>
      </c>
      <c r="E142" s="3" t="s">
        <v>23</v>
      </c>
    </row>
    <row r="143" spans="1:5">
      <c r="A143" s="3" t="s">
        <v>164</v>
      </c>
      <c r="B143" s="3" t="s">
        <v>22</v>
      </c>
      <c r="C143" s="3">
        <v>645251</v>
      </c>
      <c r="D143" s="3">
        <v>108854</v>
      </c>
      <c r="E143" s="3" t="s">
        <v>23</v>
      </c>
    </row>
    <row r="144" spans="1:5">
      <c r="A144" s="3" t="s">
        <v>165</v>
      </c>
      <c r="B144" s="3" t="s">
        <v>22</v>
      </c>
      <c r="C144" s="3">
        <v>655820</v>
      </c>
      <c r="D144" s="3">
        <v>114285</v>
      </c>
      <c r="E144" s="3" t="s">
        <v>23</v>
      </c>
    </row>
    <row r="145" spans="1:5">
      <c r="A145" s="3" t="s">
        <v>166</v>
      </c>
      <c r="B145" s="3" t="s">
        <v>22</v>
      </c>
      <c r="C145" s="3">
        <v>551029</v>
      </c>
      <c r="D145" s="3">
        <v>148161</v>
      </c>
      <c r="E145" s="3" t="s">
        <v>23</v>
      </c>
    </row>
    <row r="146" spans="1:5">
      <c r="A146" s="3" t="s">
        <v>167</v>
      </c>
      <c r="B146" s="3" t="s">
        <v>22</v>
      </c>
      <c r="C146" s="3">
        <v>845741</v>
      </c>
      <c r="D146" s="3">
        <v>179793</v>
      </c>
      <c r="E146" s="3" t="s">
        <v>23</v>
      </c>
    </row>
    <row r="147" spans="1:5">
      <c r="A147" s="3" t="s">
        <v>168</v>
      </c>
      <c r="B147" s="3" t="s">
        <v>22</v>
      </c>
      <c r="C147" s="3">
        <v>608043</v>
      </c>
      <c r="D147" s="3">
        <v>104423</v>
      </c>
      <c r="E147" s="3" t="s">
        <v>23</v>
      </c>
    </row>
    <row r="148" spans="1:5">
      <c r="A148" s="3" t="s">
        <v>169</v>
      </c>
      <c r="B148" s="3" t="s">
        <v>22</v>
      </c>
      <c r="C148" s="3">
        <v>794080</v>
      </c>
      <c r="D148" s="3">
        <v>239348</v>
      </c>
      <c r="E148" s="3" t="s">
        <v>23</v>
      </c>
    </row>
    <row r="149" spans="1:5">
      <c r="A149" s="3" t="s">
        <v>170</v>
      </c>
      <c r="B149" s="3" t="s">
        <v>22</v>
      </c>
      <c r="C149" s="3">
        <v>690310</v>
      </c>
      <c r="D149" s="3">
        <v>104299</v>
      </c>
      <c r="E149" s="3" t="s">
        <v>23</v>
      </c>
    </row>
    <row r="150" spans="1:5">
      <c r="A150" s="3" t="s">
        <v>171</v>
      </c>
      <c r="B150" s="3" t="s">
        <v>22</v>
      </c>
      <c r="C150" s="3">
        <v>701969</v>
      </c>
      <c r="D150" s="3">
        <v>108084</v>
      </c>
      <c r="E150" s="3" t="s">
        <v>23</v>
      </c>
    </row>
    <row r="151" spans="1:5">
      <c r="A151" s="3" t="s">
        <v>172</v>
      </c>
      <c r="B151" s="3" t="s">
        <v>22</v>
      </c>
      <c r="C151" s="3">
        <v>718368</v>
      </c>
      <c r="D151" s="3">
        <v>208208</v>
      </c>
      <c r="E151" s="3" t="s">
        <v>23</v>
      </c>
    </row>
    <row r="152" spans="1:5">
      <c r="A152" s="3" t="s">
        <v>173</v>
      </c>
      <c r="B152" s="3" t="s">
        <v>22</v>
      </c>
      <c r="C152" s="3">
        <v>535307</v>
      </c>
      <c r="D152" s="3">
        <v>144189</v>
      </c>
      <c r="E152" s="3" t="s">
        <v>23</v>
      </c>
    </row>
    <row r="153" spans="1:5">
      <c r="A153" s="3" t="s">
        <v>174</v>
      </c>
      <c r="B153" s="3" t="s">
        <v>22</v>
      </c>
      <c r="C153" s="3">
        <v>814410</v>
      </c>
      <c r="D153" s="3">
        <v>5224</v>
      </c>
      <c r="E153" s="3" t="s">
        <v>23</v>
      </c>
    </row>
    <row r="154" spans="1:5">
      <c r="A154" s="3" t="s">
        <v>175</v>
      </c>
      <c r="B154" s="3" t="s">
        <v>22</v>
      </c>
      <c r="C154" s="3">
        <v>507743</v>
      </c>
      <c r="D154" s="3">
        <v>6252</v>
      </c>
      <c r="E154" s="3" t="s">
        <v>23</v>
      </c>
    </row>
    <row r="155" spans="1:5">
      <c r="A155" s="3" t="s">
        <v>176</v>
      </c>
      <c r="B155" s="3" t="s">
        <v>22</v>
      </c>
      <c r="C155" s="3">
        <v>911609</v>
      </c>
      <c r="D155" s="3">
        <v>309116</v>
      </c>
      <c r="E155" s="3" t="s">
        <v>23</v>
      </c>
    </row>
    <row r="156" spans="1:5">
      <c r="A156" s="3" t="s">
        <v>177</v>
      </c>
      <c r="B156" s="3" t="s">
        <v>22</v>
      </c>
      <c r="C156" s="3">
        <v>796172</v>
      </c>
      <c r="D156" s="3">
        <v>122495</v>
      </c>
      <c r="E156" s="3" t="s">
        <v>23</v>
      </c>
    </row>
    <row r="157" spans="1:5">
      <c r="A157" s="3" t="s">
        <v>178</v>
      </c>
      <c r="B157" s="3" t="s">
        <v>22</v>
      </c>
      <c r="C157" s="3">
        <v>544875</v>
      </c>
      <c r="D157" s="3">
        <v>121481</v>
      </c>
      <c r="E157" s="3" t="s">
        <v>23</v>
      </c>
    </row>
    <row r="158" spans="1:5">
      <c r="A158" s="3" t="s">
        <v>179</v>
      </c>
      <c r="B158" s="3" t="s">
        <v>22</v>
      </c>
      <c r="C158" s="3">
        <v>867641</v>
      </c>
      <c r="D158" s="3">
        <v>79116</v>
      </c>
      <c r="E158" s="3" t="s">
        <v>23</v>
      </c>
    </row>
    <row r="159" spans="1:5">
      <c r="A159" s="3" t="s">
        <v>180</v>
      </c>
      <c r="B159" s="3" t="s">
        <v>22</v>
      </c>
      <c r="C159" s="3">
        <v>883551</v>
      </c>
      <c r="D159" s="3">
        <v>75567</v>
      </c>
      <c r="E159" s="3" t="s">
        <v>23</v>
      </c>
    </row>
    <row r="160" spans="1:5">
      <c r="A160" s="3" t="s">
        <v>181</v>
      </c>
      <c r="B160" s="3" t="s">
        <v>22</v>
      </c>
      <c r="C160" s="3">
        <v>738798</v>
      </c>
      <c r="D160" s="3">
        <v>11518</v>
      </c>
      <c r="E160" s="3" t="s">
        <v>23</v>
      </c>
    </row>
    <row r="161" spans="1:5">
      <c r="A161" s="3" t="s">
        <v>182</v>
      </c>
      <c r="B161" s="3" t="s">
        <v>22</v>
      </c>
      <c r="C161" s="3">
        <v>523361</v>
      </c>
      <c r="D161" s="3">
        <v>57437</v>
      </c>
      <c r="E161" s="3" t="s">
        <v>23</v>
      </c>
    </row>
    <row r="162" spans="1:5">
      <c r="A162" s="3" t="s">
        <v>183</v>
      </c>
      <c r="B162" s="3" t="s">
        <v>22</v>
      </c>
      <c r="C162" s="3">
        <v>926290</v>
      </c>
      <c r="D162" s="3">
        <v>87059</v>
      </c>
      <c r="E162" s="3" t="s">
        <v>23</v>
      </c>
    </row>
    <row r="163" spans="1:5">
      <c r="A163" s="3" t="s">
        <v>184</v>
      </c>
      <c r="B163" s="3" t="s">
        <v>22</v>
      </c>
      <c r="C163" s="3">
        <v>938318</v>
      </c>
      <c r="D163" s="3">
        <v>246990</v>
      </c>
      <c r="E163" s="3" t="s">
        <v>23</v>
      </c>
    </row>
    <row r="164" spans="1:5">
      <c r="A164" s="3" t="s">
        <v>185</v>
      </c>
      <c r="B164" s="3" t="s">
        <v>22</v>
      </c>
      <c r="C164" s="3">
        <v>719068</v>
      </c>
      <c r="D164" s="3">
        <v>193885</v>
      </c>
      <c r="E164" s="3" t="s">
        <v>23</v>
      </c>
    </row>
    <row r="165" spans="1:5">
      <c r="A165" s="3" t="s">
        <v>186</v>
      </c>
      <c r="B165" s="3" t="s">
        <v>22</v>
      </c>
      <c r="C165" s="3">
        <v>869607</v>
      </c>
      <c r="D165" s="3">
        <v>40403</v>
      </c>
      <c r="E165" s="3" t="s">
        <v>23</v>
      </c>
    </row>
    <row r="166" spans="1:5">
      <c r="A166" s="3" t="s">
        <v>187</v>
      </c>
      <c r="B166" s="3" t="s">
        <v>22</v>
      </c>
      <c r="C166" s="3">
        <v>235917</v>
      </c>
      <c r="D166" s="3">
        <v>45196</v>
      </c>
      <c r="E166" s="3" t="s">
        <v>23</v>
      </c>
    </row>
    <row r="167" spans="1:5">
      <c r="A167" s="3" t="s">
        <v>188</v>
      </c>
      <c r="B167" s="3" t="s">
        <v>22</v>
      </c>
      <c r="C167" s="3">
        <v>867411</v>
      </c>
      <c r="D167" s="3">
        <v>188195</v>
      </c>
      <c r="E167" s="3" t="s">
        <v>23</v>
      </c>
    </row>
    <row r="168" spans="1:5">
      <c r="A168" s="3" t="s">
        <v>189</v>
      </c>
      <c r="B168" s="3" t="s">
        <v>22</v>
      </c>
      <c r="C168" s="3">
        <v>586410</v>
      </c>
      <c r="D168" s="3">
        <v>174342</v>
      </c>
      <c r="E168" s="3" t="s">
        <v>23</v>
      </c>
    </row>
    <row r="169" spans="1:5">
      <c r="A169" s="3" t="s">
        <v>190</v>
      </c>
      <c r="B169" s="3" t="s">
        <v>22</v>
      </c>
      <c r="C169" s="3">
        <v>815462</v>
      </c>
      <c r="D169" s="3">
        <v>140464</v>
      </c>
      <c r="E169" s="3" t="s">
        <v>23</v>
      </c>
    </row>
    <row r="170" spans="1:5">
      <c r="A170" s="3" t="s">
        <v>191</v>
      </c>
      <c r="B170" s="3" t="s">
        <v>22</v>
      </c>
      <c r="C170" s="3">
        <v>254037</v>
      </c>
      <c r="D170" s="3">
        <v>89003</v>
      </c>
      <c r="E170" s="3" t="s">
        <v>23</v>
      </c>
    </row>
    <row r="171" spans="1:5">
      <c r="A171" s="3" t="s">
        <v>192</v>
      </c>
      <c r="B171" s="3" t="s">
        <v>22</v>
      </c>
      <c r="C171" s="3">
        <v>906260</v>
      </c>
      <c r="D171" s="3">
        <v>280978</v>
      </c>
      <c r="E171" s="3" t="s">
        <v>23</v>
      </c>
    </row>
    <row r="172" spans="1:5">
      <c r="A172" s="3" t="s">
        <v>193</v>
      </c>
      <c r="B172" s="3" t="s">
        <v>22</v>
      </c>
      <c r="C172" s="3">
        <v>998451</v>
      </c>
      <c r="D172" s="3">
        <v>188583</v>
      </c>
      <c r="E172" s="3" t="s">
        <v>23</v>
      </c>
    </row>
    <row r="173" spans="1:5">
      <c r="A173" s="3" t="s">
        <v>194</v>
      </c>
      <c r="B173" s="3" t="s">
        <v>22</v>
      </c>
      <c r="C173" s="3">
        <v>543528</v>
      </c>
      <c r="D173" s="3">
        <v>69227</v>
      </c>
      <c r="E173" s="3" t="s">
        <v>23</v>
      </c>
    </row>
    <row r="174" spans="1:5">
      <c r="A174" s="3" t="s">
        <v>195</v>
      </c>
      <c r="B174" s="3" t="s">
        <v>22</v>
      </c>
      <c r="C174" s="3">
        <v>807622</v>
      </c>
      <c r="D174" s="3">
        <v>112801</v>
      </c>
      <c r="E174" s="3" t="s">
        <v>23</v>
      </c>
    </row>
    <row r="175" spans="1:5">
      <c r="A175" s="3" t="s">
        <v>196</v>
      </c>
      <c r="B175" s="3" t="s">
        <v>22</v>
      </c>
      <c r="C175" s="3">
        <v>838055</v>
      </c>
      <c r="D175" s="3">
        <v>99809</v>
      </c>
      <c r="E175" s="3" t="s">
        <v>23</v>
      </c>
    </row>
    <row r="176" spans="1:5">
      <c r="A176" s="3" t="s">
        <v>197</v>
      </c>
      <c r="B176" s="3" t="s">
        <v>22</v>
      </c>
      <c r="C176" s="3">
        <v>396307</v>
      </c>
      <c r="D176" s="3">
        <v>94088</v>
      </c>
      <c r="E176" s="3" t="s">
        <v>23</v>
      </c>
    </row>
    <row r="177" spans="1:5">
      <c r="A177" s="3" t="s">
        <v>198</v>
      </c>
      <c r="B177" s="3" t="s">
        <v>22</v>
      </c>
      <c r="C177" s="3">
        <v>762357</v>
      </c>
      <c r="D177" s="3">
        <v>171737</v>
      </c>
      <c r="E177" s="3" t="s">
        <v>23</v>
      </c>
    </row>
    <row r="178" spans="1:5">
      <c r="A178" s="3" t="s">
        <v>199</v>
      </c>
      <c r="B178" s="3" t="s">
        <v>22</v>
      </c>
      <c r="C178" s="3">
        <v>509700</v>
      </c>
      <c r="D178" s="3">
        <v>6130</v>
      </c>
      <c r="E178" s="3" t="s">
        <v>23</v>
      </c>
    </row>
    <row r="179" spans="1:5">
      <c r="A179" s="3" t="s">
        <v>200</v>
      </c>
      <c r="B179" s="3" t="s">
        <v>22</v>
      </c>
      <c r="C179" s="3">
        <v>929013</v>
      </c>
      <c r="D179" s="3">
        <v>13902</v>
      </c>
      <c r="E179" s="3" t="s">
        <v>23</v>
      </c>
    </row>
    <row r="180" spans="1:5">
      <c r="A180" s="3" t="s">
        <v>201</v>
      </c>
      <c r="B180" s="3" t="s">
        <v>22</v>
      </c>
      <c r="C180" s="3">
        <v>515054</v>
      </c>
      <c r="D180" s="3">
        <v>135583</v>
      </c>
      <c r="E180" s="3" t="s">
        <v>23</v>
      </c>
    </row>
    <row r="181" spans="1:5">
      <c r="A181" s="3" t="s">
        <v>202</v>
      </c>
      <c r="B181" s="3" t="s">
        <v>22</v>
      </c>
      <c r="C181" s="3">
        <v>729747</v>
      </c>
      <c r="D181" s="3">
        <v>110477</v>
      </c>
      <c r="E181" s="3" t="s">
        <v>23</v>
      </c>
    </row>
    <row r="182" spans="1:5">
      <c r="A182" s="3" t="s">
        <v>203</v>
      </c>
      <c r="B182" s="3" t="s">
        <v>22</v>
      </c>
      <c r="C182" s="3">
        <v>628360</v>
      </c>
      <c r="D182" s="3">
        <v>232034</v>
      </c>
      <c r="E182" s="3" t="s">
        <v>23</v>
      </c>
    </row>
    <row r="183" spans="1:5">
      <c r="A183" s="3" t="s">
        <v>204</v>
      </c>
      <c r="B183" s="3" t="s">
        <v>22</v>
      </c>
      <c r="C183" s="3">
        <v>806416</v>
      </c>
      <c r="D183" s="3">
        <v>105714</v>
      </c>
      <c r="E183" s="3" t="s">
        <v>23</v>
      </c>
    </row>
    <row r="184" spans="1:5">
      <c r="A184" s="3" t="s">
        <v>205</v>
      </c>
      <c r="B184" s="3" t="s">
        <v>22</v>
      </c>
      <c r="C184" s="3">
        <v>670785</v>
      </c>
      <c r="D184" s="3">
        <v>43715</v>
      </c>
      <c r="E184" s="3" t="s">
        <v>23</v>
      </c>
    </row>
    <row r="185" spans="1:5">
      <c r="A185" s="3" t="s">
        <v>206</v>
      </c>
      <c r="B185" s="3" t="s">
        <v>22</v>
      </c>
      <c r="C185" s="3">
        <v>517590</v>
      </c>
      <c r="D185" s="3">
        <v>18854</v>
      </c>
      <c r="E185" s="3" t="s">
        <v>23</v>
      </c>
    </row>
    <row r="186" spans="1:5">
      <c r="A186" s="3" t="s">
        <v>207</v>
      </c>
      <c r="B186" s="3" t="s">
        <v>22</v>
      </c>
      <c r="C186" s="3">
        <v>515736</v>
      </c>
      <c r="D186" s="3">
        <v>189363</v>
      </c>
      <c r="E186" s="3" t="s">
        <v>23</v>
      </c>
    </row>
    <row r="187" spans="1:5">
      <c r="A187" s="3" t="s">
        <v>208</v>
      </c>
      <c r="B187" s="3" t="s">
        <v>22</v>
      </c>
      <c r="C187" s="3">
        <v>762419</v>
      </c>
      <c r="D187" s="3">
        <v>80018</v>
      </c>
      <c r="E187" s="3" t="s">
        <v>23</v>
      </c>
    </row>
    <row r="188" spans="1:5">
      <c r="A188" s="3" t="s">
        <v>209</v>
      </c>
      <c r="B188" s="3" t="s">
        <v>22</v>
      </c>
      <c r="C188" s="3">
        <v>319221</v>
      </c>
      <c r="D188" s="3">
        <v>37355</v>
      </c>
      <c r="E188" s="3" t="s">
        <v>23</v>
      </c>
    </row>
    <row r="189" spans="1:5">
      <c r="A189" s="3" t="s">
        <v>210</v>
      </c>
      <c r="B189" s="3" t="s">
        <v>22</v>
      </c>
      <c r="C189" s="3">
        <v>583428</v>
      </c>
      <c r="D189" s="3">
        <v>171135</v>
      </c>
      <c r="E189" s="3" t="s">
        <v>23</v>
      </c>
    </row>
    <row r="190" spans="1:5">
      <c r="A190" s="3" t="s">
        <v>211</v>
      </c>
      <c r="B190" s="3" t="s">
        <v>22</v>
      </c>
      <c r="C190" s="3">
        <v>318366</v>
      </c>
      <c r="D190" s="3">
        <v>106511</v>
      </c>
      <c r="E190" s="3" t="s">
        <v>23</v>
      </c>
    </row>
    <row r="191" spans="1:5">
      <c r="A191" s="3" t="s">
        <v>212</v>
      </c>
      <c r="B191" s="3" t="s">
        <v>22</v>
      </c>
      <c r="C191" s="3">
        <v>422967</v>
      </c>
      <c r="D191" s="3">
        <v>30432</v>
      </c>
      <c r="E191" s="3" t="s">
        <v>23</v>
      </c>
    </row>
    <row r="192" spans="1:5">
      <c r="A192" s="3" t="s">
        <v>213</v>
      </c>
      <c r="B192" s="3" t="s">
        <v>22</v>
      </c>
      <c r="C192" s="3">
        <v>310322</v>
      </c>
      <c r="D192" s="3">
        <v>9209</v>
      </c>
      <c r="E192" s="3" t="s">
        <v>23</v>
      </c>
    </row>
    <row r="193" spans="1:5">
      <c r="A193" s="3" t="s">
        <v>214</v>
      </c>
      <c r="B193" s="3" t="s">
        <v>22</v>
      </c>
      <c r="C193" s="3">
        <v>333760</v>
      </c>
      <c r="D193" s="3">
        <v>58326</v>
      </c>
      <c r="E193" s="3" t="s">
        <v>23</v>
      </c>
    </row>
    <row r="194" spans="1:5">
      <c r="A194" s="3" t="s">
        <v>215</v>
      </c>
      <c r="B194" s="3" t="s">
        <v>22</v>
      </c>
      <c r="C194" s="3">
        <v>303335</v>
      </c>
      <c r="D194" s="3">
        <v>80593</v>
      </c>
      <c r="E194" s="3" t="s">
        <v>23</v>
      </c>
    </row>
    <row r="195" spans="1:5">
      <c r="A195" s="3" t="s">
        <v>216</v>
      </c>
      <c r="B195" s="3" t="s">
        <v>22</v>
      </c>
      <c r="C195" s="3">
        <v>288451</v>
      </c>
      <c r="D195" s="3">
        <v>4093</v>
      </c>
      <c r="E195" s="3" t="s">
        <v>23</v>
      </c>
    </row>
    <row r="196" spans="1:5">
      <c r="A196" s="3" t="s">
        <v>217</v>
      </c>
      <c r="B196" s="3" t="s">
        <v>22</v>
      </c>
      <c r="C196" s="3">
        <v>276206</v>
      </c>
      <c r="D196" s="3">
        <v>1405</v>
      </c>
      <c r="E196" s="3" t="s">
        <v>23</v>
      </c>
    </row>
    <row r="197" spans="1:5">
      <c r="A197" s="3" t="s">
        <v>218</v>
      </c>
      <c r="B197" s="3" t="s">
        <v>22</v>
      </c>
      <c r="C197" s="3">
        <v>385070</v>
      </c>
      <c r="D197" s="3">
        <v>130974</v>
      </c>
      <c r="E197" s="3" t="s">
        <v>23</v>
      </c>
    </row>
    <row r="198" spans="1:5">
      <c r="A198" s="3" t="s">
        <v>219</v>
      </c>
      <c r="B198" s="3" t="s">
        <v>22</v>
      </c>
      <c r="C198" s="3">
        <v>170472</v>
      </c>
      <c r="D198" s="3">
        <v>8886</v>
      </c>
      <c r="E198" s="3" t="s">
        <v>23</v>
      </c>
    </row>
    <row r="199" spans="1:5">
      <c r="A199" s="3" t="s">
        <v>220</v>
      </c>
      <c r="B199" s="3" t="s">
        <v>22</v>
      </c>
      <c r="C199" s="3">
        <v>247032</v>
      </c>
      <c r="D199" s="3">
        <v>82722</v>
      </c>
      <c r="E199" s="3" t="s">
        <v>23</v>
      </c>
    </row>
    <row r="200" spans="1:5">
      <c r="A200" s="3" t="s">
        <v>221</v>
      </c>
      <c r="B200" s="3" t="s">
        <v>22</v>
      </c>
      <c r="C200" s="3">
        <v>332134</v>
      </c>
      <c r="D200" s="3">
        <v>48875</v>
      </c>
      <c r="E200" s="3" t="s">
        <v>23</v>
      </c>
    </row>
    <row r="201" spans="1:5">
      <c r="A201" s="3" t="s">
        <v>222</v>
      </c>
      <c r="B201" s="3" t="s">
        <v>22</v>
      </c>
      <c r="C201" s="3">
        <v>200976</v>
      </c>
      <c r="D201" s="3">
        <v>73859</v>
      </c>
      <c r="E201" s="3" t="s">
        <v>23</v>
      </c>
    </row>
    <row r="202" spans="1:5">
      <c r="A202" s="3" t="s">
        <v>223</v>
      </c>
      <c r="B202" s="3" t="s">
        <v>22</v>
      </c>
      <c r="C202" s="3">
        <v>247400</v>
      </c>
      <c r="D202" s="3">
        <v>656</v>
      </c>
      <c r="E202" s="3" t="s">
        <v>23</v>
      </c>
    </row>
    <row r="203" spans="1:5">
      <c r="A203" s="3" t="s">
        <v>224</v>
      </c>
      <c r="B203" s="3" t="s">
        <v>22</v>
      </c>
      <c r="C203" s="3">
        <v>512262</v>
      </c>
      <c r="D203" s="3">
        <v>36853</v>
      </c>
      <c r="E203" s="3" t="s">
        <v>23</v>
      </c>
    </row>
    <row r="204" spans="1:5">
      <c r="A204" s="3" t="s">
        <v>225</v>
      </c>
      <c r="B204" s="3" t="s">
        <v>22</v>
      </c>
      <c r="C204" s="3">
        <v>435091</v>
      </c>
      <c r="D204" s="3">
        <v>128042</v>
      </c>
      <c r="E204" s="3" t="s">
        <v>23</v>
      </c>
    </row>
    <row r="205" spans="1:5">
      <c r="A205" s="3" t="s">
        <v>226</v>
      </c>
      <c r="B205" s="3" t="s">
        <v>22</v>
      </c>
      <c r="C205" s="3">
        <v>507458</v>
      </c>
      <c r="D205" s="3">
        <v>158992</v>
      </c>
      <c r="E205" s="3" t="s">
        <v>23</v>
      </c>
    </row>
    <row r="206" spans="1:5">
      <c r="A206" s="3" t="s">
        <v>227</v>
      </c>
      <c r="B206" s="3" t="s">
        <v>22</v>
      </c>
      <c r="C206" s="3">
        <v>290299</v>
      </c>
      <c r="D206" s="3">
        <v>72371</v>
      </c>
      <c r="E206" s="3" t="s">
        <v>23</v>
      </c>
    </row>
    <row r="207" spans="1:5">
      <c r="A207" s="3" t="s">
        <v>228</v>
      </c>
      <c r="B207" s="3" t="s">
        <v>22</v>
      </c>
      <c r="C207" s="3">
        <v>245208</v>
      </c>
      <c r="D207" s="3">
        <v>258</v>
      </c>
      <c r="E207" s="3" t="s">
        <v>23</v>
      </c>
    </row>
    <row r="208" spans="1:5">
      <c r="A208" s="3" t="s">
        <v>229</v>
      </c>
      <c r="B208" s="3" t="s">
        <v>22</v>
      </c>
      <c r="C208" s="3">
        <v>371696</v>
      </c>
      <c r="D208" s="3">
        <v>124179</v>
      </c>
      <c r="E208" s="3" t="s">
        <v>23</v>
      </c>
    </row>
    <row r="209" spans="1:5">
      <c r="A209" s="3" t="s">
        <v>230</v>
      </c>
      <c r="B209" s="3" t="s">
        <v>22</v>
      </c>
      <c r="C209" s="3">
        <v>608139</v>
      </c>
      <c r="D209" s="3">
        <v>170553</v>
      </c>
      <c r="E209" s="3" t="s">
        <v>23</v>
      </c>
    </row>
    <row r="210" spans="1:5">
      <c r="A210" s="3" t="s">
        <v>231</v>
      </c>
      <c r="B210" s="3" t="s">
        <v>22</v>
      </c>
      <c r="C210" s="3">
        <v>473295</v>
      </c>
      <c r="D210" s="3">
        <v>153461</v>
      </c>
      <c r="E210" s="3" t="s">
        <v>23</v>
      </c>
    </row>
    <row r="211" spans="1:5">
      <c r="A211" s="3" t="s">
        <v>232</v>
      </c>
      <c r="B211" s="3" t="s">
        <v>22</v>
      </c>
      <c r="C211" s="3">
        <v>462400</v>
      </c>
      <c r="D211" s="3">
        <v>5862</v>
      </c>
      <c r="E211" s="3" t="s">
        <v>23</v>
      </c>
    </row>
    <row r="212" spans="1:5">
      <c r="A212" s="3" t="s">
        <v>233</v>
      </c>
      <c r="B212" s="3" t="s">
        <v>22</v>
      </c>
      <c r="C212" s="3">
        <v>537935</v>
      </c>
      <c r="D212" s="3">
        <v>149559</v>
      </c>
      <c r="E212" s="3" t="s">
        <v>23</v>
      </c>
    </row>
    <row r="213" spans="1:5">
      <c r="A213" s="3" t="s">
        <v>234</v>
      </c>
      <c r="B213" s="3" t="s">
        <v>22</v>
      </c>
      <c r="C213" s="3">
        <v>567709</v>
      </c>
      <c r="D213" s="3">
        <v>103050</v>
      </c>
      <c r="E213" s="3" t="s">
        <v>23</v>
      </c>
    </row>
    <row r="214" spans="1:5">
      <c r="A214" s="3" t="s">
        <v>235</v>
      </c>
      <c r="B214" s="3" t="s">
        <v>22</v>
      </c>
      <c r="C214" s="3">
        <v>513168</v>
      </c>
      <c r="D214" s="3">
        <v>105999</v>
      </c>
      <c r="E214" s="3" t="s">
        <v>23</v>
      </c>
    </row>
    <row r="215" spans="1:5">
      <c r="A215" s="3" t="s">
        <v>236</v>
      </c>
      <c r="B215" s="3" t="s">
        <v>22</v>
      </c>
      <c r="C215" s="3">
        <v>457359</v>
      </c>
      <c r="D215" s="3">
        <v>80994</v>
      </c>
      <c r="E215" s="3" t="s">
        <v>23</v>
      </c>
    </row>
    <row r="216" spans="1:5">
      <c r="A216" s="3" t="s">
        <v>237</v>
      </c>
      <c r="B216" s="3" t="s">
        <v>22</v>
      </c>
      <c r="C216" s="3">
        <v>408409</v>
      </c>
      <c r="D216" s="3">
        <v>118666</v>
      </c>
      <c r="E216" s="3" t="s">
        <v>23</v>
      </c>
    </row>
    <row r="217" spans="1:5">
      <c r="A217" s="3" t="s">
        <v>238</v>
      </c>
      <c r="B217" s="3" t="s">
        <v>22</v>
      </c>
      <c r="C217" s="3">
        <v>296103</v>
      </c>
      <c r="D217" s="3">
        <v>105777</v>
      </c>
      <c r="E217" s="3" t="s">
        <v>23</v>
      </c>
    </row>
    <row r="218" spans="1:5">
      <c r="A218" s="3" t="s">
        <v>239</v>
      </c>
      <c r="B218" s="3" t="s">
        <v>22</v>
      </c>
      <c r="C218" s="3">
        <v>367614</v>
      </c>
      <c r="D218" s="3">
        <v>6508</v>
      </c>
      <c r="E218" s="3" t="s">
        <v>23</v>
      </c>
    </row>
    <row r="219" spans="1:5">
      <c r="A219" s="3" t="s">
        <v>240</v>
      </c>
      <c r="B219" s="3" t="s">
        <v>22</v>
      </c>
      <c r="C219" s="3">
        <v>355584</v>
      </c>
      <c r="D219" s="3">
        <v>86492</v>
      </c>
      <c r="E219" s="3" t="s">
        <v>23</v>
      </c>
    </row>
    <row r="220" spans="1:5">
      <c r="A220" s="3" t="s">
        <v>241</v>
      </c>
      <c r="B220" s="3" t="s">
        <v>22</v>
      </c>
      <c r="C220" s="3">
        <v>570115</v>
      </c>
      <c r="D220" s="3">
        <v>24135</v>
      </c>
      <c r="E220" s="3" t="s">
        <v>23</v>
      </c>
    </row>
    <row r="221" spans="1:5">
      <c r="A221" s="3" t="s">
        <v>242</v>
      </c>
      <c r="B221" s="3" t="s">
        <v>22</v>
      </c>
      <c r="C221" s="3">
        <v>478627</v>
      </c>
      <c r="D221" s="3">
        <v>31223</v>
      </c>
      <c r="E221" s="3" t="s">
        <v>23</v>
      </c>
    </row>
    <row r="222" spans="1:5">
      <c r="A222" s="3" t="s">
        <v>243</v>
      </c>
      <c r="B222" s="3" t="s">
        <v>22</v>
      </c>
      <c r="C222" s="3">
        <v>621989</v>
      </c>
      <c r="D222" s="3">
        <v>148662</v>
      </c>
      <c r="E222" s="3" t="s">
        <v>23</v>
      </c>
    </row>
    <row r="223" spans="1:5">
      <c r="A223" s="3" t="s">
        <v>244</v>
      </c>
      <c r="B223" s="3" t="s">
        <v>22</v>
      </c>
      <c r="C223" s="3">
        <v>257046</v>
      </c>
      <c r="D223" s="3">
        <v>36748</v>
      </c>
      <c r="E223" s="3" t="s">
        <v>23</v>
      </c>
    </row>
    <row r="224" spans="1:5">
      <c r="A224" s="3" t="s">
        <v>245</v>
      </c>
      <c r="B224" s="3" t="s">
        <v>22</v>
      </c>
      <c r="C224" s="3">
        <v>473297</v>
      </c>
      <c r="D224" s="3">
        <v>110010</v>
      </c>
      <c r="E224" s="3" t="s">
        <v>23</v>
      </c>
    </row>
    <row r="225" spans="1:5">
      <c r="A225" s="3" t="s">
        <v>246</v>
      </c>
      <c r="B225" s="3" t="s">
        <v>22</v>
      </c>
      <c r="C225" s="3">
        <v>435771</v>
      </c>
      <c r="D225" s="3">
        <v>79016</v>
      </c>
      <c r="E225" s="3" t="s">
        <v>23</v>
      </c>
    </row>
    <row r="226" spans="1:5">
      <c r="A226" s="3" t="s">
        <v>247</v>
      </c>
      <c r="B226" s="3" t="s">
        <v>22</v>
      </c>
      <c r="C226" s="3">
        <v>378690</v>
      </c>
      <c r="D226" s="3">
        <v>70304</v>
      </c>
      <c r="E226" s="3" t="s">
        <v>23</v>
      </c>
    </row>
    <row r="227" spans="1:5">
      <c r="A227" s="3" t="s">
        <v>248</v>
      </c>
      <c r="B227" s="3" t="s">
        <v>22</v>
      </c>
      <c r="C227" s="3">
        <v>489033</v>
      </c>
      <c r="D227" s="3">
        <v>57776</v>
      </c>
      <c r="E227" s="3" t="s">
        <v>23</v>
      </c>
    </row>
    <row r="228" spans="1:5">
      <c r="A228" s="3" t="s">
        <v>249</v>
      </c>
      <c r="B228" s="3" t="s">
        <v>22</v>
      </c>
      <c r="C228" s="3">
        <v>432798</v>
      </c>
      <c r="D228" s="3">
        <v>79304</v>
      </c>
      <c r="E228" s="3" t="s">
        <v>23</v>
      </c>
    </row>
    <row r="229" spans="1:5">
      <c r="A229" s="3" t="s">
        <v>250</v>
      </c>
      <c r="B229" s="3" t="s">
        <v>22</v>
      </c>
      <c r="C229" s="3">
        <v>386366</v>
      </c>
      <c r="D229" s="3">
        <v>24014</v>
      </c>
      <c r="E229" s="3" t="s">
        <v>23</v>
      </c>
    </row>
    <row r="230" spans="1:5">
      <c r="A230" s="3" t="s">
        <v>251</v>
      </c>
      <c r="B230" s="3" t="s">
        <v>22</v>
      </c>
      <c r="C230" s="3">
        <v>329694</v>
      </c>
      <c r="D230" s="3">
        <v>59630</v>
      </c>
      <c r="E230" s="3" t="s">
        <v>23</v>
      </c>
    </row>
    <row r="231" spans="1:5">
      <c r="A231" s="3" t="s">
        <v>252</v>
      </c>
      <c r="B231" s="3" t="s">
        <v>22</v>
      </c>
      <c r="C231" s="3">
        <v>277778</v>
      </c>
      <c r="D231" s="3">
        <v>50522</v>
      </c>
      <c r="E231" s="3" t="s">
        <v>23</v>
      </c>
    </row>
    <row r="232" spans="1:5">
      <c r="A232" s="3" t="s">
        <v>253</v>
      </c>
      <c r="B232" s="3" t="s">
        <v>22</v>
      </c>
      <c r="C232" s="3">
        <v>332971</v>
      </c>
      <c r="D232" s="3">
        <v>99719</v>
      </c>
      <c r="E232" s="3" t="s">
        <v>23</v>
      </c>
    </row>
    <row r="233" spans="1:5">
      <c r="A233" s="3" t="s">
        <v>254</v>
      </c>
      <c r="B233" s="3" t="s">
        <v>22</v>
      </c>
      <c r="C233" s="3">
        <v>470609</v>
      </c>
      <c r="D233" s="3">
        <v>32983</v>
      </c>
      <c r="E233" s="3" t="s">
        <v>23</v>
      </c>
    </row>
    <row r="234" spans="1:5">
      <c r="A234" s="3" t="s">
        <v>255</v>
      </c>
      <c r="B234" s="3" t="s">
        <v>22</v>
      </c>
      <c r="C234" s="3">
        <v>503331</v>
      </c>
      <c r="D234" s="3">
        <v>46724</v>
      </c>
      <c r="E234" s="3" t="s">
        <v>23</v>
      </c>
    </row>
    <row r="235" spans="1:5">
      <c r="A235" s="3" t="s">
        <v>256</v>
      </c>
      <c r="B235" s="3" t="s">
        <v>22</v>
      </c>
      <c r="C235" s="3">
        <v>127342</v>
      </c>
      <c r="D235" s="3">
        <v>1739</v>
      </c>
      <c r="E235" s="3" t="s">
        <v>23</v>
      </c>
    </row>
    <row r="236" spans="1:5">
      <c r="A236" s="3" t="s">
        <v>257</v>
      </c>
      <c r="B236" s="3" t="s">
        <v>22</v>
      </c>
      <c r="C236" s="3">
        <v>504689</v>
      </c>
      <c r="D236" s="3">
        <v>89401</v>
      </c>
      <c r="E236" s="3" t="s">
        <v>23</v>
      </c>
    </row>
    <row r="237" spans="1:5">
      <c r="A237" s="3" t="s">
        <v>258</v>
      </c>
      <c r="B237" s="3" t="s">
        <v>22</v>
      </c>
      <c r="C237" s="3">
        <v>538047</v>
      </c>
      <c r="D237" s="3">
        <v>45214</v>
      </c>
      <c r="E237" s="3" t="s">
        <v>23</v>
      </c>
    </row>
    <row r="238" spans="1:5">
      <c r="A238" s="3" t="s">
        <v>259</v>
      </c>
      <c r="B238" s="3" t="s">
        <v>22</v>
      </c>
      <c r="C238" s="3">
        <v>302927</v>
      </c>
      <c r="D238" s="3">
        <v>73852</v>
      </c>
      <c r="E238" s="3" t="s">
        <v>23</v>
      </c>
    </row>
    <row r="239" spans="1:5">
      <c r="A239" s="3" t="s">
        <v>260</v>
      </c>
      <c r="B239" s="3" t="s">
        <v>22</v>
      </c>
      <c r="C239" s="3">
        <v>379021</v>
      </c>
      <c r="D239" s="3">
        <v>98020</v>
      </c>
      <c r="E239" s="3" t="s">
        <v>23</v>
      </c>
    </row>
    <row r="240" spans="1:5">
      <c r="A240" s="3" t="s">
        <v>261</v>
      </c>
      <c r="B240" s="3" t="s">
        <v>22</v>
      </c>
      <c r="C240" s="3">
        <v>345564</v>
      </c>
      <c r="D240" s="3">
        <v>66526</v>
      </c>
      <c r="E240" s="3" t="s">
        <v>23</v>
      </c>
    </row>
    <row r="241" spans="1:5">
      <c r="A241" s="3" t="s">
        <v>262</v>
      </c>
      <c r="B241" s="3" t="s">
        <v>22</v>
      </c>
      <c r="C241" s="3">
        <v>548381</v>
      </c>
      <c r="D241" s="3">
        <v>68853</v>
      </c>
      <c r="E241" s="3" t="s">
        <v>23</v>
      </c>
    </row>
    <row r="242" spans="1:5">
      <c r="A242" s="3" t="s">
        <v>263</v>
      </c>
      <c r="B242" s="3" t="s">
        <v>22</v>
      </c>
      <c r="C242" s="3">
        <v>450533</v>
      </c>
      <c r="D242" s="3">
        <v>105742</v>
      </c>
      <c r="E242" s="3" t="s">
        <v>23</v>
      </c>
    </row>
    <row r="243" spans="1:5">
      <c r="A243" s="3" t="s">
        <v>264</v>
      </c>
      <c r="B243" s="3" t="s">
        <v>22</v>
      </c>
      <c r="C243" s="3">
        <v>351329</v>
      </c>
      <c r="D243" s="3">
        <v>19481</v>
      </c>
      <c r="E243" s="3" t="s">
        <v>23</v>
      </c>
    </row>
    <row r="244" spans="1:5">
      <c r="A244" s="3" t="s">
        <v>265</v>
      </c>
      <c r="B244" s="3" t="s">
        <v>22</v>
      </c>
      <c r="C244" s="3">
        <v>376886</v>
      </c>
      <c r="D244" s="3">
        <v>75503</v>
      </c>
      <c r="E244" s="3" t="s">
        <v>23</v>
      </c>
    </row>
    <row r="245" spans="1:5">
      <c r="A245" s="3" t="s">
        <v>266</v>
      </c>
      <c r="B245" s="3" t="s">
        <v>22</v>
      </c>
      <c r="C245" s="3">
        <v>249131</v>
      </c>
      <c r="D245" s="3">
        <v>60121</v>
      </c>
      <c r="E245" s="3" t="s">
        <v>23</v>
      </c>
    </row>
    <row r="246" spans="1:5">
      <c r="A246" s="3" t="s">
        <v>267</v>
      </c>
      <c r="B246" s="3" t="s">
        <v>22</v>
      </c>
      <c r="C246" s="3">
        <v>316437</v>
      </c>
      <c r="D246" s="3">
        <v>2318</v>
      </c>
      <c r="E246" s="3" t="s">
        <v>23</v>
      </c>
    </row>
    <row r="247" spans="1:5">
      <c r="A247" s="3" t="s">
        <v>268</v>
      </c>
      <c r="B247" s="3" t="s">
        <v>22</v>
      </c>
      <c r="C247" s="3">
        <v>376958</v>
      </c>
      <c r="D247" s="3">
        <v>1179</v>
      </c>
      <c r="E247" s="3" t="s">
        <v>23</v>
      </c>
    </row>
    <row r="248" spans="1:5">
      <c r="A248" s="3" t="s">
        <v>269</v>
      </c>
      <c r="B248" s="3" t="s">
        <v>22</v>
      </c>
      <c r="C248" s="3">
        <v>533459</v>
      </c>
      <c r="D248" s="3">
        <v>148549</v>
      </c>
      <c r="E248" s="3" t="s">
        <v>23</v>
      </c>
    </row>
    <row r="249" spans="1:5">
      <c r="A249" s="3" t="s">
        <v>270</v>
      </c>
      <c r="B249" s="3" t="s">
        <v>22</v>
      </c>
      <c r="C249" s="3">
        <v>427015</v>
      </c>
      <c r="D249" s="3">
        <v>41443</v>
      </c>
      <c r="E249" s="3" t="s">
        <v>23</v>
      </c>
    </row>
    <row r="250" spans="1:5">
      <c r="A250" s="3" t="s">
        <v>271</v>
      </c>
      <c r="B250" s="3" t="s">
        <v>22</v>
      </c>
      <c r="C250" s="3">
        <v>386275</v>
      </c>
      <c r="D250" s="3">
        <v>59504</v>
      </c>
      <c r="E250" s="3" t="s">
        <v>23</v>
      </c>
    </row>
    <row r="251" spans="1:5">
      <c r="A251" s="3" t="s">
        <v>272</v>
      </c>
      <c r="B251" s="3" t="s">
        <v>22</v>
      </c>
      <c r="C251" s="3">
        <v>516664</v>
      </c>
      <c r="D251" s="3">
        <v>4434</v>
      </c>
      <c r="E251" s="3" t="s">
        <v>23</v>
      </c>
    </row>
    <row r="252" spans="1:5">
      <c r="A252" s="3" t="s">
        <v>273</v>
      </c>
      <c r="B252" s="3" t="s">
        <v>22</v>
      </c>
      <c r="C252" s="3">
        <v>659036</v>
      </c>
      <c r="D252" s="3">
        <v>115171</v>
      </c>
      <c r="E252" s="3" t="s">
        <v>23</v>
      </c>
    </row>
    <row r="253" spans="1:5">
      <c r="A253" s="3" t="s">
        <v>274</v>
      </c>
      <c r="B253" s="3" t="s">
        <v>22</v>
      </c>
      <c r="C253" s="3">
        <v>372562</v>
      </c>
      <c r="D253" s="3">
        <v>18035</v>
      </c>
      <c r="E253" s="3" t="s">
        <v>23</v>
      </c>
    </row>
    <row r="254" spans="1:5">
      <c r="A254" s="3" t="s">
        <v>275</v>
      </c>
      <c r="B254" s="3" t="s">
        <v>22</v>
      </c>
      <c r="C254" s="3">
        <v>283374</v>
      </c>
      <c r="D254" s="3">
        <v>3791</v>
      </c>
      <c r="E254" s="3" t="s">
        <v>23</v>
      </c>
    </row>
    <row r="255" spans="1:5">
      <c r="A255" s="3" t="s">
        <v>276</v>
      </c>
      <c r="B255" s="3" t="s">
        <v>22</v>
      </c>
      <c r="C255" s="3">
        <v>463585</v>
      </c>
      <c r="D255" s="3">
        <v>101609</v>
      </c>
      <c r="E255" s="3" t="s">
        <v>23</v>
      </c>
    </row>
    <row r="256" spans="1:5">
      <c r="A256" s="3" t="s">
        <v>277</v>
      </c>
      <c r="B256" s="3" t="s">
        <v>22</v>
      </c>
      <c r="C256" s="3">
        <v>452177</v>
      </c>
      <c r="D256" s="3">
        <v>58021</v>
      </c>
      <c r="E256" s="3" t="s">
        <v>23</v>
      </c>
    </row>
    <row r="257" spans="1:5">
      <c r="A257" s="3" t="s">
        <v>278</v>
      </c>
      <c r="B257" s="3" t="s">
        <v>22</v>
      </c>
      <c r="C257" s="3">
        <v>400171</v>
      </c>
      <c r="D257" s="3">
        <v>66003</v>
      </c>
      <c r="E257" s="3" t="s">
        <v>23</v>
      </c>
    </row>
    <row r="258" spans="1:5">
      <c r="A258" s="3" t="s">
        <v>279</v>
      </c>
      <c r="B258" s="3" t="s">
        <v>22</v>
      </c>
      <c r="C258" s="3">
        <v>367375</v>
      </c>
      <c r="D258" s="3">
        <v>10275</v>
      </c>
      <c r="E258" s="3" t="s">
        <v>23</v>
      </c>
    </row>
    <row r="259" spans="1:5">
      <c r="A259" s="3" t="s">
        <v>280</v>
      </c>
      <c r="B259" s="3" t="s">
        <v>22</v>
      </c>
      <c r="C259" s="3">
        <v>288845</v>
      </c>
      <c r="D259" s="3">
        <v>22876</v>
      </c>
      <c r="E259" s="3" t="s">
        <v>23</v>
      </c>
    </row>
    <row r="260" spans="1:5">
      <c r="A260" s="3" t="s">
        <v>281</v>
      </c>
      <c r="B260" s="3" t="s">
        <v>22</v>
      </c>
      <c r="C260" s="3">
        <v>438715</v>
      </c>
      <c r="D260" s="3">
        <v>78199</v>
      </c>
      <c r="E260" s="3" t="s">
        <v>23</v>
      </c>
    </row>
    <row r="261" spans="1:5">
      <c r="A261" s="3" t="s">
        <v>282</v>
      </c>
      <c r="B261" s="3" t="s">
        <v>22</v>
      </c>
      <c r="C261" s="3">
        <v>445443</v>
      </c>
      <c r="D261" s="3">
        <v>120653</v>
      </c>
      <c r="E261" s="3" t="s">
        <v>23</v>
      </c>
    </row>
    <row r="262" spans="1:5">
      <c r="A262" s="3" t="s">
        <v>283</v>
      </c>
      <c r="B262" s="3" t="s">
        <v>22</v>
      </c>
      <c r="C262" s="3">
        <v>69783</v>
      </c>
      <c r="D262" s="3">
        <v>14289</v>
      </c>
      <c r="E262" s="3" t="s">
        <v>23</v>
      </c>
    </row>
    <row r="263" spans="1:5">
      <c r="A263" s="3" t="s">
        <v>284</v>
      </c>
      <c r="B263" s="3" t="s">
        <v>22</v>
      </c>
      <c r="C263" s="3">
        <v>155848</v>
      </c>
      <c r="D263" s="3">
        <v>46411</v>
      </c>
      <c r="E263" s="3" t="s">
        <v>23</v>
      </c>
    </row>
    <row r="264" spans="1:5">
      <c r="A264" s="3" t="s">
        <v>285</v>
      </c>
      <c r="B264" s="3" t="s">
        <v>22</v>
      </c>
      <c r="C264" s="3">
        <v>429880</v>
      </c>
      <c r="D264" s="3">
        <v>79120</v>
      </c>
      <c r="E264" s="3" t="s">
        <v>23</v>
      </c>
    </row>
    <row r="265" spans="1:5">
      <c r="A265" s="3" t="s">
        <v>286</v>
      </c>
      <c r="B265" s="3" t="s">
        <v>22</v>
      </c>
      <c r="C265" s="3">
        <v>511635</v>
      </c>
      <c r="D265" s="3">
        <v>49977</v>
      </c>
      <c r="E265" s="3" t="s">
        <v>23</v>
      </c>
    </row>
    <row r="266" spans="1:5">
      <c r="A266" s="3" t="s">
        <v>287</v>
      </c>
      <c r="B266" s="3" t="s">
        <v>22</v>
      </c>
      <c r="C266" s="3">
        <v>349376</v>
      </c>
      <c r="D266" s="3">
        <v>30300</v>
      </c>
      <c r="E266" s="3" t="s">
        <v>23</v>
      </c>
    </row>
    <row r="267" spans="1:5">
      <c r="A267" s="3" t="s">
        <v>288</v>
      </c>
      <c r="B267" s="3" t="s">
        <v>22</v>
      </c>
      <c r="C267" s="3">
        <v>497012</v>
      </c>
      <c r="D267" s="3">
        <v>116131</v>
      </c>
      <c r="E267" s="3" t="s">
        <v>23</v>
      </c>
    </row>
    <row r="268" spans="1:5">
      <c r="A268" s="3" t="s">
        <v>289</v>
      </c>
      <c r="B268" s="3" t="s">
        <v>22</v>
      </c>
      <c r="C268" s="3">
        <v>416788</v>
      </c>
      <c r="D268" s="3">
        <v>93388</v>
      </c>
      <c r="E268" s="3" t="s">
        <v>23</v>
      </c>
    </row>
    <row r="269" spans="1:5">
      <c r="A269" s="3" t="s">
        <v>290</v>
      </c>
      <c r="B269" s="3" t="s">
        <v>22</v>
      </c>
      <c r="C269" s="3">
        <v>243655</v>
      </c>
      <c r="D269" s="3">
        <v>45179</v>
      </c>
      <c r="E269" s="3" t="s">
        <v>23</v>
      </c>
    </row>
    <row r="270" spans="1:5">
      <c r="A270" s="3" t="s">
        <v>291</v>
      </c>
      <c r="B270" s="3" t="s">
        <v>22</v>
      </c>
      <c r="C270" s="3">
        <v>395434</v>
      </c>
      <c r="D270" s="3">
        <v>93014</v>
      </c>
      <c r="E270" s="3" t="s">
        <v>23</v>
      </c>
    </row>
    <row r="271" spans="1:5">
      <c r="A271" s="3" t="s">
        <v>292</v>
      </c>
      <c r="B271" s="3" t="s">
        <v>22</v>
      </c>
      <c r="C271" s="3">
        <v>509445</v>
      </c>
      <c r="D271" s="3">
        <v>74687</v>
      </c>
      <c r="E271" s="3" t="s">
        <v>23</v>
      </c>
    </row>
    <row r="272" spans="1:5">
      <c r="A272" s="3" t="s">
        <v>293</v>
      </c>
      <c r="B272" s="3" t="s">
        <v>22</v>
      </c>
      <c r="C272" s="3">
        <v>518811</v>
      </c>
      <c r="D272" s="3">
        <v>80058</v>
      </c>
      <c r="E272" s="3" t="s">
        <v>23</v>
      </c>
    </row>
    <row r="273" spans="1:5">
      <c r="A273" s="3" t="s">
        <v>294</v>
      </c>
      <c r="B273" s="3" t="s">
        <v>22</v>
      </c>
      <c r="C273" s="3">
        <v>467358</v>
      </c>
      <c r="D273" s="3">
        <v>92418</v>
      </c>
      <c r="E273" s="3" t="s">
        <v>23</v>
      </c>
    </row>
    <row r="274" spans="1:5">
      <c r="A274" s="3" t="s">
        <v>295</v>
      </c>
      <c r="B274" s="3" t="s">
        <v>22</v>
      </c>
      <c r="C274" s="3">
        <v>401306</v>
      </c>
      <c r="D274" s="3">
        <v>21889</v>
      </c>
      <c r="E274" s="3" t="s">
        <v>23</v>
      </c>
    </row>
    <row r="275" spans="1:5">
      <c r="A275" s="3" t="s">
        <v>296</v>
      </c>
      <c r="B275" s="3" t="s">
        <v>22</v>
      </c>
      <c r="C275" s="3">
        <v>358457</v>
      </c>
      <c r="D275" s="3">
        <v>105913</v>
      </c>
      <c r="E275" s="3" t="s">
        <v>23</v>
      </c>
    </row>
    <row r="276" spans="1:5">
      <c r="A276" s="3" t="s">
        <v>297</v>
      </c>
      <c r="B276" s="3" t="s">
        <v>22</v>
      </c>
      <c r="C276" s="3">
        <v>507672</v>
      </c>
      <c r="D276" s="3">
        <v>104679</v>
      </c>
      <c r="E276" s="3" t="s">
        <v>23</v>
      </c>
    </row>
    <row r="277" spans="1:5">
      <c r="A277" s="3" t="s">
        <v>298</v>
      </c>
      <c r="B277" s="3" t="s">
        <v>22</v>
      </c>
      <c r="C277" s="3">
        <v>310931</v>
      </c>
      <c r="D277" s="3">
        <v>23550</v>
      </c>
      <c r="E277" s="3" t="s">
        <v>23</v>
      </c>
    </row>
    <row r="278" spans="1:5">
      <c r="A278" s="3" t="s">
        <v>299</v>
      </c>
      <c r="B278" s="3" t="s">
        <v>22</v>
      </c>
      <c r="C278" s="3">
        <v>275738</v>
      </c>
      <c r="D278" s="3">
        <v>1113</v>
      </c>
      <c r="E278" s="3" t="s">
        <v>23</v>
      </c>
    </row>
    <row r="279" spans="1:5">
      <c r="A279" s="3" t="s">
        <v>300</v>
      </c>
      <c r="B279" s="3" t="s">
        <v>22</v>
      </c>
      <c r="C279" s="3">
        <v>249232</v>
      </c>
      <c r="D279" s="3">
        <v>70401</v>
      </c>
      <c r="E279" s="3" t="s">
        <v>23</v>
      </c>
    </row>
    <row r="280" spans="1:5">
      <c r="A280" s="3" t="s">
        <v>301</v>
      </c>
      <c r="B280" s="3" t="s">
        <v>22</v>
      </c>
      <c r="C280" s="3">
        <v>294098</v>
      </c>
      <c r="D280" s="3">
        <v>19475</v>
      </c>
      <c r="E280" s="3" t="s">
        <v>23</v>
      </c>
    </row>
    <row r="281" spans="1:5">
      <c r="A281" s="3" t="s">
        <v>302</v>
      </c>
      <c r="B281" s="3" t="s">
        <v>22</v>
      </c>
      <c r="C281" s="3">
        <v>379659</v>
      </c>
      <c r="D281" s="3">
        <v>9409</v>
      </c>
      <c r="E281" s="3" t="s">
        <v>23</v>
      </c>
    </row>
    <row r="282" spans="1:5">
      <c r="A282" s="3" t="s">
        <v>303</v>
      </c>
      <c r="B282" s="3" t="s">
        <v>22</v>
      </c>
      <c r="C282" s="3">
        <v>747417</v>
      </c>
      <c r="D282" s="3">
        <v>233941</v>
      </c>
      <c r="E282" s="3" t="s">
        <v>23</v>
      </c>
    </row>
    <row r="283" spans="1:5">
      <c r="A283" s="3" t="s">
        <v>304</v>
      </c>
      <c r="B283" s="3" t="s">
        <v>22</v>
      </c>
      <c r="C283" s="3">
        <v>377592</v>
      </c>
      <c r="D283" s="3">
        <v>126906</v>
      </c>
      <c r="E283" s="3" t="s">
        <v>23</v>
      </c>
    </row>
    <row r="284" spans="1:5">
      <c r="A284" s="3" t="s">
        <v>305</v>
      </c>
      <c r="B284" s="3" t="s">
        <v>22</v>
      </c>
      <c r="C284" s="3">
        <v>640042</v>
      </c>
      <c r="D284" s="3">
        <v>106952</v>
      </c>
      <c r="E284" s="3" t="s">
        <v>23</v>
      </c>
    </row>
    <row r="285" spans="1:5">
      <c r="A285" s="3" t="s">
        <v>306</v>
      </c>
      <c r="B285" s="3" t="s">
        <v>22</v>
      </c>
      <c r="C285" s="3">
        <v>331689</v>
      </c>
      <c r="D285" s="3">
        <v>8037</v>
      </c>
      <c r="E285" s="3" t="s">
        <v>23</v>
      </c>
    </row>
    <row r="286" spans="1:5">
      <c r="A286" s="3" t="s">
        <v>307</v>
      </c>
      <c r="B286" s="3" t="s">
        <v>22</v>
      </c>
      <c r="C286" s="3">
        <v>384940</v>
      </c>
      <c r="D286" s="3">
        <v>129681</v>
      </c>
      <c r="E286" s="3" t="s">
        <v>23</v>
      </c>
    </row>
    <row r="287" spans="1:5">
      <c r="A287" s="3" t="s">
        <v>308</v>
      </c>
      <c r="B287" s="3" t="s">
        <v>22</v>
      </c>
      <c r="C287" s="3">
        <v>391775</v>
      </c>
      <c r="D287" s="3">
        <v>120507</v>
      </c>
      <c r="E287" s="3" t="s">
        <v>23</v>
      </c>
    </row>
    <row r="288" spans="1:5">
      <c r="A288" s="3" t="s">
        <v>309</v>
      </c>
      <c r="B288" s="3" t="s">
        <v>22</v>
      </c>
      <c r="C288" s="3">
        <v>367539</v>
      </c>
      <c r="D288" s="3">
        <v>12420</v>
      </c>
      <c r="E288" s="3" t="s">
        <v>23</v>
      </c>
    </row>
    <row r="289" spans="1:5">
      <c r="A289" s="3" t="s">
        <v>310</v>
      </c>
      <c r="B289" s="3" t="s">
        <v>22</v>
      </c>
      <c r="C289" s="3">
        <v>376796</v>
      </c>
      <c r="D289" s="3">
        <v>3594</v>
      </c>
      <c r="E289" s="3" t="s">
        <v>23</v>
      </c>
    </row>
    <row r="290" spans="1:5">
      <c r="A290" s="3" t="s">
        <v>311</v>
      </c>
      <c r="B290" s="3" t="s">
        <v>22</v>
      </c>
      <c r="C290" s="3">
        <v>461265</v>
      </c>
      <c r="D290" s="3">
        <v>124678</v>
      </c>
      <c r="E290" s="3" t="s">
        <v>23</v>
      </c>
    </row>
    <row r="291" spans="1:5">
      <c r="A291" s="3" t="s">
        <v>312</v>
      </c>
      <c r="B291" s="3" t="s">
        <v>22</v>
      </c>
      <c r="C291" s="3">
        <v>385686</v>
      </c>
      <c r="D291" s="3">
        <v>31592</v>
      </c>
      <c r="E291" s="3" t="s">
        <v>23</v>
      </c>
    </row>
    <row r="292" spans="1:5">
      <c r="A292" s="3" t="s">
        <v>313</v>
      </c>
      <c r="B292" s="3" t="s">
        <v>22</v>
      </c>
      <c r="C292" s="3">
        <v>177643</v>
      </c>
      <c r="D292" s="3">
        <v>51116</v>
      </c>
      <c r="E292" s="3" t="s">
        <v>23</v>
      </c>
    </row>
    <row r="293" spans="1:5">
      <c r="A293" s="3" t="s">
        <v>314</v>
      </c>
      <c r="B293" s="3" t="s">
        <v>22</v>
      </c>
      <c r="C293" s="3">
        <v>303888</v>
      </c>
      <c r="D293" s="3">
        <v>35038</v>
      </c>
      <c r="E293" s="3" t="s">
        <v>23</v>
      </c>
    </row>
    <row r="294" spans="1:5">
      <c r="A294" s="3" t="s">
        <v>315</v>
      </c>
      <c r="B294" s="3" t="s">
        <v>22</v>
      </c>
      <c r="C294" s="3">
        <v>199611</v>
      </c>
      <c r="D294" s="3">
        <v>57453</v>
      </c>
      <c r="E294" s="3" t="s">
        <v>23</v>
      </c>
    </row>
    <row r="295" spans="1:5">
      <c r="A295" s="3" t="s">
        <v>316</v>
      </c>
      <c r="B295" s="3" t="s">
        <v>22</v>
      </c>
      <c r="C295" s="3">
        <v>603422</v>
      </c>
      <c r="D295" s="3">
        <v>3779</v>
      </c>
      <c r="E295" s="3" t="s">
        <v>23</v>
      </c>
    </row>
    <row r="296" spans="1:5">
      <c r="A296" s="3" t="s">
        <v>317</v>
      </c>
      <c r="B296" s="3" t="s">
        <v>22</v>
      </c>
      <c r="C296" s="3">
        <v>700412</v>
      </c>
      <c r="D296" s="3">
        <v>40779</v>
      </c>
      <c r="E296" s="3" t="s">
        <v>23</v>
      </c>
    </row>
    <row r="297" spans="1:5">
      <c r="A297" s="3" t="s">
        <v>318</v>
      </c>
      <c r="B297" s="3" t="s">
        <v>22</v>
      </c>
      <c r="C297" s="3">
        <v>494260</v>
      </c>
      <c r="D297" s="3">
        <v>179691</v>
      </c>
      <c r="E297" s="3" t="s">
        <v>23</v>
      </c>
    </row>
    <row r="298" spans="1:5">
      <c r="A298" s="3" t="s">
        <v>319</v>
      </c>
      <c r="B298" s="3" t="s">
        <v>22</v>
      </c>
      <c r="C298" s="3">
        <v>567343</v>
      </c>
      <c r="D298" s="3">
        <v>193959</v>
      </c>
      <c r="E298" s="3" t="s">
        <v>23</v>
      </c>
    </row>
    <row r="299" spans="1:5">
      <c r="A299" s="3" t="s">
        <v>320</v>
      </c>
      <c r="B299" s="3" t="s">
        <v>22</v>
      </c>
      <c r="C299" s="3">
        <v>580170</v>
      </c>
      <c r="D299" s="3">
        <v>168647</v>
      </c>
      <c r="E299" s="3" t="s">
        <v>23</v>
      </c>
    </row>
    <row r="300" spans="1:5">
      <c r="A300" s="3" t="s">
        <v>321</v>
      </c>
      <c r="B300" s="3" t="s">
        <v>22</v>
      </c>
      <c r="C300" s="3">
        <v>337089</v>
      </c>
      <c r="D300" s="3">
        <v>3126</v>
      </c>
      <c r="E300" s="3" t="s">
        <v>23</v>
      </c>
    </row>
    <row r="301" spans="1:5">
      <c r="A301" s="3" t="s">
        <v>322</v>
      </c>
      <c r="B301" s="3" t="s">
        <v>22</v>
      </c>
      <c r="C301" s="3">
        <v>626443</v>
      </c>
      <c r="D301" s="3">
        <v>228920</v>
      </c>
      <c r="E301" s="3" t="s">
        <v>23</v>
      </c>
    </row>
    <row r="302" spans="1:5">
      <c r="A302" s="3" t="s">
        <v>323</v>
      </c>
      <c r="B302" s="3" t="s">
        <v>22</v>
      </c>
      <c r="C302" s="3">
        <v>666454</v>
      </c>
      <c r="D302" s="3">
        <v>162590</v>
      </c>
      <c r="E302" s="3" t="s">
        <v>23</v>
      </c>
    </row>
    <row r="303" spans="1:5">
      <c r="A303" s="3" t="s">
        <v>324</v>
      </c>
      <c r="B303" s="3" t="s">
        <v>22</v>
      </c>
      <c r="C303" s="3">
        <v>137732</v>
      </c>
      <c r="D303" s="3">
        <v>28859</v>
      </c>
      <c r="E303" s="3" t="s">
        <v>23</v>
      </c>
    </row>
    <row r="304" spans="1:5">
      <c r="A304" s="3" t="s">
        <v>325</v>
      </c>
      <c r="B304" s="3" t="s">
        <v>22</v>
      </c>
      <c r="C304" s="3">
        <v>555633</v>
      </c>
      <c r="D304" s="3">
        <v>7255</v>
      </c>
      <c r="E304" s="3" t="s">
        <v>23</v>
      </c>
    </row>
    <row r="305" spans="1:5">
      <c r="A305" s="3" t="s">
        <v>326</v>
      </c>
      <c r="B305" s="3" t="s">
        <v>22</v>
      </c>
      <c r="C305" s="3">
        <v>280</v>
      </c>
      <c r="D305" s="3">
        <v>168</v>
      </c>
      <c r="E305" s="3" t="s">
        <v>23</v>
      </c>
    </row>
    <row r="306" spans="1:5">
      <c r="A306" s="3" t="s">
        <v>327</v>
      </c>
      <c r="B306" s="3" t="s">
        <v>22</v>
      </c>
      <c r="C306" s="3">
        <v>541331</v>
      </c>
      <c r="D306" s="3">
        <v>53559</v>
      </c>
      <c r="E306" s="3" t="s">
        <v>23</v>
      </c>
    </row>
    <row r="307" spans="1:5">
      <c r="A307" s="3" t="s">
        <v>328</v>
      </c>
      <c r="B307" s="3" t="s">
        <v>22</v>
      </c>
      <c r="C307" s="3">
        <v>675581</v>
      </c>
      <c r="D307" s="3">
        <v>104599</v>
      </c>
      <c r="E307" s="3" t="s">
        <v>23</v>
      </c>
    </row>
    <row r="308" spans="1:5">
      <c r="A308" s="3" t="s">
        <v>329</v>
      </c>
      <c r="B308" s="3" t="s">
        <v>22</v>
      </c>
      <c r="C308" s="3">
        <v>556776</v>
      </c>
      <c r="D308" s="3">
        <v>163927</v>
      </c>
      <c r="E308" s="3" t="s">
        <v>23</v>
      </c>
    </row>
    <row r="309" spans="1:5">
      <c r="A309" s="3" t="s">
        <v>330</v>
      </c>
      <c r="B309" s="3" t="s">
        <v>22</v>
      </c>
      <c r="C309" s="3">
        <v>453287</v>
      </c>
      <c r="D309" s="3">
        <v>135523</v>
      </c>
      <c r="E309" s="3" t="s">
        <v>23</v>
      </c>
    </row>
    <row r="310" spans="1:5">
      <c r="A310" s="3" t="s">
        <v>331</v>
      </c>
      <c r="B310" s="3" t="s">
        <v>22</v>
      </c>
      <c r="C310" s="3">
        <v>311369</v>
      </c>
      <c r="D310" s="3">
        <v>119285</v>
      </c>
      <c r="E310" s="3" t="s">
        <v>23</v>
      </c>
    </row>
    <row r="311" spans="1:5">
      <c r="A311" s="3" t="s">
        <v>332</v>
      </c>
      <c r="B311" s="3" t="s">
        <v>22</v>
      </c>
      <c r="C311" s="3">
        <v>436914</v>
      </c>
      <c r="D311" s="3">
        <v>2708</v>
      </c>
      <c r="E311" s="3" t="s">
        <v>23</v>
      </c>
    </row>
    <row r="312" spans="1:5">
      <c r="A312" s="3" t="s">
        <v>333</v>
      </c>
      <c r="B312" s="3" t="s">
        <v>22</v>
      </c>
      <c r="C312" s="3">
        <v>332041</v>
      </c>
      <c r="D312" s="3">
        <v>108614</v>
      </c>
      <c r="E312" s="3" t="s">
        <v>23</v>
      </c>
    </row>
    <row r="313" spans="1:5">
      <c r="A313" s="3" t="s">
        <v>334</v>
      </c>
      <c r="B313" s="3" t="s">
        <v>22</v>
      </c>
      <c r="C313" s="3">
        <v>815952</v>
      </c>
      <c r="D313" s="3">
        <v>27754</v>
      </c>
      <c r="E313" s="3" t="s">
        <v>23</v>
      </c>
    </row>
    <row r="314" spans="1:5">
      <c r="A314" s="3" t="s">
        <v>335</v>
      </c>
      <c r="B314" s="3" t="s">
        <v>22</v>
      </c>
      <c r="C314" s="3">
        <v>822764</v>
      </c>
      <c r="D314" s="3">
        <v>17371</v>
      </c>
      <c r="E314" s="3" t="s">
        <v>23</v>
      </c>
    </row>
    <row r="315" spans="1:5">
      <c r="A315" s="3" t="s">
        <v>336</v>
      </c>
      <c r="B315" s="3" t="s">
        <v>22</v>
      </c>
      <c r="C315" s="3">
        <v>605669</v>
      </c>
      <c r="D315" s="3">
        <v>47977</v>
      </c>
      <c r="E315" s="3" t="s">
        <v>23</v>
      </c>
    </row>
    <row r="316" spans="1:5">
      <c r="A316" s="3" t="s">
        <v>337</v>
      </c>
      <c r="B316" s="3" t="s">
        <v>22</v>
      </c>
      <c r="C316" s="3">
        <v>340282</v>
      </c>
      <c r="D316" s="3">
        <v>55242</v>
      </c>
      <c r="E316" s="3" t="s">
        <v>23</v>
      </c>
    </row>
    <row r="317" spans="1:5">
      <c r="A317" s="3" t="s">
        <v>338</v>
      </c>
      <c r="B317" s="3" t="s">
        <v>22</v>
      </c>
      <c r="C317" s="3">
        <v>532964</v>
      </c>
      <c r="D317" s="3">
        <v>38349</v>
      </c>
      <c r="E317" s="3" t="s">
        <v>23</v>
      </c>
    </row>
    <row r="318" spans="1:5">
      <c r="A318" s="3" t="s">
        <v>339</v>
      </c>
      <c r="B318" s="3" t="s">
        <v>22</v>
      </c>
      <c r="C318" s="3">
        <v>617917</v>
      </c>
      <c r="D318" s="3">
        <v>79121</v>
      </c>
      <c r="E318" s="3" t="s">
        <v>23</v>
      </c>
    </row>
    <row r="319" spans="1:5">
      <c r="A319" s="3" t="s">
        <v>340</v>
      </c>
      <c r="B319" s="3" t="s">
        <v>22</v>
      </c>
      <c r="C319" s="3">
        <v>639331</v>
      </c>
      <c r="D319" s="3">
        <v>146725</v>
      </c>
      <c r="E319" s="3" t="s">
        <v>23</v>
      </c>
    </row>
    <row r="320" spans="1:5">
      <c r="A320" s="3" t="s">
        <v>341</v>
      </c>
      <c r="B320" s="3" t="s">
        <v>22</v>
      </c>
      <c r="C320" s="3">
        <v>658185</v>
      </c>
      <c r="D320" s="3">
        <v>36495</v>
      </c>
      <c r="E320" s="3" t="s">
        <v>23</v>
      </c>
    </row>
    <row r="321" spans="1:5">
      <c r="A321" s="3" t="s">
        <v>342</v>
      </c>
      <c r="B321" s="3" t="s">
        <v>22</v>
      </c>
      <c r="C321" s="3">
        <v>624578</v>
      </c>
      <c r="D321" s="3">
        <v>110411</v>
      </c>
      <c r="E321" s="3" t="s">
        <v>23</v>
      </c>
    </row>
    <row r="322" spans="1:5">
      <c r="A322" s="3" t="s">
        <v>343</v>
      </c>
      <c r="B322" s="3" t="s">
        <v>22</v>
      </c>
      <c r="C322" s="3">
        <v>713107</v>
      </c>
      <c r="D322" s="3">
        <v>63344</v>
      </c>
      <c r="E322" s="3" t="s">
        <v>23</v>
      </c>
    </row>
    <row r="323" spans="1:5">
      <c r="A323" s="3" t="s">
        <v>344</v>
      </c>
      <c r="B323" s="3" t="s">
        <v>22</v>
      </c>
      <c r="C323" s="3">
        <v>550405</v>
      </c>
      <c r="D323" s="3">
        <v>70267</v>
      </c>
      <c r="E323" s="3" t="s">
        <v>23</v>
      </c>
    </row>
    <row r="324" spans="1:5">
      <c r="A324" s="3" t="s">
        <v>345</v>
      </c>
      <c r="B324" s="3" t="s">
        <v>22</v>
      </c>
      <c r="C324" s="3">
        <v>749052</v>
      </c>
      <c r="D324" s="3">
        <v>83613</v>
      </c>
      <c r="E324" s="3" t="s">
        <v>23</v>
      </c>
    </row>
    <row r="325" spans="1:5">
      <c r="A325" s="3" t="s">
        <v>346</v>
      </c>
      <c r="B325" s="3" t="s">
        <v>22</v>
      </c>
      <c r="C325" s="3">
        <v>234046</v>
      </c>
      <c r="D325" s="3">
        <v>82169</v>
      </c>
      <c r="E325" s="3" t="s">
        <v>23</v>
      </c>
    </row>
    <row r="326" spans="1:5">
      <c r="A326" s="3" t="s">
        <v>347</v>
      </c>
      <c r="B326" s="3" t="s">
        <v>22</v>
      </c>
      <c r="C326" s="3">
        <v>697910</v>
      </c>
      <c r="D326" s="3">
        <v>43578</v>
      </c>
      <c r="E326" s="3" t="s">
        <v>23</v>
      </c>
    </row>
    <row r="327" spans="1:5">
      <c r="A327" s="3" t="s">
        <v>348</v>
      </c>
      <c r="B327" s="3" t="s">
        <v>22</v>
      </c>
      <c r="C327" s="3">
        <v>112109</v>
      </c>
      <c r="D327" s="3">
        <v>2707</v>
      </c>
      <c r="E327" s="3" t="s">
        <v>23</v>
      </c>
    </row>
    <row r="328" spans="1:5">
      <c r="A328" s="3" t="s">
        <v>349</v>
      </c>
      <c r="B328" s="3" t="s">
        <v>22</v>
      </c>
      <c r="C328" s="3">
        <v>635322</v>
      </c>
      <c r="D328" s="3">
        <v>23512</v>
      </c>
      <c r="E328" s="3" t="s">
        <v>23</v>
      </c>
    </row>
    <row r="329" spans="1:5">
      <c r="A329" s="3" t="s">
        <v>350</v>
      </c>
      <c r="B329" s="3" t="s">
        <v>22</v>
      </c>
      <c r="C329" s="3">
        <v>578791</v>
      </c>
      <c r="D329" s="3">
        <v>75810</v>
      </c>
      <c r="E329" s="3" t="s">
        <v>23</v>
      </c>
    </row>
    <row r="330" spans="1:5">
      <c r="A330" s="3" t="s">
        <v>351</v>
      </c>
      <c r="B330" s="3" t="s">
        <v>22</v>
      </c>
      <c r="C330" s="3">
        <v>736368</v>
      </c>
      <c r="D330" s="3">
        <v>119074</v>
      </c>
      <c r="E330" s="3" t="s">
        <v>23</v>
      </c>
    </row>
    <row r="331" spans="1:5">
      <c r="A331" s="3" t="s">
        <v>352</v>
      </c>
      <c r="B331" s="3" t="s">
        <v>22</v>
      </c>
      <c r="C331" s="3">
        <v>488193</v>
      </c>
      <c r="D331" s="3">
        <v>65865</v>
      </c>
      <c r="E331" s="3" t="s">
        <v>23</v>
      </c>
    </row>
    <row r="332" spans="1:5">
      <c r="A332" s="3" t="s">
        <v>353</v>
      </c>
      <c r="B332" s="3" t="s">
        <v>22</v>
      </c>
      <c r="C332" s="3">
        <v>611673</v>
      </c>
      <c r="D332" s="3">
        <v>140531</v>
      </c>
      <c r="E332" s="3" t="s">
        <v>23</v>
      </c>
    </row>
    <row r="333" spans="1:5">
      <c r="A333" s="3" t="s">
        <v>354</v>
      </c>
      <c r="B333" s="3" t="s">
        <v>22</v>
      </c>
      <c r="C333" s="3">
        <v>560235</v>
      </c>
      <c r="D333" s="3">
        <v>51620</v>
      </c>
      <c r="E333" s="3" t="s">
        <v>23</v>
      </c>
    </row>
    <row r="334" spans="1:5">
      <c r="A334" s="3" t="s">
        <v>355</v>
      </c>
      <c r="B334" s="3" t="s">
        <v>22</v>
      </c>
      <c r="C334" s="3">
        <v>375465</v>
      </c>
      <c r="D334" s="3">
        <v>10355</v>
      </c>
      <c r="E334" s="3" t="s">
        <v>23</v>
      </c>
    </row>
    <row r="335" spans="1:5">
      <c r="A335" s="3" t="s">
        <v>356</v>
      </c>
      <c r="B335" s="3" t="s">
        <v>22</v>
      </c>
      <c r="C335" s="3">
        <v>754040</v>
      </c>
      <c r="D335" s="3">
        <v>118058</v>
      </c>
      <c r="E335" s="3" t="s">
        <v>23</v>
      </c>
    </row>
    <row r="336" spans="1:5">
      <c r="A336" s="3" t="s">
        <v>357</v>
      </c>
      <c r="B336" s="3" t="s">
        <v>22</v>
      </c>
      <c r="C336" s="3">
        <v>432181</v>
      </c>
      <c r="D336" s="3">
        <v>19844</v>
      </c>
      <c r="E336" s="3" t="s">
        <v>23</v>
      </c>
    </row>
    <row r="337" spans="1:5">
      <c r="A337" s="3" t="s">
        <v>358</v>
      </c>
      <c r="B337" s="3" t="s">
        <v>22</v>
      </c>
      <c r="C337" s="3">
        <v>643978</v>
      </c>
      <c r="D337" s="3">
        <v>186599</v>
      </c>
      <c r="E337" s="3" t="s">
        <v>23</v>
      </c>
    </row>
    <row r="338" spans="1:5">
      <c r="A338" s="3" t="s">
        <v>359</v>
      </c>
      <c r="B338" s="3" t="s">
        <v>22</v>
      </c>
      <c r="C338" s="3">
        <v>618806</v>
      </c>
      <c r="D338" s="3">
        <v>193619</v>
      </c>
      <c r="E338" s="3" t="s">
        <v>23</v>
      </c>
    </row>
    <row r="339" spans="1:5">
      <c r="A339" s="3" t="s">
        <v>360</v>
      </c>
      <c r="B339" s="3" t="s">
        <v>22</v>
      </c>
      <c r="C339" s="3">
        <v>580341</v>
      </c>
      <c r="D339" s="3">
        <v>12311</v>
      </c>
      <c r="E339" s="3" t="s">
        <v>23</v>
      </c>
    </row>
    <row r="340" spans="1:5">
      <c r="A340" s="3" t="s">
        <v>361</v>
      </c>
      <c r="B340" s="3" t="s">
        <v>22</v>
      </c>
      <c r="C340" s="3">
        <v>757760</v>
      </c>
      <c r="D340" s="3">
        <v>207</v>
      </c>
      <c r="E340" s="3" t="s">
        <v>23</v>
      </c>
    </row>
    <row r="341" spans="1:5">
      <c r="A341" s="3" t="s">
        <v>362</v>
      </c>
      <c r="B341" s="3" t="s">
        <v>22</v>
      </c>
      <c r="C341" s="3">
        <v>567081</v>
      </c>
      <c r="D341" s="3">
        <v>132310</v>
      </c>
      <c r="E341" s="3" t="s">
        <v>23</v>
      </c>
    </row>
    <row r="342" spans="1:5">
      <c r="A342" s="3" t="s">
        <v>363</v>
      </c>
      <c r="B342" s="3" t="s">
        <v>22</v>
      </c>
      <c r="C342" s="3">
        <v>673915</v>
      </c>
      <c r="D342" s="3">
        <v>121573</v>
      </c>
      <c r="E342" s="3" t="s">
        <v>23</v>
      </c>
    </row>
    <row r="343" spans="1:5">
      <c r="A343" s="3" t="s">
        <v>364</v>
      </c>
      <c r="B343" s="3" t="s">
        <v>22</v>
      </c>
      <c r="C343" s="3">
        <v>517631</v>
      </c>
      <c r="D343" s="3">
        <v>37707</v>
      </c>
      <c r="E343" s="3" t="s">
        <v>23</v>
      </c>
    </row>
    <row r="344" spans="1:5">
      <c r="A344" s="3" t="s">
        <v>365</v>
      </c>
      <c r="B344" s="3" t="s">
        <v>22</v>
      </c>
      <c r="C344" s="3">
        <v>832240</v>
      </c>
      <c r="D344" s="3">
        <v>113737</v>
      </c>
      <c r="E344" s="3" t="s">
        <v>23</v>
      </c>
    </row>
    <row r="345" spans="1:5">
      <c r="A345" s="3" t="s">
        <v>366</v>
      </c>
      <c r="B345" s="3" t="s">
        <v>22</v>
      </c>
      <c r="C345" s="3">
        <v>752223</v>
      </c>
      <c r="D345" s="3">
        <v>46702</v>
      </c>
      <c r="E345" s="3" t="s">
        <v>23</v>
      </c>
    </row>
    <row r="346" spans="1:5">
      <c r="A346" s="3" t="s">
        <v>367</v>
      </c>
      <c r="B346" s="3" t="s">
        <v>22</v>
      </c>
      <c r="C346" s="3">
        <v>553272</v>
      </c>
      <c r="D346" s="3">
        <v>12378</v>
      </c>
      <c r="E346" s="3" t="s">
        <v>23</v>
      </c>
    </row>
    <row r="347" spans="1:5">
      <c r="A347" s="3" t="s">
        <v>368</v>
      </c>
      <c r="B347" s="3" t="s">
        <v>22</v>
      </c>
      <c r="C347" s="3">
        <v>392120</v>
      </c>
      <c r="D347" s="3">
        <v>6709</v>
      </c>
      <c r="E347" s="3" t="s">
        <v>23</v>
      </c>
    </row>
    <row r="348" spans="1:5">
      <c r="A348" s="3" t="s">
        <v>369</v>
      </c>
      <c r="B348" s="3" t="s">
        <v>22</v>
      </c>
      <c r="C348" s="3">
        <v>535599</v>
      </c>
      <c r="D348" s="3">
        <v>108354</v>
      </c>
      <c r="E348" s="3" t="s">
        <v>23</v>
      </c>
    </row>
    <row r="349" spans="1:5">
      <c r="A349" s="3" t="s">
        <v>370</v>
      </c>
      <c r="B349" s="3" t="s">
        <v>22</v>
      </c>
      <c r="C349" s="3">
        <v>615708</v>
      </c>
      <c r="D349" s="3">
        <v>30719</v>
      </c>
      <c r="E349" s="3" t="s">
        <v>23</v>
      </c>
    </row>
    <row r="350" spans="1:5">
      <c r="A350" s="3" t="s">
        <v>371</v>
      </c>
      <c r="B350" s="3" t="s">
        <v>22</v>
      </c>
      <c r="C350" s="3">
        <v>543274</v>
      </c>
      <c r="D350" s="3">
        <v>124142</v>
      </c>
      <c r="E350" s="3" t="s">
        <v>23</v>
      </c>
    </row>
    <row r="351" spans="1:5">
      <c r="A351" s="3" t="s">
        <v>372</v>
      </c>
      <c r="B351" s="3" t="s">
        <v>22</v>
      </c>
      <c r="C351" s="3">
        <v>732446</v>
      </c>
      <c r="D351" s="3">
        <v>25867</v>
      </c>
      <c r="E351" s="3" t="s">
        <v>23</v>
      </c>
    </row>
    <row r="352" spans="1:5">
      <c r="A352" s="3" t="s">
        <v>373</v>
      </c>
      <c r="B352" s="3" t="s">
        <v>22</v>
      </c>
      <c r="C352" s="3">
        <v>693160</v>
      </c>
      <c r="D352" s="3">
        <v>60696</v>
      </c>
      <c r="E352" s="3" t="s">
        <v>23</v>
      </c>
    </row>
    <row r="353" spans="1:5">
      <c r="A353" s="3" t="s">
        <v>374</v>
      </c>
      <c r="B353" s="3" t="s">
        <v>22</v>
      </c>
      <c r="C353" s="3">
        <v>657405</v>
      </c>
      <c r="D353" s="3">
        <v>77190</v>
      </c>
      <c r="E353" s="3" t="s">
        <v>23</v>
      </c>
    </row>
    <row r="354" spans="1:5">
      <c r="A354" s="3" t="s">
        <v>375</v>
      </c>
      <c r="B354" s="3" t="s">
        <v>22</v>
      </c>
      <c r="C354" s="3">
        <v>598510</v>
      </c>
      <c r="D354" s="3">
        <v>198303</v>
      </c>
      <c r="E354" s="3" t="s">
        <v>23</v>
      </c>
    </row>
    <row r="355" spans="1:5">
      <c r="A355" s="3" t="s">
        <v>376</v>
      </c>
      <c r="B355" s="3" t="s">
        <v>22</v>
      </c>
      <c r="C355" s="3">
        <v>677209</v>
      </c>
      <c r="D355" s="3">
        <v>85465</v>
      </c>
      <c r="E355" s="3" t="s">
        <v>23</v>
      </c>
    </row>
    <row r="356" spans="1:5">
      <c r="A356" s="3" t="s">
        <v>377</v>
      </c>
      <c r="B356" s="3" t="s">
        <v>22</v>
      </c>
      <c r="C356" s="3">
        <v>106</v>
      </c>
      <c r="D356" s="3">
        <v>65</v>
      </c>
      <c r="E356" s="3" t="s">
        <v>23</v>
      </c>
    </row>
    <row r="357" spans="1:5">
      <c r="A357" s="3" t="s">
        <v>378</v>
      </c>
      <c r="B357" s="3" t="s">
        <v>22</v>
      </c>
      <c r="C357" s="3">
        <v>906360</v>
      </c>
      <c r="D357" s="3">
        <v>193951</v>
      </c>
      <c r="E357" s="3" t="s">
        <v>23</v>
      </c>
    </row>
    <row r="358" spans="1:5">
      <c r="A358" s="3" t="s">
        <v>379</v>
      </c>
      <c r="B358" s="3" t="s">
        <v>22</v>
      </c>
      <c r="C358" s="3">
        <v>804986</v>
      </c>
      <c r="D358" s="3">
        <v>54625</v>
      </c>
      <c r="E358" s="3" t="s">
        <v>23</v>
      </c>
    </row>
    <row r="359" spans="1:5">
      <c r="A359" s="3" t="s">
        <v>380</v>
      </c>
      <c r="B359" s="3" t="s">
        <v>22</v>
      </c>
      <c r="C359" s="3">
        <v>530927</v>
      </c>
      <c r="D359" s="3">
        <v>43735</v>
      </c>
      <c r="E359" s="3" t="s">
        <v>23</v>
      </c>
    </row>
    <row r="360" spans="1:5">
      <c r="A360" s="3" t="s">
        <v>381</v>
      </c>
      <c r="B360" s="3" t="s">
        <v>22</v>
      </c>
      <c r="C360" s="3">
        <v>744494</v>
      </c>
      <c r="D360" s="3">
        <v>184023</v>
      </c>
      <c r="E360" s="3" t="s">
        <v>23</v>
      </c>
    </row>
    <row r="361" spans="1:5">
      <c r="A361" s="3" t="s">
        <v>382</v>
      </c>
      <c r="B361" s="3" t="s">
        <v>22</v>
      </c>
      <c r="C361" s="3">
        <v>743215</v>
      </c>
      <c r="D361" s="3">
        <v>81020</v>
      </c>
      <c r="E361" s="3" t="s">
        <v>23</v>
      </c>
    </row>
    <row r="362" spans="1:5">
      <c r="A362" s="3" t="s">
        <v>383</v>
      </c>
      <c r="B362" s="3" t="s">
        <v>22</v>
      </c>
      <c r="C362" s="3">
        <v>423378</v>
      </c>
      <c r="D362" s="3">
        <v>83625</v>
      </c>
      <c r="E362" s="3" t="s">
        <v>23</v>
      </c>
    </row>
    <row r="363" spans="1:5">
      <c r="A363" s="3" t="s">
        <v>384</v>
      </c>
      <c r="B363" s="3" t="s">
        <v>22</v>
      </c>
      <c r="C363" s="3">
        <v>655794</v>
      </c>
      <c r="D363" s="3">
        <v>118368</v>
      </c>
      <c r="E363" s="3" t="s">
        <v>23</v>
      </c>
    </row>
    <row r="364" spans="1:5">
      <c r="A364" s="3" t="s">
        <v>385</v>
      </c>
      <c r="B364" s="3" t="s">
        <v>22</v>
      </c>
      <c r="C364" s="3">
        <v>503494</v>
      </c>
      <c r="D364" s="3">
        <v>82589</v>
      </c>
      <c r="E364" s="3" t="s">
        <v>23</v>
      </c>
    </row>
    <row r="365" spans="1:5">
      <c r="A365" s="3" t="s">
        <v>386</v>
      </c>
      <c r="B365" s="3" t="s">
        <v>22</v>
      </c>
      <c r="C365" s="3">
        <v>801232</v>
      </c>
      <c r="D365" s="3">
        <v>159427</v>
      </c>
      <c r="E365" s="3" t="s">
        <v>23</v>
      </c>
    </row>
    <row r="366" spans="1:5">
      <c r="A366" s="3" t="s">
        <v>387</v>
      </c>
      <c r="B366" s="3" t="s">
        <v>22</v>
      </c>
      <c r="C366" s="3">
        <v>552224</v>
      </c>
      <c r="D366" s="3">
        <v>81827</v>
      </c>
      <c r="E366" s="3" t="s">
        <v>23</v>
      </c>
    </row>
    <row r="367" spans="1:5">
      <c r="A367" s="3" t="s">
        <v>388</v>
      </c>
      <c r="B367" s="3" t="s">
        <v>22</v>
      </c>
      <c r="C367" s="3">
        <v>697765</v>
      </c>
      <c r="D367" s="3">
        <v>67994</v>
      </c>
      <c r="E367" s="3" t="s">
        <v>23</v>
      </c>
    </row>
    <row r="368" spans="1:5">
      <c r="A368" s="3" t="s">
        <v>389</v>
      </c>
      <c r="B368" s="3" t="s">
        <v>22</v>
      </c>
      <c r="C368" s="3">
        <v>525387</v>
      </c>
      <c r="D368" s="3">
        <v>148436</v>
      </c>
      <c r="E368" s="3" t="s">
        <v>23</v>
      </c>
    </row>
    <row r="369" spans="1:5">
      <c r="A369" s="3" t="s">
        <v>390</v>
      </c>
      <c r="B369" s="3" t="s">
        <v>22</v>
      </c>
      <c r="C369" s="3">
        <v>639039</v>
      </c>
      <c r="D369" s="3">
        <v>139818</v>
      </c>
      <c r="E369" s="3" t="s">
        <v>23</v>
      </c>
    </row>
    <row r="370" spans="1:5">
      <c r="A370" s="3" t="s">
        <v>391</v>
      </c>
      <c r="B370" s="3" t="s">
        <v>22</v>
      </c>
      <c r="C370" s="3">
        <v>463317</v>
      </c>
      <c r="D370" s="3">
        <v>8153</v>
      </c>
      <c r="E370" s="3" t="s">
        <v>23</v>
      </c>
    </row>
    <row r="371" spans="1:5">
      <c r="A371" s="3" t="s">
        <v>392</v>
      </c>
      <c r="B371" s="3" t="s">
        <v>22</v>
      </c>
      <c r="C371" s="3">
        <v>566861</v>
      </c>
      <c r="D371" s="3">
        <v>6341</v>
      </c>
      <c r="E371" s="3" t="s">
        <v>23</v>
      </c>
    </row>
    <row r="372" spans="1:5">
      <c r="A372" s="3" t="s">
        <v>393</v>
      </c>
      <c r="B372" s="3" t="s">
        <v>22</v>
      </c>
      <c r="C372" s="3">
        <v>487581</v>
      </c>
      <c r="D372" s="3">
        <v>157319</v>
      </c>
      <c r="E372" s="3" t="s">
        <v>23</v>
      </c>
    </row>
    <row r="373" spans="1:5">
      <c r="A373" s="3" t="s">
        <v>394</v>
      </c>
      <c r="B373" s="3" t="s">
        <v>22</v>
      </c>
      <c r="C373" s="3">
        <v>671188</v>
      </c>
      <c r="D373" s="3">
        <v>18323</v>
      </c>
      <c r="E373" s="3" t="s">
        <v>23</v>
      </c>
    </row>
    <row r="374" spans="1:5">
      <c r="A374" s="3" t="s">
        <v>395</v>
      </c>
      <c r="B374" s="3" t="s">
        <v>22</v>
      </c>
      <c r="C374" s="3">
        <v>533853</v>
      </c>
      <c r="D374" s="3">
        <v>90436</v>
      </c>
      <c r="E374" s="3" t="s">
        <v>23</v>
      </c>
    </row>
    <row r="375" spans="1:5">
      <c r="A375" s="3" t="s">
        <v>396</v>
      </c>
      <c r="B375" s="3" t="s">
        <v>22</v>
      </c>
      <c r="C375" s="3">
        <v>2874</v>
      </c>
      <c r="D375" s="3">
        <v>984</v>
      </c>
      <c r="E375" s="3" t="s">
        <v>23</v>
      </c>
    </row>
    <row r="376" spans="1:5">
      <c r="A376" s="3" t="s">
        <v>397</v>
      </c>
      <c r="B376" s="3" t="s">
        <v>22</v>
      </c>
      <c r="C376" s="3">
        <v>393733</v>
      </c>
      <c r="D376" s="3">
        <v>104977</v>
      </c>
      <c r="E376" s="3" t="s">
        <v>23</v>
      </c>
    </row>
    <row r="377" spans="1:5">
      <c r="A377" s="3" t="s">
        <v>398</v>
      </c>
      <c r="B377" s="3" t="s">
        <v>22</v>
      </c>
      <c r="C377" s="3">
        <v>828430</v>
      </c>
      <c r="D377" s="3">
        <v>81140</v>
      </c>
      <c r="E377" s="3" t="s">
        <v>23</v>
      </c>
    </row>
    <row r="378" spans="1:5">
      <c r="A378" s="3" t="s">
        <v>399</v>
      </c>
      <c r="B378" s="3" t="s">
        <v>22</v>
      </c>
      <c r="C378" s="3">
        <v>450791</v>
      </c>
      <c r="D378" s="3">
        <v>1725</v>
      </c>
      <c r="E378" s="3" t="s">
        <v>23</v>
      </c>
    </row>
    <row r="379" spans="1:5">
      <c r="A379" s="3" t="s">
        <v>400</v>
      </c>
      <c r="B379" s="3" t="s">
        <v>22</v>
      </c>
      <c r="C379" s="3">
        <v>652034</v>
      </c>
      <c r="D379" s="3">
        <v>222941</v>
      </c>
      <c r="E379" s="3" t="s">
        <v>23</v>
      </c>
    </row>
    <row r="380" spans="1:5">
      <c r="A380" s="3" t="s">
        <v>401</v>
      </c>
      <c r="B380" s="3" t="s">
        <v>22</v>
      </c>
      <c r="C380" s="3">
        <v>659454</v>
      </c>
      <c r="D380" s="3">
        <v>231042</v>
      </c>
      <c r="E380" s="3" t="s">
        <v>23</v>
      </c>
    </row>
    <row r="381" spans="1:5">
      <c r="A381" s="3" t="s">
        <v>402</v>
      </c>
      <c r="B381" s="3" t="s">
        <v>22</v>
      </c>
      <c r="C381" s="3">
        <v>419531</v>
      </c>
      <c r="D381" s="3">
        <v>20443</v>
      </c>
      <c r="E381" s="3" t="s">
        <v>23</v>
      </c>
    </row>
    <row r="382" spans="1:5">
      <c r="A382" s="3" t="s">
        <v>403</v>
      </c>
      <c r="B382" s="3" t="s">
        <v>22</v>
      </c>
      <c r="C382" s="3">
        <v>695192</v>
      </c>
      <c r="D382" s="3">
        <v>55458</v>
      </c>
      <c r="E382" s="3" t="s">
        <v>23</v>
      </c>
    </row>
    <row r="383" spans="1:5">
      <c r="A383" s="3" t="s">
        <v>404</v>
      </c>
      <c r="B383" s="3" t="s">
        <v>22</v>
      </c>
      <c r="C383" s="3">
        <v>653742</v>
      </c>
      <c r="D383" s="3">
        <v>161411</v>
      </c>
      <c r="E383" s="3" t="s">
        <v>23</v>
      </c>
    </row>
    <row r="384" spans="1:5">
      <c r="A384" s="3" t="s">
        <v>405</v>
      </c>
      <c r="B384" s="3" t="s">
        <v>22</v>
      </c>
      <c r="C384" s="3">
        <v>951447</v>
      </c>
      <c r="D384" s="3">
        <v>219140</v>
      </c>
      <c r="E384" s="3" t="s">
        <v>23</v>
      </c>
    </row>
    <row r="385" spans="1:5">
      <c r="A385" s="3" t="s">
        <v>406</v>
      </c>
      <c r="B385" s="3" t="s">
        <v>22</v>
      </c>
      <c r="C385" s="3">
        <v>315268</v>
      </c>
      <c r="D385" s="3">
        <v>91380</v>
      </c>
      <c r="E385" s="3" t="s">
        <v>23</v>
      </c>
    </row>
    <row r="386" spans="1:5">
      <c r="A386" s="3" t="s">
        <v>407</v>
      </c>
      <c r="B386" s="3" t="s">
        <v>22</v>
      </c>
      <c r="C386" s="3">
        <v>579940</v>
      </c>
      <c r="D386" s="3">
        <v>151326</v>
      </c>
      <c r="E386" s="3" t="s">
        <v>23</v>
      </c>
    </row>
    <row r="387" spans="1:5">
      <c r="A387" s="3" t="s">
        <v>408</v>
      </c>
      <c r="B387" s="3" t="s">
        <v>22</v>
      </c>
      <c r="C387" s="3">
        <v>264673</v>
      </c>
      <c r="D387" s="3">
        <v>87834</v>
      </c>
      <c r="E387" s="3" t="s">
        <v>23</v>
      </c>
    </row>
    <row r="388" spans="1:5">
      <c r="A388" s="3" t="s">
        <v>409</v>
      </c>
      <c r="B388" s="3" t="s">
        <v>22</v>
      </c>
      <c r="C388" s="3">
        <v>359101</v>
      </c>
      <c r="D388" s="3">
        <v>4062</v>
      </c>
      <c r="E388" s="3" t="s">
        <v>23</v>
      </c>
    </row>
    <row r="389" spans="1:5">
      <c r="A389" s="3" t="s">
        <v>410</v>
      </c>
      <c r="B389" s="3" t="s">
        <v>22</v>
      </c>
      <c r="C389" s="3">
        <v>845130</v>
      </c>
      <c r="D389" s="3">
        <v>118213</v>
      </c>
      <c r="E389" s="3" t="s">
        <v>23</v>
      </c>
    </row>
    <row r="390" spans="1:5">
      <c r="A390" s="3" t="s">
        <v>411</v>
      </c>
      <c r="B390" s="3" t="s">
        <v>22</v>
      </c>
      <c r="C390" s="3">
        <v>335336</v>
      </c>
      <c r="D390" s="3">
        <v>116737</v>
      </c>
      <c r="E390" s="3" t="s">
        <v>23</v>
      </c>
    </row>
    <row r="391" spans="1:5">
      <c r="A391" s="3" t="s">
        <v>412</v>
      </c>
      <c r="B391" s="3" t="s">
        <v>22</v>
      </c>
      <c r="C391" s="3">
        <v>520985</v>
      </c>
      <c r="D391" s="3">
        <v>157893</v>
      </c>
      <c r="E391" s="3" t="s">
        <v>23</v>
      </c>
    </row>
    <row r="392" spans="1:5">
      <c r="A392" s="3" t="s">
        <v>413</v>
      </c>
      <c r="B392" s="3" t="s">
        <v>22</v>
      </c>
      <c r="C392" s="3">
        <v>558196</v>
      </c>
      <c r="D392" s="3">
        <v>153014</v>
      </c>
      <c r="E392" s="3" t="s">
        <v>23</v>
      </c>
    </row>
    <row r="393" spans="1:5">
      <c r="A393" s="3" t="s">
        <v>414</v>
      </c>
      <c r="B393" s="3" t="s">
        <v>22</v>
      </c>
      <c r="C393" s="3">
        <v>381682</v>
      </c>
      <c r="D393" s="3">
        <v>593</v>
      </c>
      <c r="E393" s="3" t="s">
        <v>23</v>
      </c>
    </row>
    <row r="394" spans="1:5">
      <c r="A394" s="3" t="s">
        <v>415</v>
      </c>
      <c r="B394" s="3" t="s">
        <v>22</v>
      </c>
      <c r="C394" s="3">
        <v>571766</v>
      </c>
      <c r="D394" s="3">
        <v>199994</v>
      </c>
      <c r="E394" s="3" t="s">
        <v>23</v>
      </c>
    </row>
    <row r="395" spans="1:5">
      <c r="A395" s="3" t="s">
        <v>416</v>
      </c>
      <c r="B395" s="3" t="s">
        <v>22</v>
      </c>
      <c r="C395" s="3">
        <v>592106</v>
      </c>
      <c r="D395" s="3">
        <v>125754</v>
      </c>
      <c r="E395" s="3" t="s">
        <v>23</v>
      </c>
    </row>
    <row r="396" spans="1:5">
      <c r="A396" s="3" t="s">
        <v>417</v>
      </c>
      <c r="B396" s="3" t="s">
        <v>22</v>
      </c>
      <c r="C396" s="3">
        <v>385534</v>
      </c>
      <c r="D396" s="3">
        <v>114806</v>
      </c>
      <c r="E396" s="3" t="s">
        <v>23</v>
      </c>
    </row>
    <row r="397" spans="1:5">
      <c r="A397" s="3" t="s">
        <v>418</v>
      </c>
      <c r="B397" s="3" t="s">
        <v>22</v>
      </c>
      <c r="C397" s="3">
        <v>811997</v>
      </c>
      <c r="D397" s="3">
        <v>13420</v>
      </c>
      <c r="E397" s="3" t="s">
        <v>23</v>
      </c>
    </row>
    <row r="398" spans="1:5">
      <c r="A398" s="3" t="s">
        <v>419</v>
      </c>
      <c r="B398" s="3" t="s">
        <v>22</v>
      </c>
      <c r="C398" s="3">
        <v>678009</v>
      </c>
      <c r="D398" s="3">
        <v>187590</v>
      </c>
      <c r="E398" s="3" t="s">
        <v>23</v>
      </c>
    </row>
    <row r="399" spans="1:5">
      <c r="A399" s="3" t="s">
        <v>420</v>
      </c>
      <c r="B399" s="3" t="s">
        <v>22</v>
      </c>
      <c r="C399" s="3">
        <v>466096</v>
      </c>
      <c r="D399" s="3">
        <v>42819</v>
      </c>
      <c r="E399" s="3" t="s">
        <v>23</v>
      </c>
    </row>
    <row r="400" spans="1:5">
      <c r="A400" s="3" t="s">
        <v>421</v>
      </c>
      <c r="B400" s="3" t="s">
        <v>22</v>
      </c>
      <c r="C400" s="3">
        <v>875760</v>
      </c>
      <c r="D400" s="3">
        <v>118262</v>
      </c>
      <c r="E400" s="3" t="s">
        <v>23</v>
      </c>
    </row>
    <row r="401" spans="1:5">
      <c r="A401" s="3" t="s">
        <v>422</v>
      </c>
      <c r="B401" s="3" t="s">
        <v>22</v>
      </c>
      <c r="C401" s="3">
        <v>770431</v>
      </c>
      <c r="D401" s="3">
        <v>215023</v>
      </c>
      <c r="E401" s="3" t="s">
        <v>23</v>
      </c>
    </row>
    <row r="402" spans="1:5">
      <c r="A402" s="3" t="s">
        <v>423</v>
      </c>
      <c r="B402" s="3" t="s">
        <v>22</v>
      </c>
      <c r="C402" s="3">
        <v>595521</v>
      </c>
      <c r="D402" s="3">
        <v>184882</v>
      </c>
      <c r="E402" s="3" t="s">
        <v>23</v>
      </c>
    </row>
    <row r="403" spans="1:5">
      <c r="A403" s="3" t="s">
        <v>424</v>
      </c>
      <c r="B403" s="3" t="s">
        <v>22</v>
      </c>
      <c r="C403" s="3">
        <v>251634</v>
      </c>
      <c r="D403" s="3">
        <v>76864</v>
      </c>
      <c r="E403" s="3" t="s">
        <v>23</v>
      </c>
    </row>
    <row r="404" spans="1:5">
      <c r="A404" s="3" t="s">
        <v>425</v>
      </c>
      <c r="B404" s="3" t="s">
        <v>22</v>
      </c>
      <c r="C404" s="3">
        <v>36440</v>
      </c>
      <c r="D404" s="3">
        <v>2555</v>
      </c>
      <c r="E404" s="3" t="s">
        <v>23</v>
      </c>
    </row>
    <row r="405" spans="1:5">
      <c r="A405" s="3" t="s">
        <v>426</v>
      </c>
      <c r="B405" s="3" t="s">
        <v>22</v>
      </c>
      <c r="C405" s="3">
        <v>642376</v>
      </c>
      <c r="D405" s="3">
        <v>120399</v>
      </c>
      <c r="E405" s="3" t="s">
        <v>23</v>
      </c>
    </row>
    <row r="406" spans="1:5">
      <c r="A406" s="3" t="s">
        <v>427</v>
      </c>
      <c r="B406" s="3" t="s">
        <v>22</v>
      </c>
      <c r="C406" s="3">
        <v>968619</v>
      </c>
      <c r="D406" s="3">
        <v>36602</v>
      </c>
      <c r="E406" s="3" t="s">
        <v>23</v>
      </c>
    </row>
    <row r="407" spans="1:5">
      <c r="A407" s="3" t="s">
        <v>428</v>
      </c>
      <c r="B407" s="3" t="s">
        <v>22</v>
      </c>
      <c r="C407" s="3">
        <v>841483</v>
      </c>
      <c r="D407" s="3">
        <v>25371</v>
      </c>
      <c r="E407" s="3" t="s">
        <v>23</v>
      </c>
    </row>
    <row r="408" spans="1:5">
      <c r="A408" s="3" t="s">
        <v>429</v>
      </c>
      <c r="B408" s="3" t="s">
        <v>22</v>
      </c>
      <c r="C408" s="3">
        <v>888580</v>
      </c>
      <c r="D408" s="3">
        <v>189715</v>
      </c>
      <c r="E408" s="3" t="s">
        <v>23</v>
      </c>
    </row>
    <row r="409" spans="1:5">
      <c r="A409" s="3" t="s">
        <v>430</v>
      </c>
      <c r="B409" s="3" t="s">
        <v>22</v>
      </c>
      <c r="C409" s="3">
        <v>515659</v>
      </c>
      <c r="D409" s="3">
        <v>3871</v>
      </c>
      <c r="E409" s="3" t="s">
        <v>23</v>
      </c>
    </row>
    <row r="410" spans="1:5">
      <c r="A410" s="3" t="s">
        <v>431</v>
      </c>
      <c r="B410" s="3" t="s">
        <v>22</v>
      </c>
      <c r="C410" s="3">
        <v>760298</v>
      </c>
      <c r="D410" s="3">
        <v>141688</v>
      </c>
      <c r="E410" s="3" t="s">
        <v>23</v>
      </c>
    </row>
    <row r="411" spans="1:5">
      <c r="A411" s="3" t="s">
        <v>432</v>
      </c>
      <c r="B411" s="3" t="s">
        <v>22</v>
      </c>
      <c r="C411" s="3">
        <v>817082</v>
      </c>
      <c r="D411" s="3">
        <v>44248</v>
      </c>
      <c r="E411" s="3" t="s">
        <v>23</v>
      </c>
    </row>
    <row r="412" spans="1:5">
      <c r="A412" s="3" t="s">
        <v>433</v>
      </c>
      <c r="B412" s="3" t="s">
        <v>22</v>
      </c>
      <c r="C412" s="3">
        <v>579511</v>
      </c>
      <c r="D412" s="3">
        <v>124538</v>
      </c>
      <c r="E412" s="3" t="s">
        <v>23</v>
      </c>
    </row>
    <row r="413" spans="1:5">
      <c r="A413" s="3" t="s">
        <v>434</v>
      </c>
      <c r="B413" s="3" t="s">
        <v>22</v>
      </c>
      <c r="C413" s="3">
        <v>705670</v>
      </c>
      <c r="D413" s="3">
        <v>95159</v>
      </c>
      <c r="E413" s="3" t="s">
        <v>23</v>
      </c>
    </row>
    <row r="414" spans="1:5">
      <c r="A414" s="3" t="s">
        <v>435</v>
      </c>
      <c r="B414" s="3" t="s">
        <v>22</v>
      </c>
      <c r="C414" s="3">
        <v>881153</v>
      </c>
      <c r="D414" s="3">
        <v>32275</v>
      </c>
      <c r="E414" s="3" t="s">
        <v>23</v>
      </c>
    </row>
    <row r="415" spans="1:5">
      <c r="A415" s="3" t="s">
        <v>436</v>
      </c>
      <c r="B415" s="3" t="s">
        <v>22</v>
      </c>
      <c r="C415" s="3">
        <v>749318</v>
      </c>
      <c r="D415" s="3">
        <v>132401</v>
      </c>
      <c r="E415" s="3" t="s">
        <v>23</v>
      </c>
    </row>
    <row r="416" spans="1:5">
      <c r="A416" s="3" t="s">
        <v>437</v>
      </c>
      <c r="B416" s="3" t="s">
        <v>22</v>
      </c>
      <c r="C416" s="3">
        <v>836504</v>
      </c>
      <c r="D416" s="3">
        <v>317090</v>
      </c>
      <c r="E416" s="3" t="s">
        <v>23</v>
      </c>
    </row>
    <row r="417" spans="1:5">
      <c r="A417" s="3" t="s">
        <v>438</v>
      </c>
      <c r="B417" s="3" t="s">
        <v>22</v>
      </c>
      <c r="C417" s="3">
        <v>835600</v>
      </c>
      <c r="D417" s="3">
        <v>206480</v>
      </c>
      <c r="E417" s="3" t="s">
        <v>23</v>
      </c>
    </row>
    <row r="418" spans="1:5">
      <c r="A418" s="3" t="s">
        <v>439</v>
      </c>
      <c r="B418" s="3" t="s">
        <v>22</v>
      </c>
      <c r="C418" s="3">
        <v>136676</v>
      </c>
      <c r="D418" s="3">
        <v>33267</v>
      </c>
      <c r="E418" s="3" t="s">
        <v>23</v>
      </c>
    </row>
    <row r="419" spans="1:5">
      <c r="A419" s="3" t="s">
        <v>440</v>
      </c>
      <c r="B419" s="3" t="s">
        <v>22</v>
      </c>
      <c r="C419" s="3">
        <v>1101726</v>
      </c>
      <c r="D419" s="3">
        <v>264746</v>
      </c>
      <c r="E419" s="3" t="s">
        <v>23</v>
      </c>
    </row>
    <row r="420" spans="1:5">
      <c r="A420" s="3" t="s">
        <v>441</v>
      </c>
      <c r="B420" s="3" t="s">
        <v>22</v>
      </c>
      <c r="C420" s="3">
        <v>724486</v>
      </c>
      <c r="D420" s="3">
        <v>9583</v>
      </c>
      <c r="E420" s="3" t="s">
        <v>23</v>
      </c>
    </row>
    <row r="421" spans="1:5">
      <c r="A421" s="3" t="s">
        <v>442</v>
      </c>
      <c r="B421" s="3" t="s">
        <v>22</v>
      </c>
      <c r="C421" s="3">
        <v>878045</v>
      </c>
      <c r="D421" s="3">
        <v>116237</v>
      </c>
      <c r="E421" s="3" t="s">
        <v>23</v>
      </c>
    </row>
    <row r="422" spans="1:5">
      <c r="A422" s="3" t="s">
        <v>443</v>
      </c>
      <c r="B422" s="3" t="s">
        <v>22</v>
      </c>
      <c r="C422" s="3">
        <v>185956</v>
      </c>
      <c r="D422" s="3">
        <v>6051</v>
      </c>
      <c r="E422" s="3" t="s">
        <v>23</v>
      </c>
    </row>
    <row r="423" spans="1:5">
      <c r="A423" s="3" t="s">
        <v>444</v>
      </c>
      <c r="B423" s="3" t="s">
        <v>22</v>
      </c>
      <c r="C423" s="3">
        <v>528737</v>
      </c>
      <c r="D423" s="3">
        <v>93697</v>
      </c>
      <c r="E423" s="3" t="s">
        <v>23</v>
      </c>
    </row>
    <row r="424" spans="1:5">
      <c r="A424" s="3" t="s">
        <v>445</v>
      </c>
      <c r="B424" s="3" t="s">
        <v>22</v>
      </c>
      <c r="C424" s="3">
        <v>666455</v>
      </c>
      <c r="D424" s="3">
        <v>148732</v>
      </c>
      <c r="E424" s="3" t="s">
        <v>23</v>
      </c>
    </row>
    <row r="425" spans="1:5">
      <c r="A425" s="3" t="s">
        <v>446</v>
      </c>
      <c r="B425" s="3" t="s">
        <v>22</v>
      </c>
      <c r="C425" s="3">
        <v>764778</v>
      </c>
      <c r="D425" s="3">
        <v>215495</v>
      </c>
      <c r="E425" s="3" t="s">
        <v>23</v>
      </c>
    </row>
    <row r="426" spans="1:5">
      <c r="A426" s="3" t="s">
        <v>447</v>
      </c>
      <c r="B426" s="3" t="s">
        <v>22</v>
      </c>
      <c r="C426" s="3">
        <v>684211</v>
      </c>
      <c r="D426" s="3">
        <v>13412</v>
      </c>
      <c r="E426" s="3" t="s">
        <v>23</v>
      </c>
    </row>
    <row r="427" spans="1:5">
      <c r="A427" s="3" t="s">
        <v>448</v>
      </c>
      <c r="B427" s="3" t="s">
        <v>22</v>
      </c>
      <c r="C427" s="3">
        <v>1039326</v>
      </c>
      <c r="D427" s="3">
        <v>275852</v>
      </c>
      <c r="E427" s="3" t="s">
        <v>23</v>
      </c>
    </row>
    <row r="428" spans="1:5">
      <c r="A428" s="3" t="s">
        <v>449</v>
      </c>
      <c r="B428" s="3" t="s">
        <v>22</v>
      </c>
      <c r="C428" s="3">
        <v>516334</v>
      </c>
      <c r="D428" s="3">
        <v>128206</v>
      </c>
      <c r="E428" s="3" t="s">
        <v>23</v>
      </c>
    </row>
    <row r="429" spans="1:5">
      <c r="A429" s="3" t="s">
        <v>450</v>
      </c>
      <c r="B429" s="3" t="s">
        <v>22</v>
      </c>
      <c r="C429" s="3">
        <v>708155</v>
      </c>
      <c r="D429" s="3">
        <v>45125</v>
      </c>
      <c r="E429" s="3" t="s">
        <v>23</v>
      </c>
    </row>
    <row r="430" spans="1:5">
      <c r="A430" s="3" t="s">
        <v>451</v>
      </c>
      <c r="B430" s="3" t="s">
        <v>22</v>
      </c>
      <c r="C430" s="3">
        <v>539380</v>
      </c>
      <c r="D430" s="3">
        <v>81318</v>
      </c>
      <c r="E430" s="3" t="s">
        <v>23</v>
      </c>
    </row>
    <row r="431" spans="1:5">
      <c r="A431" s="3" t="s">
        <v>452</v>
      </c>
      <c r="B431" s="3" t="s">
        <v>22</v>
      </c>
      <c r="C431" s="3">
        <v>835138</v>
      </c>
      <c r="D431" s="3">
        <v>125252</v>
      </c>
      <c r="E431" s="3" t="s">
        <v>23</v>
      </c>
    </row>
    <row r="432" spans="1:5">
      <c r="A432" s="3" t="s">
        <v>453</v>
      </c>
      <c r="B432" s="3" t="s">
        <v>22</v>
      </c>
      <c r="C432" s="3">
        <v>957591</v>
      </c>
      <c r="D432" s="3">
        <v>18307</v>
      </c>
      <c r="E432" s="3" t="s">
        <v>23</v>
      </c>
    </row>
    <row r="433" spans="1:5">
      <c r="A433" s="3" t="s">
        <v>454</v>
      </c>
      <c r="B433" s="3" t="s">
        <v>22</v>
      </c>
      <c r="C433" s="3">
        <v>436476</v>
      </c>
      <c r="D433" s="3">
        <v>1502</v>
      </c>
      <c r="E433" s="3" t="s">
        <v>23</v>
      </c>
    </row>
    <row r="434" spans="1:5">
      <c r="A434" s="3" t="s">
        <v>455</v>
      </c>
      <c r="B434" s="3" t="s">
        <v>22</v>
      </c>
      <c r="C434" s="3">
        <v>695447</v>
      </c>
      <c r="D434" s="3">
        <v>179947</v>
      </c>
      <c r="E434" s="3" t="s">
        <v>23</v>
      </c>
    </row>
    <row r="435" spans="1:5">
      <c r="A435" s="3" t="s">
        <v>456</v>
      </c>
      <c r="B435" s="3" t="s">
        <v>22</v>
      </c>
      <c r="C435" s="3">
        <v>478966</v>
      </c>
      <c r="D435" s="3">
        <v>35224</v>
      </c>
      <c r="E435" s="3" t="s">
        <v>23</v>
      </c>
    </row>
    <row r="436" spans="1:5">
      <c r="A436" s="3" t="s">
        <v>457</v>
      </c>
      <c r="B436" s="3" t="s">
        <v>22</v>
      </c>
      <c r="C436" s="3">
        <v>549732</v>
      </c>
      <c r="D436" s="3">
        <v>139352</v>
      </c>
      <c r="E436" s="3" t="s">
        <v>23</v>
      </c>
    </row>
    <row r="437" spans="1:5">
      <c r="A437" s="3" t="s">
        <v>458</v>
      </c>
      <c r="B437" s="3" t="s">
        <v>22</v>
      </c>
      <c r="C437" s="3">
        <v>936575</v>
      </c>
      <c r="D437" s="3">
        <v>172296</v>
      </c>
      <c r="E437" s="3" t="s">
        <v>23</v>
      </c>
    </row>
    <row r="438" spans="1:5">
      <c r="A438" s="3" t="s">
        <v>459</v>
      </c>
      <c r="B438" s="3" t="s">
        <v>22</v>
      </c>
      <c r="C438" s="3">
        <v>732513</v>
      </c>
      <c r="D438" s="3">
        <v>61621</v>
      </c>
      <c r="E438" s="3" t="s">
        <v>23</v>
      </c>
    </row>
    <row r="439" spans="1:5">
      <c r="A439" s="3" t="s">
        <v>460</v>
      </c>
      <c r="B439" s="3" t="s">
        <v>22</v>
      </c>
      <c r="C439" s="3">
        <v>588517</v>
      </c>
      <c r="D439" s="3">
        <v>35156</v>
      </c>
      <c r="E439" s="3" t="s">
        <v>23</v>
      </c>
    </row>
    <row r="440" spans="1:5">
      <c r="A440" s="3" t="s">
        <v>461</v>
      </c>
      <c r="B440" s="3" t="s">
        <v>22</v>
      </c>
      <c r="C440" s="3">
        <v>379719</v>
      </c>
      <c r="D440" s="3">
        <v>7497</v>
      </c>
      <c r="E440" s="3" t="s">
        <v>23</v>
      </c>
    </row>
    <row r="441" spans="1:5">
      <c r="A441" s="3" t="s">
        <v>462</v>
      </c>
      <c r="B441" s="3" t="s">
        <v>22</v>
      </c>
      <c r="C441" s="3">
        <v>1262241</v>
      </c>
      <c r="D441" s="3">
        <v>295915</v>
      </c>
      <c r="E441" s="3" t="s">
        <v>23</v>
      </c>
    </row>
    <row r="442" spans="1:5">
      <c r="A442" s="3" t="s">
        <v>463</v>
      </c>
      <c r="B442" s="3" t="s">
        <v>22</v>
      </c>
      <c r="C442" s="3">
        <v>708023</v>
      </c>
      <c r="D442" s="3">
        <v>105547</v>
      </c>
      <c r="E442" s="3" t="s">
        <v>23</v>
      </c>
    </row>
    <row r="443" spans="1:5">
      <c r="A443" s="3" t="s">
        <v>464</v>
      </c>
      <c r="B443" s="3" t="s">
        <v>22</v>
      </c>
      <c r="C443" s="3">
        <v>543794</v>
      </c>
      <c r="D443" s="3">
        <v>78375</v>
      </c>
      <c r="E443" s="3" t="s">
        <v>23</v>
      </c>
    </row>
    <row r="444" spans="1:5">
      <c r="A444" s="3" t="s">
        <v>465</v>
      </c>
      <c r="B444" s="3" t="s">
        <v>22</v>
      </c>
      <c r="C444" s="3">
        <v>719884</v>
      </c>
      <c r="D444" s="3">
        <v>81132</v>
      </c>
      <c r="E444" s="3" t="s">
        <v>23</v>
      </c>
    </row>
    <row r="445" spans="1:5">
      <c r="A445" s="3" t="s">
        <v>466</v>
      </c>
      <c r="B445" s="3" t="s">
        <v>22</v>
      </c>
      <c r="C445" s="3">
        <v>790794</v>
      </c>
      <c r="D445" s="3">
        <v>92013</v>
      </c>
      <c r="E445" s="3" t="s">
        <v>23</v>
      </c>
    </row>
    <row r="446" spans="1:5">
      <c r="A446" s="3" t="s">
        <v>467</v>
      </c>
      <c r="B446" s="3" t="s">
        <v>22</v>
      </c>
      <c r="C446" s="3">
        <v>736459</v>
      </c>
      <c r="D446" s="3">
        <v>93704</v>
      </c>
      <c r="E446" s="3" t="s">
        <v>23</v>
      </c>
    </row>
    <row r="447" spans="1:5">
      <c r="A447" s="3" t="s">
        <v>468</v>
      </c>
      <c r="B447" s="3" t="s">
        <v>22</v>
      </c>
      <c r="C447" s="3">
        <v>627999</v>
      </c>
      <c r="D447" s="3">
        <v>150180</v>
      </c>
      <c r="E447" s="3" t="s">
        <v>23</v>
      </c>
    </row>
    <row r="448" spans="1:5">
      <c r="A448" s="3" t="s">
        <v>469</v>
      </c>
      <c r="B448" s="3" t="s">
        <v>22</v>
      </c>
      <c r="C448" s="3">
        <v>54816</v>
      </c>
      <c r="D448" s="3">
        <v>11809</v>
      </c>
      <c r="E448" s="3" t="s">
        <v>23</v>
      </c>
    </row>
    <row r="449" spans="1:5">
      <c r="A449" s="3" t="s">
        <v>470</v>
      </c>
      <c r="B449" s="3" t="s">
        <v>22</v>
      </c>
      <c r="C449" s="3">
        <v>152699</v>
      </c>
      <c r="D449" s="3">
        <v>37976</v>
      </c>
      <c r="E449" s="3" t="s">
        <v>23</v>
      </c>
    </row>
    <row r="450" spans="1:5">
      <c r="A450" s="3" t="s">
        <v>471</v>
      </c>
      <c r="B450" s="3" t="s">
        <v>22</v>
      </c>
      <c r="C450" s="3">
        <v>897531</v>
      </c>
      <c r="D450" s="3">
        <v>187031</v>
      </c>
      <c r="E450" s="3" t="s">
        <v>23</v>
      </c>
    </row>
    <row r="451" spans="1:5">
      <c r="A451" s="3" t="s">
        <v>472</v>
      </c>
      <c r="B451" s="3" t="s">
        <v>22</v>
      </c>
      <c r="C451" s="3">
        <v>886540</v>
      </c>
      <c r="D451" s="3">
        <v>172395</v>
      </c>
      <c r="E451" s="3" t="s">
        <v>23</v>
      </c>
    </row>
    <row r="452" spans="1:5">
      <c r="A452" s="3" t="s">
        <v>473</v>
      </c>
      <c r="B452" s="3" t="s">
        <v>22</v>
      </c>
      <c r="C452" s="3">
        <v>739289</v>
      </c>
      <c r="D452" s="3">
        <v>127648</v>
      </c>
      <c r="E452" s="3" t="s">
        <v>23</v>
      </c>
    </row>
    <row r="453" spans="1:5">
      <c r="A453" s="3" t="s">
        <v>474</v>
      </c>
      <c r="B453" s="3" t="s">
        <v>22</v>
      </c>
      <c r="C453" s="3">
        <v>770695</v>
      </c>
      <c r="D453" s="3">
        <v>140767</v>
      </c>
      <c r="E453" s="3" t="s">
        <v>23</v>
      </c>
    </row>
    <row r="454" spans="1:5">
      <c r="A454" s="3" t="s">
        <v>475</v>
      </c>
      <c r="B454" s="3" t="s">
        <v>22</v>
      </c>
      <c r="C454" s="3">
        <v>401395</v>
      </c>
      <c r="D454" s="3">
        <v>43763</v>
      </c>
      <c r="E454" s="3" t="s">
        <v>23</v>
      </c>
    </row>
    <row r="455" spans="1:5">
      <c r="A455" s="3" t="s">
        <v>476</v>
      </c>
      <c r="B455" s="3" t="s">
        <v>22</v>
      </c>
      <c r="C455" s="3">
        <v>718215</v>
      </c>
      <c r="D455" s="3">
        <v>149183</v>
      </c>
      <c r="E455" s="3" t="s">
        <v>23</v>
      </c>
    </row>
    <row r="456" spans="1:5">
      <c r="A456" s="3" t="s">
        <v>477</v>
      </c>
      <c r="B456" s="3" t="s">
        <v>22</v>
      </c>
      <c r="C456" s="3">
        <v>781321</v>
      </c>
      <c r="D456" s="3">
        <v>177906</v>
      </c>
      <c r="E456" s="3" t="s">
        <v>23</v>
      </c>
    </row>
    <row r="457" spans="1:5">
      <c r="A457" s="3" t="s">
        <v>478</v>
      </c>
      <c r="B457" s="3" t="s">
        <v>22</v>
      </c>
      <c r="C457" s="3">
        <v>443216</v>
      </c>
      <c r="D457" s="3">
        <v>2984</v>
      </c>
      <c r="E457" s="3" t="s">
        <v>23</v>
      </c>
    </row>
    <row r="458" spans="1:5">
      <c r="A458" s="3" t="s">
        <v>479</v>
      </c>
      <c r="B458" s="3" t="s">
        <v>22</v>
      </c>
      <c r="C458" s="3">
        <v>1028975</v>
      </c>
      <c r="D458" s="3">
        <v>214054</v>
      </c>
      <c r="E458" s="3" t="s">
        <v>23</v>
      </c>
    </row>
    <row r="459" spans="1:5">
      <c r="A459" s="3" t="s">
        <v>480</v>
      </c>
      <c r="B459" s="3" t="s">
        <v>22</v>
      </c>
      <c r="C459" s="3">
        <v>613923</v>
      </c>
      <c r="D459" s="3">
        <v>64238</v>
      </c>
      <c r="E459" s="3" t="s">
        <v>23</v>
      </c>
    </row>
    <row r="460" spans="1:5">
      <c r="A460" s="3" t="s">
        <v>481</v>
      </c>
      <c r="B460" s="3" t="s">
        <v>22</v>
      </c>
      <c r="C460" s="3">
        <v>667460</v>
      </c>
      <c r="D460" s="3">
        <v>54859</v>
      </c>
      <c r="E460" s="3" t="s">
        <v>23</v>
      </c>
    </row>
    <row r="461" spans="1:5">
      <c r="A461" s="3" t="s">
        <v>482</v>
      </c>
      <c r="B461" s="3" t="s">
        <v>22</v>
      </c>
      <c r="C461" s="3">
        <v>638625</v>
      </c>
      <c r="D461" s="3">
        <v>132725</v>
      </c>
      <c r="E461" s="3" t="s">
        <v>23</v>
      </c>
    </row>
    <row r="462" spans="1:5">
      <c r="A462" s="3" t="s">
        <v>483</v>
      </c>
      <c r="B462" s="3" t="s">
        <v>22</v>
      </c>
      <c r="C462" s="3">
        <v>674424</v>
      </c>
      <c r="D462" s="3">
        <v>134533</v>
      </c>
      <c r="E462" s="3" t="s">
        <v>23</v>
      </c>
    </row>
    <row r="463" spans="1:5">
      <c r="A463" s="3" t="s">
        <v>484</v>
      </c>
      <c r="B463" s="3" t="s">
        <v>22</v>
      </c>
      <c r="C463" s="3">
        <v>77330</v>
      </c>
      <c r="D463" s="3">
        <v>15227</v>
      </c>
      <c r="E463" s="3" t="s">
        <v>23</v>
      </c>
    </row>
    <row r="464" spans="1:5">
      <c r="A464" s="3" t="s">
        <v>485</v>
      </c>
      <c r="B464" s="3" t="s">
        <v>22</v>
      </c>
      <c r="C464" s="3">
        <v>433809</v>
      </c>
      <c r="D464" s="3">
        <v>1482</v>
      </c>
      <c r="E464" s="3" t="s">
        <v>23</v>
      </c>
    </row>
    <row r="465" spans="1:5">
      <c r="A465" s="3" t="s">
        <v>486</v>
      </c>
      <c r="B465" s="3" t="s">
        <v>22</v>
      </c>
      <c r="C465" s="3">
        <v>502162</v>
      </c>
      <c r="D465" s="3">
        <v>156321</v>
      </c>
      <c r="E465" s="3" t="s">
        <v>23</v>
      </c>
    </row>
    <row r="466" spans="1:5">
      <c r="A466" s="3" t="s">
        <v>487</v>
      </c>
      <c r="B466" s="3" t="s">
        <v>22</v>
      </c>
      <c r="C466" s="3">
        <v>633881</v>
      </c>
      <c r="D466" s="3">
        <v>39505</v>
      </c>
      <c r="E466" s="3" t="s">
        <v>23</v>
      </c>
    </row>
    <row r="467" spans="1:5">
      <c r="A467" s="3" t="s">
        <v>488</v>
      </c>
      <c r="B467" s="3" t="s">
        <v>22</v>
      </c>
      <c r="C467" s="3">
        <v>297516</v>
      </c>
      <c r="D467" s="3">
        <v>37023</v>
      </c>
      <c r="E467" s="3" t="s">
        <v>23</v>
      </c>
    </row>
    <row r="468" spans="1:5">
      <c r="A468" s="3" t="s">
        <v>489</v>
      </c>
      <c r="B468" s="3" t="s">
        <v>22</v>
      </c>
      <c r="C468" s="3">
        <v>504664</v>
      </c>
      <c r="D468" s="3">
        <v>109645</v>
      </c>
      <c r="E468" s="3" t="s">
        <v>23</v>
      </c>
    </row>
    <row r="469" spans="1:5">
      <c r="A469" s="3" t="s">
        <v>490</v>
      </c>
      <c r="B469" s="3" t="s">
        <v>22</v>
      </c>
      <c r="C469" s="3">
        <v>381401</v>
      </c>
      <c r="D469" s="3">
        <v>121292</v>
      </c>
      <c r="E469" s="3" t="s">
        <v>23</v>
      </c>
    </row>
    <row r="470" spans="1:5">
      <c r="A470" s="3" t="s">
        <v>491</v>
      </c>
      <c r="B470" s="3" t="s">
        <v>22</v>
      </c>
      <c r="C470" s="3">
        <v>468703</v>
      </c>
      <c r="D470" s="3">
        <v>39181</v>
      </c>
      <c r="E470" s="3" t="s">
        <v>23</v>
      </c>
    </row>
    <row r="471" spans="1:5">
      <c r="A471" s="3" t="s">
        <v>492</v>
      </c>
      <c r="B471" s="3" t="s">
        <v>22</v>
      </c>
      <c r="C471" s="3">
        <v>476829</v>
      </c>
      <c r="D471" s="3">
        <v>17011</v>
      </c>
      <c r="E471" s="3" t="s">
        <v>23</v>
      </c>
    </row>
    <row r="472" spans="1:5">
      <c r="A472" s="3" t="s">
        <v>493</v>
      </c>
      <c r="B472" s="3" t="s">
        <v>22</v>
      </c>
      <c r="C472" s="3">
        <v>289402</v>
      </c>
      <c r="D472" s="3">
        <v>84172</v>
      </c>
      <c r="E472" s="3" t="s">
        <v>23</v>
      </c>
    </row>
    <row r="473" spans="1:5">
      <c r="A473" s="3" t="s">
        <v>494</v>
      </c>
      <c r="B473" s="3" t="s">
        <v>22</v>
      </c>
      <c r="C473" s="3">
        <v>423464</v>
      </c>
      <c r="D473" s="3">
        <v>124579</v>
      </c>
      <c r="E473" s="3" t="s">
        <v>23</v>
      </c>
    </row>
    <row r="474" spans="1:5">
      <c r="A474" s="3" t="s">
        <v>495</v>
      </c>
      <c r="B474" s="3" t="s">
        <v>22</v>
      </c>
      <c r="C474" s="3">
        <v>287545</v>
      </c>
      <c r="D474" s="3">
        <v>4130</v>
      </c>
      <c r="E474" s="3" t="s">
        <v>23</v>
      </c>
    </row>
    <row r="475" spans="1:5">
      <c r="A475" s="3" t="s">
        <v>496</v>
      </c>
      <c r="B475" s="3" t="s">
        <v>22</v>
      </c>
      <c r="C475" s="3">
        <v>292773</v>
      </c>
      <c r="D475" s="3">
        <v>2028</v>
      </c>
      <c r="E475" s="3" t="s">
        <v>23</v>
      </c>
    </row>
    <row r="476" spans="1:5">
      <c r="A476" s="3" t="s">
        <v>497</v>
      </c>
      <c r="B476" s="3" t="s">
        <v>22</v>
      </c>
      <c r="C476" s="3">
        <v>530259</v>
      </c>
      <c r="D476" s="3">
        <v>184188</v>
      </c>
      <c r="E476" s="3" t="s">
        <v>23</v>
      </c>
    </row>
    <row r="477" spans="1:5">
      <c r="A477" s="3" t="s">
        <v>498</v>
      </c>
      <c r="B477" s="3" t="s">
        <v>22</v>
      </c>
      <c r="C477" s="3">
        <v>425483</v>
      </c>
      <c r="D477" s="3">
        <v>15551</v>
      </c>
      <c r="E477" s="3" t="s">
        <v>23</v>
      </c>
    </row>
    <row r="478" spans="1:5">
      <c r="A478" s="3" t="s">
        <v>499</v>
      </c>
      <c r="B478" s="3" t="s">
        <v>22</v>
      </c>
      <c r="C478" s="3">
        <v>109995</v>
      </c>
      <c r="D478" s="3">
        <v>32368</v>
      </c>
      <c r="E478" s="3" t="s">
        <v>23</v>
      </c>
    </row>
    <row r="479" spans="1:5">
      <c r="A479" s="3" t="s">
        <v>500</v>
      </c>
      <c r="B479" s="3" t="s">
        <v>22</v>
      </c>
      <c r="C479" s="3">
        <v>414908</v>
      </c>
      <c r="D479" s="3">
        <v>92029</v>
      </c>
      <c r="E479" s="3" t="s">
        <v>23</v>
      </c>
    </row>
    <row r="480" spans="1:5">
      <c r="A480" s="3" t="s">
        <v>501</v>
      </c>
      <c r="B480" s="3" t="s">
        <v>22</v>
      </c>
      <c r="C480" s="3">
        <v>215028</v>
      </c>
      <c r="D480" s="3">
        <v>63445</v>
      </c>
      <c r="E480" s="3" t="s">
        <v>23</v>
      </c>
    </row>
    <row r="481" spans="1:5">
      <c r="A481" s="3" t="s">
        <v>502</v>
      </c>
      <c r="B481" s="3" t="s">
        <v>22</v>
      </c>
      <c r="C481" s="3">
        <v>264314</v>
      </c>
      <c r="D481" s="3">
        <v>2475</v>
      </c>
      <c r="E481" s="3" t="s">
        <v>23</v>
      </c>
    </row>
    <row r="482" spans="1:5">
      <c r="A482" s="3" t="s">
        <v>503</v>
      </c>
      <c r="B482" s="3" t="s">
        <v>22</v>
      </c>
      <c r="C482" s="3">
        <v>285141</v>
      </c>
      <c r="D482" s="3">
        <v>29083</v>
      </c>
      <c r="E482" s="3" t="s">
        <v>23</v>
      </c>
    </row>
    <row r="483" spans="1:5">
      <c r="A483" s="3" t="s">
        <v>504</v>
      </c>
      <c r="B483" s="3" t="s">
        <v>22</v>
      </c>
      <c r="C483" s="3">
        <v>490239</v>
      </c>
      <c r="D483" s="3">
        <v>146542</v>
      </c>
      <c r="E483" s="3" t="s">
        <v>23</v>
      </c>
    </row>
    <row r="484" spans="1:5">
      <c r="A484" s="3" t="s">
        <v>505</v>
      </c>
      <c r="B484" s="3" t="s">
        <v>22</v>
      </c>
      <c r="C484" s="3">
        <v>478917</v>
      </c>
      <c r="D484" s="3">
        <v>108886</v>
      </c>
      <c r="E484" s="3" t="s">
        <v>23</v>
      </c>
    </row>
    <row r="485" spans="1:5">
      <c r="A485" s="3" t="s">
        <v>506</v>
      </c>
      <c r="B485" s="3" t="s">
        <v>22</v>
      </c>
      <c r="C485" s="3">
        <v>405755</v>
      </c>
      <c r="D485" s="3">
        <v>109853</v>
      </c>
      <c r="E485" s="3" t="s">
        <v>23</v>
      </c>
    </row>
    <row r="486" spans="1:5">
      <c r="A486" s="3" t="s">
        <v>507</v>
      </c>
      <c r="B486" s="3" t="s">
        <v>22</v>
      </c>
      <c r="C486" s="3">
        <v>243584</v>
      </c>
      <c r="D486" s="3">
        <v>372</v>
      </c>
      <c r="E486" s="3" t="s">
        <v>23</v>
      </c>
    </row>
    <row r="487" spans="1:5">
      <c r="A487" s="3" t="s">
        <v>508</v>
      </c>
      <c r="B487" s="3" t="s">
        <v>22</v>
      </c>
      <c r="C487" s="3">
        <v>335837</v>
      </c>
      <c r="D487" s="3">
        <v>104717</v>
      </c>
      <c r="E487" s="3" t="s">
        <v>23</v>
      </c>
    </row>
    <row r="488" spans="1:5">
      <c r="A488" s="3" t="s">
        <v>509</v>
      </c>
      <c r="B488" s="3" t="s">
        <v>22</v>
      </c>
      <c r="C488" s="3">
        <v>420907</v>
      </c>
      <c r="D488" s="3">
        <v>76713</v>
      </c>
      <c r="E488" s="3" t="s">
        <v>23</v>
      </c>
    </row>
    <row r="489" spans="1:5">
      <c r="A489" s="3" t="s">
        <v>510</v>
      </c>
      <c r="B489" s="3" t="s">
        <v>22</v>
      </c>
      <c r="C489" s="3">
        <v>382929</v>
      </c>
      <c r="D489" s="3">
        <v>100374</v>
      </c>
      <c r="E489" s="3" t="s">
        <v>23</v>
      </c>
    </row>
    <row r="490" spans="1:5">
      <c r="A490" s="3" t="s">
        <v>511</v>
      </c>
      <c r="B490" s="3" t="s">
        <v>22</v>
      </c>
      <c r="C490" s="3">
        <v>296369</v>
      </c>
      <c r="D490" s="3">
        <v>17065</v>
      </c>
      <c r="E490" s="3" t="s">
        <v>23</v>
      </c>
    </row>
    <row r="491" spans="1:5">
      <c r="A491" s="3" t="s">
        <v>512</v>
      </c>
      <c r="B491" s="3" t="s">
        <v>22</v>
      </c>
      <c r="C491" s="3">
        <v>488374</v>
      </c>
      <c r="D491" s="3">
        <v>111776</v>
      </c>
      <c r="E491" s="3" t="s">
        <v>23</v>
      </c>
    </row>
    <row r="492" spans="1:5">
      <c r="A492" s="3" t="s">
        <v>513</v>
      </c>
      <c r="B492" s="3" t="s">
        <v>22</v>
      </c>
      <c r="C492" s="3">
        <v>299294</v>
      </c>
      <c r="D492" s="3">
        <v>48542</v>
      </c>
      <c r="E492" s="3" t="s">
        <v>23</v>
      </c>
    </row>
    <row r="493" spans="1:5">
      <c r="A493" s="3" t="s">
        <v>514</v>
      </c>
      <c r="B493" s="3" t="s">
        <v>22</v>
      </c>
      <c r="C493" s="3">
        <v>423396</v>
      </c>
      <c r="D493" s="3">
        <v>58139</v>
      </c>
      <c r="E493" s="3" t="s">
        <v>23</v>
      </c>
    </row>
    <row r="494" spans="1:5">
      <c r="A494" s="3" t="s">
        <v>515</v>
      </c>
      <c r="B494" s="3" t="s">
        <v>22</v>
      </c>
      <c r="C494" s="3">
        <v>448380</v>
      </c>
      <c r="D494" s="3">
        <v>78894</v>
      </c>
      <c r="E494" s="3" t="s">
        <v>23</v>
      </c>
    </row>
    <row r="495" spans="1:5">
      <c r="A495" s="3" t="s">
        <v>516</v>
      </c>
      <c r="B495" s="3" t="s">
        <v>22</v>
      </c>
      <c r="C495" s="3">
        <v>328960</v>
      </c>
      <c r="D495" s="3">
        <v>85315</v>
      </c>
      <c r="E495" s="3" t="s">
        <v>23</v>
      </c>
    </row>
    <row r="496" spans="1:5">
      <c r="A496" s="3" t="s">
        <v>517</v>
      </c>
      <c r="B496" s="3" t="s">
        <v>22</v>
      </c>
      <c r="C496" s="3">
        <v>223861</v>
      </c>
      <c r="D496" s="3">
        <v>67558</v>
      </c>
      <c r="E496" s="3" t="s">
        <v>23</v>
      </c>
    </row>
    <row r="497" spans="1:5">
      <c r="A497" s="3" t="s">
        <v>518</v>
      </c>
      <c r="B497" s="3" t="s">
        <v>22</v>
      </c>
      <c r="C497" s="3">
        <v>365125</v>
      </c>
      <c r="D497" s="3">
        <v>4518</v>
      </c>
      <c r="E497" s="3" t="s">
        <v>23</v>
      </c>
    </row>
    <row r="498" spans="1:5">
      <c r="A498" s="3" t="s">
        <v>519</v>
      </c>
      <c r="B498" s="3" t="s">
        <v>22</v>
      </c>
      <c r="C498" s="3">
        <v>300829</v>
      </c>
      <c r="D498" s="3">
        <v>19656</v>
      </c>
      <c r="E498" s="3" t="s">
        <v>23</v>
      </c>
    </row>
    <row r="499" spans="1:5">
      <c r="A499" s="3" t="s">
        <v>520</v>
      </c>
      <c r="B499" s="3" t="s">
        <v>22</v>
      </c>
      <c r="C499" s="3">
        <v>542213</v>
      </c>
      <c r="D499" s="3">
        <v>33478</v>
      </c>
      <c r="E499" s="3" t="s">
        <v>23</v>
      </c>
    </row>
    <row r="500" spans="1:5">
      <c r="A500" s="3" t="s">
        <v>521</v>
      </c>
      <c r="B500" s="3" t="s">
        <v>22</v>
      </c>
      <c r="C500" s="3">
        <v>561338</v>
      </c>
      <c r="D500" s="3">
        <v>70230</v>
      </c>
      <c r="E500" s="3" t="s">
        <v>23</v>
      </c>
    </row>
    <row r="501" spans="1:5">
      <c r="A501" s="3" t="s">
        <v>522</v>
      </c>
      <c r="B501" s="3" t="s">
        <v>22</v>
      </c>
      <c r="C501" s="3">
        <v>291460</v>
      </c>
      <c r="D501" s="3">
        <v>18135</v>
      </c>
      <c r="E501" s="3" t="s">
        <v>23</v>
      </c>
    </row>
    <row r="502" spans="1:5">
      <c r="A502" s="3" t="s">
        <v>523</v>
      </c>
      <c r="B502" s="3" t="s">
        <v>22</v>
      </c>
      <c r="C502" s="3">
        <v>316084</v>
      </c>
      <c r="D502" s="3">
        <v>63973</v>
      </c>
      <c r="E502" s="3" t="s">
        <v>23</v>
      </c>
    </row>
    <row r="503" spans="1:5">
      <c r="A503" s="3" t="s">
        <v>524</v>
      </c>
      <c r="B503" s="3" t="s">
        <v>22</v>
      </c>
      <c r="C503" s="3">
        <v>444456</v>
      </c>
      <c r="D503" s="3">
        <v>72805</v>
      </c>
      <c r="E503" s="3" t="s">
        <v>23</v>
      </c>
    </row>
    <row r="504" spans="1:5">
      <c r="A504" s="3" t="s">
        <v>525</v>
      </c>
      <c r="B504" s="3" t="s">
        <v>22</v>
      </c>
      <c r="C504" s="3">
        <v>354597</v>
      </c>
      <c r="D504" s="3">
        <v>23690</v>
      </c>
      <c r="E504" s="3" t="s">
        <v>23</v>
      </c>
    </row>
    <row r="505" spans="1:5">
      <c r="A505" s="3" t="s">
        <v>526</v>
      </c>
      <c r="B505" s="3" t="s">
        <v>22</v>
      </c>
      <c r="C505" s="3">
        <v>456255</v>
      </c>
      <c r="D505" s="3">
        <v>88284</v>
      </c>
      <c r="E505" s="3" t="s">
        <v>23</v>
      </c>
    </row>
    <row r="506" spans="1:5">
      <c r="A506" s="3" t="s">
        <v>527</v>
      </c>
      <c r="B506" s="3" t="s">
        <v>22</v>
      </c>
      <c r="C506" s="3">
        <v>412934</v>
      </c>
      <c r="D506" s="3">
        <v>17412</v>
      </c>
      <c r="E506" s="3" t="s">
        <v>23</v>
      </c>
    </row>
    <row r="507" spans="1:5">
      <c r="A507" s="3" t="s">
        <v>528</v>
      </c>
      <c r="B507" s="3" t="s">
        <v>22</v>
      </c>
      <c r="C507" s="3">
        <v>386790</v>
      </c>
      <c r="D507" s="3">
        <v>51709</v>
      </c>
      <c r="E507" s="3" t="s">
        <v>23</v>
      </c>
    </row>
    <row r="508" spans="1:5">
      <c r="A508" s="3" t="s">
        <v>529</v>
      </c>
      <c r="B508" s="3" t="s">
        <v>22</v>
      </c>
      <c r="C508" s="3">
        <v>454745</v>
      </c>
      <c r="D508" s="3">
        <v>40906</v>
      </c>
      <c r="E508" s="3" t="s">
        <v>23</v>
      </c>
    </row>
    <row r="509" spans="1:5">
      <c r="A509" s="3" t="s">
        <v>530</v>
      </c>
      <c r="B509" s="3" t="s">
        <v>22</v>
      </c>
      <c r="C509" s="3">
        <v>332243</v>
      </c>
      <c r="D509" s="3">
        <v>49731</v>
      </c>
      <c r="E509" s="3" t="s">
        <v>23</v>
      </c>
    </row>
    <row r="510" spans="1:5">
      <c r="A510" s="3" t="s">
        <v>531</v>
      </c>
      <c r="B510" s="3" t="s">
        <v>22</v>
      </c>
      <c r="C510" s="3">
        <v>279263</v>
      </c>
      <c r="D510" s="3">
        <v>31685</v>
      </c>
      <c r="E510" s="3" t="s">
        <v>23</v>
      </c>
    </row>
    <row r="511" spans="1:5">
      <c r="A511" s="3" t="s">
        <v>532</v>
      </c>
      <c r="B511" s="3" t="s">
        <v>22</v>
      </c>
      <c r="C511" s="3">
        <v>248963</v>
      </c>
      <c r="D511" s="3">
        <v>58919</v>
      </c>
      <c r="E511" s="3" t="s">
        <v>23</v>
      </c>
    </row>
    <row r="512" spans="1:5">
      <c r="A512" s="3" t="s">
        <v>533</v>
      </c>
      <c r="B512" s="3" t="s">
        <v>22</v>
      </c>
      <c r="C512" s="3">
        <v>361846</v>
      </c>
      <c r="D512" s="3">
        <v>44743</v>
      </c>
      <c r="E512" s="3" t="s">
        <v>23</v>
      </c>
    </row>
    <row r="513" spans="1:5">
      <c r="A513" s="3" t="s">
        <v>534</v>
      </c>
      <c r="B513" s="3" t="s">
        <v>22</v>
      </c>
      <c r="C513" s="3">
        <v>435466</v>
      </c>
      <c r="D513" s="3">
        <v>17591</v>
      </c>
      <c r="E513" s="3" t="s">
        <v>23</v>
      </c>
    </row>
    <row r="514" spans="1:5">
      <c r="A514" s="3" t="s">
        <v>535</v>
      </c>
      <c r="B514" s="3" t="s">
        <v>22</v>
      </c>
      <c r="C514" s="3">
        <v>321136</v>
      </c>
      <c r="D514" s="3">
        <v>1576</v>
      </c>
      <c r="E514" s="3" t="s">
        <v>23</v>
      </c>
    </row>
    <row r="515" spans="1:5">
      <c r="A515" s="3" t="s">
        <v>536</v>
      </c>
      <c r="B515" s="3" t="s">
        <v>22</v>
      </c>
      <c r="C515" s="3">
        <v>624485</v>
      </c>
      <c r="D515" s="3">
        <v>93685</v>
      </c>
      <c r="E515" s="3" t="s">
        <v>23</v>
      </c>
    </row>
    <row r="516" spans="1:5">
      <c r="A516" s="3" t="s">
        <v>537</v>
      </c>
      <c r="B516" s="3" t="s">
        <v>22</v>
      </c>
      <c r="C516" s="3">
        <v>463591</v>
      </c>
      <c r="D516" s="3">
        <v>83195</v>
      </c>
      <c r="E516" s="3" t="s">
        <v>23</v>
      </c>
    </row>
    <row r="517" spans="1:5">
      <c r="A517" s="3" t="s">
        <v>538</v>
      </c>
      <c r="B517" s="3" t="s">
        <v>22</v>
      </c>
      <c r="C517" s="3">
        <v>359147</v>
      </c>
      <c r="D517" s="3">
        <v>73706</v>
      </c>
      <c r="E517" s="3" t="s">
        <v>23</v>
      </c>
    </row>
    <row r="518" spans="1:5">
      <c r="A518" s="3" t="s">
        <v>539</v>
      </c>
      <c r="B518" s="3" t="s">
        <v>22</v>
      </c>
      <c r="C518" s="3">
        <v>368513</v>
      </c>
      <c r="D518" s="3">
        <v>80099</v>
      </c>
      <c r="E518" s="3" t="s">
        <v>23</v>
      </c>
    </row>
    <row r="519" spans="1:5">
      <c r="A519" s="3" t="s">
        <v>540</v>
      </c>
      <c r="B519" s="3" t="s">
        <v>22</v>
      </c>
      <c r="C519" s="3">
        <v>441325</v>
      </c>
      <c r="D519" s="3">
        <v>66211</v>
      </c>
      <c r="E519" s="3" t="s">
        <v>23</v>
      </c>
    </row>
    <row r="520" spans="1:5">
      <c r="A520" s="3" t="s">
        <v>541</v>
      </c>
      <c r="B520" s="3" t="s">
        <v>22</v>
      </c>
      <c r="C520" s="3">
        <v>375319</v>
      </c>
      <c r="D520" s="3">
        <v>35809</v>
      </c>
      <c r="E520" s="3" t="s">
        <v>23</v>
      </c>
    </row>
    <row r="521" spans="1:5">
      <c r="A521" s="3" t="s">
        <v>542</v>
      </c>
      <c r="B521" s="3" t="s">
        <v>22</v>
      </c>
      <c r="C521" s="3">
        <v>375202</v>
      </c>
      <c r="D521" s="3">
        <v>74195</v>
      </c>
      <c r="E521" s="3" t="s">
        <v>23</v>
      </c>
    </row>
    <row r="522" spans="1:5">
      <c r="A522" s="3" t="s">
        <v>543</v>
      </c>
      <c r="B522" s="3" t="s">
        <v>22</v>
      </c>
      <c r="C522" s="3">
        <v>403240</v>
      </c>
      <c r="D522" s="3">
        <v>15045</v>
      </c>
      <c r="E522" s="3" t="s">
        <v>23</v>
      </c>
    </row>
    <row r="523" spans="1:5">
      <c r="A523" s="3" t="s">
        <v>544</v>
      </c>
      <c r="B523" s="3" t="s">
        <v>22</v>
      </c>
      <c r="C523" s="3">
        <v>383120</v>
      </c>
      <c r="D523" s="3">
        <v>74330</v>
      </c>
      <c r="E523" s="3" t="s">
        <v>23</v>
      </c>
    </row>
    <row r="524" spans="1:5">
      <c r="A524" s="3" t="s">
        <v>545</v>
      </c>
      <c r="B524" s="3" t="s">
        <v>22</v>
      </c>
      <c r="C524" s="3">
        <v>339258</v>
      </c>
      <c r="D524" s="3">
        <v>76031</v>
      </c>
      <c r="E524" s="3" t="s">
        <v>23</v>
      </c>
    </row>
    <row r="525" spans="1:5">
      <c r="A525" s="3" t="s">
        <v>546</v>
      </c>
      <c r="B525" s="3" t="s">
        <v>22</v>
      </c>
      <c r="C525" s="3">
        <v>354464</v>
      </c>
      <c r="D525" s="3">
        <v>16044</v>
      </c>
      <c r="E525" s="3" t="s">
        <v>23</v>
      </c>
    </row>
    <row r="526" spans="1:5">
      <c r="A526" s="3" t="s">
        <v>547</v>
      </c>
      <c r="B526" s="3" t="s">
        <v>22</v>
      </c>
      <c r="C526" s="3">
        <v>325488</v>
      </c>
      <c r="D526" s="3">
        <v>14623</v>
      </c>
      <c r="E526" s="3" t="s">
        <v>23</v>
      </c>
    </row>
    <row r="527" spans="1:5">
      <c r="A527" s="3" t="s">
        <v>548</v>
      </c>
      <c r="B527" s="3" t="s">
        <v>22</v>
      </c>
      <c r="C527" s="3">
        <v>480247</v>
      </c>
      <c r="D527" s="3">
        <v>125612</v>
      </c>
      <c r="E527" s="3" t="s">
        <v>23</v>
      </c>
    </row>
    <row r="528" spans="1:5">
      <c r="A528" s="3" t="s">
        <v>549</v>
      </c>
      <c r="B528" s="3" t="s">
        <v>22</v>
      </c>
      <c r="C528" s="3">
        <v>488153</v>
      </c>
      <c r="D528" s="3">
        <v>53737</v>
      </c>
      <c r="E528" s="3" t="s">
        <v>23</v>
      </c>
    </row>
    <row r="529" spans="1:5">
      <c r="A529" s="3" t="s">
        <v>550</v>
      </c>
      <c r="B529" s="3" t="s">
        <v>22</v>
      </c>
      <c r="C529" s="3">
        <v>329482</v>
      </c>
      <c r="D529" s="3">
        <v>44969</v>
      </c>
      <c r="E529" s="3" t="s">
        <v>23</v>
      </c>
    </row>
    <row r="530" spans="1:5">
      <c r="A530" s="3" t="s">
        <v>551</v>
      </c>
      <c r="B530" s="3" t="s">
        <v>22</v>
      </c>
      <c r="C530" s="3">
        <v>502163</v>
      </c>
      <c r="D530" s="3">
        <v>11252</v>
      </c>
      <c r="E530" s="3" t="s">
        <v>23</v>
      </c>
    </row>
    <row r="531" spans="1:5">
      <c r="A531" s="3" t="s">
        <v>552</v>
      </c>
      <c r="B531" s="3" t="s">
        <v>22</v>
      </c>
      <c r="C531" s="3">
        <v>493541</v>
      </c>
      <c r="D531" s="3">
        <v>26110</v>
      </c>
      <c r="E531" s="3" t="s">
        <v>23</v>
      </c>
    </row>
    <row r="532" spans="1:5">
      <c r="A532" s="3" t="s">
        <v>553</v>
      </c>
      <c r="B532" s="3" t="s">
        <v>22</v>
      </c>
      <c r="C532" s="3">
        <v>377708</v>
      </c>
      <c r="D532" s="3">
        <v>33470</v>
      </c>
      <c r="E532" s="3" t="s">
        <v>23</v>
      </c>
    </row>
    <row r="533" spans="1:5">
      <c r="A533" s="3" t="s">
        <v>554</v>
      </c>
      <c r="B533" s="3" t="s">
        <v>22</v>
      </c>
      <c r="C533" s="3">
        <v>266199</v>
      </c>
      <c r="D533" s="3">
        <v>15402</v>
      </c>
      <c r="E533" s="3" t="s">
        <v>23</v>
      </c>
    </row>
    <row r="534" spans="1:5">
      <c r="A534" s="3" t="s">
        <v>555</v>
      </c>
      <c r="B534" s="3" t="s">
        <v>22</v>
      </c>
      <c r="C534" s="3">
        <v>466575</v>
      </c>
      <c r="D534" s="3">
        <v>75836</v>
      </c>
      <c r="E534" s="3" t="s">
        <v>23</v>
      </c>
    </row>
    <row r="535" spans="1:5">
      <c r="A535" s="3" t="s">
        <v>556</v>
      </c>
      <c r="B535" s="3" t="s">
        <v>22</v>
      </c>
      <c r="C535" s="3">
        <v>353472</v>
      </c>
      <c r="D535" s="3">
        <v>11522</v>
      </c>
      <c r="E535" s="3" t="s">
        <v>23</v>
      </c>
    </row>
    <row r="536" spans="1:5">
      <c r="A536" s="3" t="s">
        <v>557</v>
      </c>
      <c r="B536" s="3" t="s">
        <v>22</v>
      </c>
      <c r="C536" s="3">
        <v>245449</v>
      </c>
      <c r="D536" s="3">
        <v>35444</v>
      </c>
      <c r="E536" s="3" t="s">
        <v>23</v>
      </c>
    </row>
    <row r="537" spans="1:5">
      <c r="A537" s="3" t="s">
        <v>558</v>
      </c>
      <c r="B537" s="3" t="s">
        <v>22</v>
      </c>
      <c r="C537" s="3">
        <v>539886</v>
      </c>
      <c r="D537" s="3">
        <v>66219</v>
      </c>
      <c r="E537" s="3" t="s">
        <v>23</v>
      </c>
    </row>
    <row r="538" spans="1:5">
      <c r="A538" s="3" t="s">
        <v>559</v>
      </c>
      <c r="B538" s="3" t="s">
        <v>22</v>
      </c>
      <c r="C538" s="3">
        <v>440296</v>
      </c>
      <c r="D538" s="3">
        <v>60250</v>
      </c>
      <c r="E538" s="3" t="s">
        <v>23</v>
      </c>
    </row>
    <row r="539" spans="1:5">
      <c r="A539" s="3" t="s">
        <v>560</v>
      </c>
      <c r="B539" s="3" t="s">
        <v>22</v>
      </c>
      <c r="C539" s="3">
        <v>389811</v>
      </c>
      <c r="D539" s="3">
        <v>65241</v>
      </c>
      <c r="E539" s="3" t="s">
        <v>23</v>
      </c>
    </row>
    <row r="540" spans="1:5">
      <c r="A540" s="3" t="s">
        <v>561</v>
      </c>
      <c r="B540" s="3" t="s">
        <v>22</v>
      </c>
      <c r="C540" s="3">
        <v>425957</v>
      </c>
      <c r="D540" s="3">
        <v>85739</v>
      </c>
      <c r="E540" s="3" t="s">
        <v>23</v>
      </c>
    </row>
    <row r="541" spans="1:5">
      <c r="A541" s="3" t="s">
        <v>562</v>
      </c>
      <c r="B541" s="3" t="s">
        <v>22</v>
      </c>
      <c r="C541" s="3">
        <v>416267</v>
      </c>
      <c r="D541" s="3">
        <v>70148</v>
      </c>
      <c r="E541" s="3" t="s">
        <v>23</v>
      </c>
    </row>
    <row r="542" spans="1:5">
      <c r="A542" s="3" t="s">
        <v>563</v>
      </c>
      <c r="B542" s="3" t="s">
        <v>22</v>
      </c>
      <c r="C542" s="3">
        <v>231402</v>
      </c>
      <c r="D542" s="3">
        <v>70482</v>
      </c>
      <c r="E542" s="3" t="s">
        <v>23</v>
      </c>
    </row>
    <row r="543" spans="1:5">
      <c r="A543" s="3" t="s">
        <v>564</v>
      </c>
      <c r="B543" s="3" t="s">
        <v>22</v>
      </c>
      <c r="C543" s="3">
        <v>389894</v>
      </c>
      <c r="D543" s="3">
        <v>30040</v>
      </c>
      <c r="E543" s="3" t="s">
        <v>23</v>
      </c>
    </row>
    <row r="544" spans="1:5">
      <c r="A544" s="3" t="s">
        <v>565</v>
      </c>
      <c r="B544" s="3" t="s">
        <v>22</v>
      </c>
      <c r="C544" s="3">
        <v>431033</v>
      </c>
      <c r="D544" s="3">
        <v>10308</v>
      </c>
      <c r="E544" s="3" t="s">
        <v>23</v>
      </c>
    </row>
    <row r="545" spans="1:5">
      <c r="A545" s="3" t="s">
        <v>566</v>
      </c>
      <c r="B545" s="3" t="s">
        <v>22</v>
      </c>
      <c r="C545" s="3">
        <v>441625</v>
      </c>
      <c r="D545" s="3">
        <v>33875</v>
      </c>
      <c r="E545" s="3" t="s">
        <v>23</v>
      </c>
    </row>
    <row r="546" spans="1:5">
      <c r="A546" s="3" t="s">
        <v>567</v>
      </c>
      <c r="B546" s="3" t="s">
        <v>22</v>
      </c>
      <c r="C546" s="3">
        <v>607167</v>
      </c>
      <c r="D546" s="3">
        <v>100194</v>
      </c>
      <c r="E546" s="3" t="s">
        <v>23</v>
      </c>
    </row>
    <row r="547" spans="1:5">
      <c r="A547" s="3" t="s">
        <v>568</v>
      </c>
      <c r="B547" s="3" t="s">
        <v>22</v>
      </c>
      <c r="C547" s="3">
        <v>435269</v>
      </c>
      <c r="D547" s="3">
        <v>49777</v>
      </c>
      <c r="E547" s="3" t="s">
        <v>23</v>
      </c>
    </row>
    <row r="548" spans="1:5">
      <c r="A548" s="3" t="s">
        <v>569</v>
      </c>
      <c r="B548" s="3" t="s">
        <v>22</v>
      </c>
      <c r="C548" s="3">
        <v>299030</v>
      </c>
      <c r="D548" s="3">
        <v>57827</v>
      </c>
      <c r="E548" s="3" t="s">
        <v>23</v>
      </c>
    </row>
    <row r="549" spans="1:5">
      <c r="A549" s="3" t="s">
        <v>570</v>
      </c>
      <c r="B549" s="3" t="s">
        <v>22</v>
      </c>
      <c r="C549" s="3">
        <v>399688</v>
      </c>
      <c r="D549" s="3">
        <v>81391</v>
      </c>
      <c r="E549" s="3" t="s">
        <v>23</v>
      </c>
    </row>
    <row r="550" spans="1:5">
      <c r="A550" s="3" t="s">
        <v>571</v>
      </c>
      <c r="B550" s="3" t="s">
        <v>22</v>
      </c>
      <c r="C550" s="3">
        <v>389142</v>
      </c>
      <c r="D550" s="3">
        <v>13064</v>
      </c>
      <c r="E550" s="3" t="s">
        <v>23</v>
      </c>
    </row>
    <row r="551" spans="1:5">
      <c r="A551" s="3" t="s">
        <v>572</v>
      </c>
      <c r="B551" s="3" t="s">
        <v>22</v>
      </c>
      <c r="C551" s="3">
        <v>458821</v>
      </c>
      <c r="D551" s="3">
        <v>53971</v>
      </c>
      <c r="E551" s="3" t="s">
        <v>23</v>
      </c>
    </row>
    <row r="552" spans="1:5">
      <c r="A552" s="3" t="s">
        <v>573</v>
      </c>
      <c r="B552" s="3" t="s">
        <v>22</v>
      </c>
      <c r="C552" s="3">
        <v>296673</v>
      </c>
      <c r="D552" s="3">
        <v>69255</v>
      </c>
      <c r="E552" s="3" t="s">
        <v>23</v>
      </c>
    </row>
    <row r="553" spans="1:5">
      <c r="A553" s="3" t="s">
        <v>574</v>
      </c>
      <c r="B553" s="3" t="s">
        <v>22</v>
      </c>
      <c r="C553" s="3">
        <v>260509</v>
      </c>
      <c r="D553" s="3">
        <v>16639</v>
      </c>
      <c r="E553" s="3" t="s">
        <v>23</v>
      </c>
    </row>
    <row r="554" spans="1:5">
      <c r="A554" s="3" t="s">
        <v>575</v>
      </c>
      <c r="B554" s="3" t="s">
        <v>22</v>
      </c>
      <c r="C554" s="3">
        <v>487763</v>
      </c>
      <c r="D554" s="3">
        <v>122951</v>
      </c>
      <c r="E554" s="3" t="s">
        <v>23</v>
      </c>
    </row>
    <row r="555" spans="1:5">
      <c r="A555" s="3" t="s">
        <v>576</v>
      </c>
      <c r="B555" s="3" t="s">
        <v>22</v>
      </c>
      <c r="C555" s="3">
        <v>405176</v>
      </c>
      <c r="D555" s="3">
        <v>76692</v>
      </c>
      <c r="E555" s="3" t="s">
        <v>23</v>
      </c>
    </row>
    <row r="556" spans="1:5">
      <c r="A556" s="3" t="s">
        <v>577</v>
      </c>
      <c r="B556" s="3" t="s">
        <v>22</v>
      </c>
      <c r="C556" s="3">
        <v>407005</v>
      </c>
      <c r="D556" s="3">
        <v>25530</v>
      </c>
      <c r="E556" s="3" t="s">
        <v>23</v>
      </c>
    </row>
    <row r="557" spans="1:5">
      <c r="A557" s="3" t="s">
        <v>578</v>
      </c>
      <c r="B557" s="3" t="s">
        <v>22</v>
      </c>
      <c r="C557" s="3">
        <v>327019</v>
      </c>
      <c r="D557" s="3">
        <v>14472</v>
      </c>
      <c r="E557" s="3" t="s">
        <v>23</v>
      </c>
    </row>
    <row r="558" spans="1:5">
      <c r="A558" s="3" t="s">
        <v>579</v>
      </c>
      <c r="B558" s="3" t="s">
        <v>22</v>
      </c>
      <c r="C558" s="3">
        <v>494442</v>
      </c>
      <c r="D558" s="3">
        <v>128872</v>
      </c>
      <c r="E558" s="3" t="s">
        <v>23</v>
      </c>
    </row>
    <row r="559" spans="1:5">
      <c r="A559" s="3" t="s">
        <v>580</v>
      </c>
      <c r="B559" s="3" t="s">
        <v>22</v>
      </c>
      <c r="C559" s="3">
        <v>285434</v>
      </c>
      <c r="D559" s="3">
        <v>9729</v>
      </c>
      <c r="E559" s="3" t="s">
        <v>23</v>
      </c>
    </row>
    <row r="560" spans="1:5">
      <c r="A560" s="3" t="s">
        <v>581</v>
      </c>
      <c r="B560" s="3" t="s">
        <v>22</v>
      </c>
      <c r="C560" s="3">
        <v>449485</v>
      </c>
      <c r="D560" s="3">
        <v>9906</v>
      </c>
      <c r="E560" s="3" t="s">
        <v>23</v>
      </c>
    </row>
    <row r="561" spans="1:5">
      <c r="A561" s="3" t="s">
        <v>582</v>
      </c>
      <c r="B561" s="3" t="s">
        <v>22</v>
      </c>
      <c r="C561" s="3">
        <v>831153</v>
      </c>
      <c r="D561" s="3">
        <v>247504</v>
      </c>
      <c r="E561" s="3" t="s">
        <v>23</v>
      </c>
    </row>
    <row r="562" spans="1:5">
      <c r="A562" s="3" t="s">
        <v>583</v>
      </c>
      <c r="B562" s="3" t="s">
        <v>22</v>
      </c>
      <c r="C562" s="3">
        <v>452257</v>
      </c>
      <c r="D562" s="3">
        <v>125145</v>
      </c>
      <c r="E562" s="3" t="s">
        <v>23</v>
      </c>
    </row>
    <row r="563" spans="1:5">
      <c r="A563" s="3" t="s">
        <v>584</v>
      </c>
      <c r="B563" s="3" t="s">
        <v>22</v>
      </c>
      <c r="C563" s="3">
        <v>644842</v>
      </c>
      <c r="D563" s="3">
        <v>16057</v>
      </c>
      <c r="E563" s="3" t="s">
        <v>23</v>
      </c>
    </row>
    <row r="564" spans="1:5">
      <c r="A564" s="3" t="s">
        <v>585</v>
      </c>
      <c r="B564" s="3" t="s">
        <v>22</v>
      </c>
      <c r="C564" s="3">
        <v>539280</v>
      </c>
      <c r="D564" s="3">
        <v>3700</v>
      </c>
      <c r="E564" s="3" t="s">
        <v>23</v>
      </c>
    </row>
    <row r="565" spans="1:5">
      <c r="A565" s="3" t="s">
        <v>586</v>
      </c>
      <c r="B565" s="3" t="s">
        <v>22</v>
      </c>
      <c r="C565" s="3">
        <v>474052</v>
      </c>
      <c r="D565" s="3">
        <v>60725</v>
      </c>
      <c r="E565" s="3" t="s">
        <v>23</v>
      </c>
    </row>
    <row r="566" spans="1:5">
      <c r="A566" s="3" t="s">
        <v>587</v>
      </c>
      <c r="B566" s="3" t="s">
        <v>22</v>
      </c>
      <c r="C566" s="3">
        <v>596796</v>
      </c>
      <c r="D566" s="3">
        <v>167830</v>
      </c>
      <c r="E566" s="3" t="s">
        <v>23</v>
      </c>
    </row>
    <row r="567" spans="1:5">
      <c r="A567" s="3" t="s">
        <v>588</v>
      </c>
      <c r="B567" s="3" t="s">
        <v>22</v>
      </c>
      <c r="C567" s="3">
        <v>405707</v>
      </c>
      <c r="D567" s="3">
        <v>14367</v>
      </c>
      <c r="E567" s="3" t="s">
        <v>23</v>
      </c>
    </row>
    <row r="568" spans="1:5">
      <c r="A568" s="3" t="s">
        <v>589</v>
      </c>
      <c r="B568" s="3" t="s">
        <v>22</v>
      </c>
      <c r="C568" s="3">
        <v>336039</v>
      </c>
      <c r="D568" s="3">
        <v>5781</v>
      </c>
      <c r="E568" s="3" t="s">
        <v>23</v>
      </c>
    </row>
    <row r="569" spans="1:5">
      <c r="A569" s="3" t="s">
        <v>590</v>
      </c>
      <c r="B569" s="3" t="s">
        <v>22</v>
      </c>
      <c r="C569" s="3">
        <v>180494</v>
      </c>
      <c r="D569" s="3">
        <v>57277</v>
      </c>
      <c r="E569" s="3" t="s">
        <v>23</v>
      </c>
    </row>
    <row r="570" spans="1:5">
      <c r="A570" s="3" t="s">
        <v>591</v>
      </c>
      <c r="B570" s="3" t="s">
        <v>22</v>
      </c>
      <c r="C570" s="3">
        <v>787536</v>
      </c>
      <c r="D570" s="3">
        <v>220300</v>
      </c>
      <c r="E570" s="3" t="s">
        <v>23</v>
      </c>
    </row>
    <row r="571" spans="1:5">
      <c r="A571" s="3" t="s">
        <v>592</v>
      </c>
      <c r="B571" s="3" t="s">
        <v>22</v>
      </c>
      <c r="C571" s="3">
        <v>244375</v>
      </c>
      <c r="D571" s="3">
        <v>66534</v>
      </c>
      <c r="E571" s="3" t="s">
        <v>23</v>
      </c>
    </row>
    <row r="572" spans="1:5">
      <c r="A572" s="3" t="s">
        <v>593</v>
      </c>
      <c r="B572" s="3" t="s">
        <v>22</v>
      </c>
      <c r="C572" s="3">
        <v>528000</v>
      </c>
      <c r="D572" s="3">
        <v>94912</v>
      </c>
      <c r="E572" s="3" t="s">
        <v>23</v>
      </c>
    </row>
    <row r="573" spans="1:5">
      <c r="A573" s="3" t="s">
        <v>594</v>
      </c>
      <c r="B573" s="3" t="s">
        <v>22</v>
      </c>
      <c r="C573" s="3">
        <v>256478</v>
      </c>
      <c r="D573" s="3">
        <v>64082</v>
      </c>
      <c r="E573" s="3" t="s">
        <v>23</v>
      </c>
    </row>
    <row r="574" spans="1:5">
      <c r="A574" s="3" t="s">
        <v>595</v>
      </c>
      <c r="B574" s="3" t="s">
        <v>22</v>
      </c>
      <c r="C574" s="3">
        <v>331359</v>
      </c>
      <c r="D574" s="3">
        <v>573</v>
      </c>
      <c r="E574" s="3" t="s">
        <v>23</v>
      </c>
    </row>
    <row r="575" spans="1:5">
      <c r="A575" s="3" t="s">
        <v>596</v>
      </c>
      <c r="B575" s="3" t="s">
        <v>22</v>
      </c>
      <c r="C575" s="3">
        <v>645191</v>
      </c>
      <c r="D575" s="3">
        <v>29549</v>
      </c>
      <c r="E575" s="3" t="s">
        <v>23</v>
      </c>
    </row>
    <row r="576" spans="1:5">
      <c r="A576" s="3" t="s">
        <v>597</v>
      </c>
      <c r="B576" s="3" t="s">
        <v>22</v>
      </c>
      <c r="C576" s="3">
        <v>266112</v>
      </c>
      <c r="D576" s="3">
        <v>74369</v>
      </c>
      <c r="E576" s="3" t="s">
        <v>23</v>
      </c>
    </row>
    <row r="577" spans="1:5">
      <c r="A577" s="3" t="s">
        <v>598</v>
      </c>
      <c r="B577" s="3" t="s">
        <v>22</v>
      </c>
      <c r="C577" s="3">
        <v>3620</v>
      </c>
      <c r="D577" s="3">
        <v>1441</v>
      </c>
      <c r="E577" s="3" t="s">
        <v>23</v>
      </c>
    </row>
    <row r="578" spans="1:5">
      <c r="A578" s="3" t="s">
        <v>599</v>
      </c>
      <c r="B578" s="3" t="s">
        <v>22</v>
      </c>
      <c r="C578" s="3">
        <v>590390</v>
      </c>
      <c r="D578" s="3">
        <v>185429</v>
      </c>
      <c r="E578" s="3" t="s">
        <v>23</v>
      </c>
    </row>
    <row r="579" spans="1:5">
      <c r="A579" s="3" t="s">
        <v>600</v>
      </c>
      <c r="B579" s="3" t="s">
        <v>22</v>
      </c>
      <c r="C579" s="3">
        <v>361883</v>
      </c>
      <c r="D579" s="3">
        <v>6065</v>
      </c>
      <c r="E579" s="3" t="s">
        <v>23</v>
      </c>
    </row>
    <row r="580" spans="1:5">
      <c r="A580" s="3" t="s">
        <v>601</v>
      </c>
      <c r="B580" s="3" t="s">
        <v>22</v>
      </c>
      <c r="C580" s="3">
        <v>379414</v>
      </c>
      <c r="D580" s="3">
        <v>112231</v>
      </c>
      <c r="E580" s="3" t="s">
        <v>23</v>
      </c>
    </row>
    <row r="581" spans="1:5">
      <c r="A581" s="3" t="s">
        <v>602</v>
      </c>
      <c r="B581" s="3" t="s">
        <v>22</v>
      </c>
      <c r="C581" s="3">
        <v>527337</v>
      </c>
      <c r="D581" s="3">
        <v>96048</v>
      </c>
      <c r="E581" s="3" t="s">
        <v>23</v>
      </c>
    </row>
    <row r="582" spans="1:5">
      <c r="A582" s="3" t="s">
        <v>603</v>
      </c>
      <c r="B582" s="3" t="s">
        <v>22</v>
      </c>
      <c r="C582" s="3">
        <v>474174</v>
      </c>
      <c r="D582" s="3">
        <v>117455</v>
      </c>
      <c r="E582" s="3" t="s">
        <v>23</v>
      </c>
    </row>
    <row r="583" spans="1:5">
      <c r="A583" s="3" t="s">
        <v>604</v>
      </c>
      <c r="B583" s="3" t="s">
        <v>22</v>
      </c>
      <c r="C583" s="3">
        <v>166651</v>
      </c>
      <c r="D583" s="3">
        <v>6883</v>
      </c>
      <c r="E583" s="3" t="s">
        <v>23</v>
      </c>
    </row>
    <row r="584" spans="1:5">
      <c r="A584" s="3" t="s">
        <v>605</v>
      </c>
      <c r="B584" s="3" t="s">
        <v>22</v>
      </c>
      <c r="C584" s="3">
        <v>661840</v>
      </c>
      <c r="D584" s="3">
        <v>126900</v>
      </c>
      <c r="E584" s="3" t="s">
        <v>23</v>
      </c>
    </row>
    <row r="585" spans="1:5">
      <c r="A585" s="3" t="s">
        <v>606</v>
      </c>
      <c r="B585" s="3" t="s">
        <v>22</v>
      </c>
      <c r="C585" s="3">
        <v>556078</v>
      </c>
      <c r="D585" s="3">
        <v>16552</v>
      </c>
      <c r="E585" s="3" t="s">
        <v>23</v>
      </c>
    </row>
    <row r="586" spans="1:5">
      <c r="A586" s="3" t="s">
        <v>607</v>
      </c>
      <c r="B586" s="3" t="s">
        <v>22</v>
      </c>
      <c r="C586" s="3">
        <v>145998</v>
      </c>
      <c r="D586" s="3">
        <v>34066</v>
      </c>
      <c r="E586" s="3" t="s">
        <v>23</v>
      </c>
    </row>
    <row r="587" spans="1:5">
      <c r="A587" s="3" t="s">
        <v>608</v>
      </c>
      <c r="B587" s="3" t="s">
        <v>22</v>
      </c>
      <c r="C587" s="3">
        <v>539255</v>
      </c>
      <c r="D587" s="3">
        <v>112069</v>
      </c>
      <c r="E587" s="3" t="s">
        <v>23</v>
      </c>
    </row>
    <row r="588" spans="1:5">
      <c r="A588" s="3" t="s">
        <v>609</v>
      </c>
      <c r="B588" s="3" t="s">
        <v>22</v>
      </c>
      <c r="C588" s="3">
        <v>397369</v>
      </c>
      <c r="D588" s="3">
        <v>64780</v>
      </c>
      <c r="E588" s="3" t="s">
        <v>23</v>
      </c>
    </row>
    <row r="589" spans="1:5">
      <c r="A589" s="3" t="s">
        <v>610</v>
      </c>
      <c r="B589" s="3" t="s">
        <v>22</v>
      </c>
      <c r="C589" s="3">
        <v>368566</v>
      </c>
      <c r="D589" s="3">
        <v>101577</v>
      </c>
      <c r="E589" s="3" t="s">
        <v>23</v>
      </c>
    </row>
    <row r="590" spans="1:5">
      <c r="A590" s="3" t="s">
        <v>611</v>
      </c>
      <c r="B590" s="3" t="s">
        <v>22</v>
      </c>
      <c r="C590" s="3">
        <v>444510</v>
      </c>
      <c r="D590" s="3">
        <v>7564</v>
      </c>
      <c r="E590" s="3" t="s">
        <v>23</v>
      </c>
    </row>
    <row r="591" spans="1:5">
      <c r="A591" s="3" t="s">
        <v>612</v>
      </c>
      <c r="B591" s="3" t="s">
        <v>22</v>
      </c>
      <c r="C591" s="3">
        <v>465095</v>
      </c>
      <c r="D591" s="3">
        <v>40598</v>
      </c>
      <c r="E591" s="3" t="s">
        <v>23</v>
      </c>
    </row>
    <row r="592" spans="1:5">
      <c r="A592" s="3" t="s">
        <v>613</v>
      </c>
      <c r="B592" s="3" t="s">
        <v>22</v>
      </c>
      <c r="C592" s="3">
        <v>612292</v>
      </c>
      <c r="D592" s="3">
        <v>23729</v>
      </c>
      <c r="E592" s="3" t="s">
        <v>23</v>
      </c>
    </row>
    <row r="593" spans="1:5">
      <c r="A593" s="3" t="s">
        <v>614</v>
      </c>
      <c r="B593" s="3" t="s">
        <v>22</v>
      </c>
      <c r="C593" s="3">
        <v>5804</v>
      </c>
      <c r="D593" s="3">
        <v>1710</v>
      </c>
      <c r="E593" s="3" t="s">
        <v>23</v>
      </c>
    </row>
    <row r="594" spans="1:5">
      <c r="A594" s="3" t="s">
        <v>615</v>
      </c>
      <c r="B594" s="3" t="s">
        <v>22</v>
      </c>
      <c r="C594" s="3">
        <v>588735</v>
      </c>
      <c r="D594" s="3">
        <v>35558</v>
      </c>
      <c r="E594" s="3" t="s">
        <v>23</v>
      </c>
    </row>
    <row r="595" spans="1:5">
      <c r="A595" s="3" t="s">
        <v>616</v>
      </c>
      <c r="B595" s="3" t="s">
        <v>22</v>
      </c>
      <c r="C595" s="3">
        <v>411959</v>
      </c>
      <c r="D595" s="3">
        <v>66386</v>
      </c>
      <c r="E595" s="3" t="s">
        <v>23</v>
      </c>
    </row>
    <row r="596" spans="1:5">
      <c r="A596" s="3" t="s">
        <v>617</v>
      </c>
      <c r="B596" s="3" t="s">
        <v>22</v>
      </c>
      <c r="C596" s="3">
        <v>542648</v>
      </c>
      <c r="D596" s="3">
        <v>101270</v>
      </c>
      <c r="E596" s="3" t="s">
        <v>23</v>
      </c>
    </row>
    <row r="597" spans="1:5">
      <c r="A597" s="3" t="s">
        <v>618</v>
      </c>
      <c r="B597" s="3" t="s">
        <v>22</v>
      </c>
      <c r="C597" s="3">
        <v>537721</v>
      </c>
      <c r="D597" s="3">
        <v>16081</v>
      </c>
      <c r="E597" s="3" t="s">
        <v>23</v>
      </c>
    </row>
    <row r="598" spans="1:5">
      <c r="A598" s="3" t="s">
        <v>619</v>
      </c>
      <c r="B598" s="3" t="s">
        <v>22</v>
      </c>
      <c r="C598" s="3">
        <v>390945</v>
      </c>
      <c r="D598" s="3">
        <v>47160</v>
      </c>
      <c r="E598" s="3" t="s">
        <v>23</v>
      </c>
    </row>
    <row r="599" spans="1:5">
      <c r="A599" s="3" t="s">
        <v>620</v>
      </c>
      <c r="B599" s="3" t="s">
        <v>22</v>
      </c>
      <c r="C599" s="3">
        <v>727147</v>
      </c>
      <c r="D599" s="3">
        <v>7873</v>
      </c>
      <c r="E599" s="3" t="s">
        <v>23</v>
      </c>
    </row>
    <row r="600" spans="1:5">
      <c r="A600" s="3" t="s">
        <v>621</v>
      </c>
      <c r="B600" s="3" t="s">
        <v>22</v>
      </c>
      <c r="C600" s="3">
        <v>66308</v>
      </c>
      <c r="D600" s="3">
        <v>12687</v>
      </c>
      <c r="E600" s="3" t="s">
        <v>23</v>
      </c>
    </row>
    <row r="601" spans="1:5">
      <c r="A601" s="3" t="s">
        <v>622</v>
      </c>
      <c r="B601" s="3" t="s">
        <v>22</v>
      </c>
      <c r="C601" s="3">
        <v>540269</v>
      </c>
      <c r="D601" s="3">
        <v>87264</v>
      </c>
      <c r="E601" s="3" t="s">
        <v>23</v>
      </c>
    </row>
    <row r="602" spans="1:5">
      <c r="A602" s="3" t="s">
        <v>623</v>
      </c>
      <c r="B602" s="3" t="s">
        <v>22</v>
      </c>
      <c r="C602" s="3">
        <v>427549</v>
      </c>
      <c r="D602" s="3">
        <v>69557</v>
      </c>
      <c r="E602" s="3" t="s">
        <v>23</v>
      </c>
    </row>
    <row r="603" spans="1:5">
      <c r="A603" s="3" t="s">
        <v>624</v>
      </c>
      <c r="B603" s="3" t="s">
        <v>22</v>
      </c>
      <c r="C603" s="3">
        <v>550294</v>
      </c>
      <c r="D603" s="3">
        <v>23042</v>
      </c>
      <c r="E603" s="3" t="s">
        <v>23</v>
      </c>
    </row>
    <row r="604" spans="1:5">
      <c r="A604" s="3" t="s">
        <v>625</v>
      </c>
      <c r="B604" s="3" t="s">
        <v>22</v>
      </c>
      <c r="C604" s="3">
        <v>457711</v>
      </c>
      <c r="D604" s="3">
        <v>153937</v>
      </c>
      <c r="E604" s="3" t="s">
        <v>23</v>
      </c>
    </row>
    <row r="605" spans="1:5">
      <c r="A605" s="3" t="s">
        <v>626</v>
      </c>
      <c r="B605" s="3" t="s">
        <v>22</v>
      </c>
      <c r="C605" s="3">
        <v>576955</v>
      </c>
      <c r="D605" s="3">
        <v>49783</v>
      </c>
      <c r="E605" s="3" t="s">
        <v>23</v>
      </c>
    </row>
    <row r="606" spans="1:5">
      <c r="A606" s="3" t="s">
        <v>627</v>
      </c>
      <c r="B606" s="3" t="s">
        <v>22</v>
      </c>
      <c r="C606" s="3">
        <v>768814</v>
      </c>
      <c r="D606" s="3">
        <v>61960</v>
      </c>
      <c r="E606" s="3" t="s">
        <v>23</v>
      </c>
    </row>
    <row r="607" spans="1:5">
      <c r="A607" s="3" t="s">
        <v>628</v>
      </c>
      <c r="B607" s="3" t="s">
        <v>22</v>
      </c>
      <c r="C607" s="3">
        <v>495366</v>
      </c>
      <c r="D607" s="3">
        <v>45341</v>
      </c>
      <c r="E607" s="3" t="s">
        <v>23</v>
      </c>
    </row>
    <row r="608" spans="1:5">
      <c r="A608" s="3" t="s">
        <v>629</v>
      </c>
      <c r="B608" s="3" t="s">
        <v>22</v>
      </c>
      <c r="C608" s="3">
        <v>887106</v>
      </c>
      <c r="D608" s="3">
        <v>177497</v>
      </c>
      <c r="E608" s="3" t="s">
        <v>23</v>
      </c>
    </row>
    <row r="609" spans="1:5">
      <c r="A609" s="3" t="s">
        <v>630</v>
      </c>
      <c r="B609" s="3" t="s">
        <v>22</v>
      </c>
      <c r="C609" s="3">
        <v>774329</v>
      </c>
      <c r="D609" s="3">
        <v>177530</v>
      </c>
      <c r="E609" s="3" t="s">
        <v>23</v>
      </c>
    </row>
    <row r="610" spans="1:5">
      <c r="A610" s="3" t="s">
        <v>631</v>
      </c>
      <c r="B610" s="3" t="s">
        <v>22</v>
      </c>
      <c r="C610" s="3">
        <v>491344</v>
      </c>
      <c r="D610" s="3">
        <v>94236</v>
      </c>
      <c r="E610" s="3" t="s">
        <v>23</v>
      </c>
    </row>
    <row r="611" spans="1:5">
      <c r="A611" s="3" t="s">
        <v>632</v>
      </c>
      <c r="B611" s="3" t="s">
        <v>22</v>
      </c>
      <c r="C611" s="3">
        <v>618922</v>
      </c>
      <c r="D611" s="3">
        <v>121447</v>
      </c>
      <c r="E611" s="3" t="s">
        <v>23</v>
      </c>
    </row>
    <row r="612" spans="1:5">
      <c r="A612" s="3" t="s">
        <v>633</v>
      </c>
      <c r="B612" s="3" t="s">
        <v>22</v>
      </c>
      <c r="C612" s="3">
        <v>561275</v>
      </c>
      <c r="D612" s="3">
        <v>64783</v>
      </c>
      <c r="E612" s="3" t="s">
        <v>23</v>
      </c>
    </row>
    <row r="613" spans="1:5">
      <c r="A613" s="3" t="s">
        <v>634</v>
      </c>
      <c r="B613" s="3" t="s">
        <v>22</v>
      </c>
      <c r="C613" s="3">
        <v>860352</v>
      </c>
      <c r="D613" s="3">
        <v>145331</v>
      </c>
      <c r="E613" s="3" t="s">
        <v>23</v>
      </c>
    </row>
    <row r="614" spans="1:5">
      <c r="A614" s="3" t="s">
        <v>635</v>
      </c>
      <c r="B614" s="3" t="s">
        <v>22</v>
      </c>
      <c r="C614" s="3">
        <v>563764</v>
      </c>
      <c r="D614" s="3">
        <v>66508</v>
      </c>
      <c r="E614" s="3" t="s">
        <v>23</v>
      </c>
    </row>
    <row r="615" spans="1:5">
      <c r="A615" s="3" t="s">
        <v>636</v>
      </c>
      <c r="B615" s="3" t="s">
        <v>22</v>
      </c>
      <c r="C615" s="3">
        <v>451072</v>
      </c>
      <c r="D615" s="3">
        <v>44512</v>
      </c>
      <c r="E615" s="3" t="s">
        <v>23</v>
      </c>
    </row>
    <row r="616" spans="1:5">
      <c r="A616" s="3" t="s">
        <v>637</v>
      </c>
      <c r="B616" s="3" t="s">
        <v>22</v>
      </c>
      <c r="C616" s="3">
        <v>600991</v>
      </c>
      <c r="D616" s="3">
        <v>160085</v>
      </c>
      <c r="E616" s="3" t="s">
        <v>23</v>
      </c>
    </row>
    <row r="617" spans="1:5">
      <c r="A617" s="3" t="s">
        <v>638</v>
      </c>
      <c r="B617" s="3" t="s">
        <v>22</v>
      </c>
      <c r="C617" s="3">
        <v>548900</v>
      </c>
      <c r="D617" s="3">
        <v>135910</v>
      </c>
      <c r="E617" s="3" t="s">
        <v>23</v>
      </c>
    </row>
    <row r="618" spans="1:5">
      <c r="A618" s="3" t="s">
        <v>639</v>
      </c>
      <c r="B618" s="3" t="s">
        <v>22</v>
      </c>
      <c r="C618" s="3">
        <v>446244</v>
      </c>
      <c r="D618" s="3">
        <v>14352</v>
      </c>
      <c r="E618" s="3" t="s">
        <v>23</v>
      </c>
    </row>
    <row r="619" spans="1:5">
      <c r="A619" s="3" t="s">
        <v>640</v>
      </c>
      <c r="B619" s="3" t="s">
        <v>22</v>
      </c>
      <c r="C619" s="3">
        <v>372391</v>
      </c>
      <c r="D619" s="3">
        <v>13</v>
      </c>
      <c r="E619" s="3" t="s">
        <v>23</v>
      </c>
    </row>
    <row r="620" spans="1:5">
      <c r="A620" s="3" t="s">
        <v>641</v>
      </c>
      <c r="B620" s="3" t="s">
        <v>22</v>
      </c>
      <c r="C620" s="3">
        <v>479176</v>
      </c>
      <c r="D620" s="3">
        <v>103530</v>
      </c>
      <c r="E620" s="3" t="s">
        <v>23</v>
      </c>
    </row>
    <row r="621" spans="1:5">
      <c r="A621" s="3" t="s">
        <v>642</v>
      </c>
      <c r="B621" s="3" t="s">
        <v>22</v>
      </c>
      <c r="C621" s="3">
        <v>596042</v>
      </c>
      <c r="D621" s="3">
        <v>35957</v>
      </c>
      <c r="E621" s="3" t="s">
        <v>23</v>
      </c>
    </row>
    <row r="622" spans="1:5">
      <c r="A622" s="3" t="s">
        <v>643</v>
      </c>
      <c r="B622" s="3" t="s">
        <v>22</v>
      </c>
      <c r="C622" s="3">
        <v>4864</v>
      </c>
      <c r="D622" s="3">
        <v>1121</v>
      </c>
      <c r="E622" s="3" t="s">
        <v>23</v>
      </c>
    </row>
    <row r="623" spans="1:5">
      <c r="A623" s="3" t="s">
        <v>644</v>
      </c>
      <c r="B623" s="3" t="s">
        <v>22</v>
      </c>
      <c r="C623" s="3">
        <v>741610</v>
      </c>
      <c r="D623" s="3">
        <v>120238</v>
      </c>
      <c r="E623" s="3" t="s">
        <v>23</v>
      </c>
    </row>
    <row r="624" spans="1:5">
      <c r="A624" s="3" t="s">
        <v>645</v>
      </c>
      <c r="B624" s="3" t="s">
        <v>22</v>
      </c>
      <c r="C624" s="3">
        <v>729387</v>
      </c>
      <c r="D624" s="3">
        <v>31142</v>
      </c>
      <c r="E624" s="3" t="s">
        <v>23</v>
      </c>
    </row>
    <row r="625" spans="1:5">
      <c r="A625" s="3" t="s">
        <v>646</v>
      </c>
      <c r="B625" s="3" t="s">
        <v>22</v>
      </c>
      <c r="C625" s="3">
        <v>663014</v>
      </c>
      <c r="D625" s="3">
        <v>17551</v>
      </c>
      <c r="E625" s="3" t="s">
        <v>23</v>
      </c>
    </row>
    <row r="626" spans="1:5">
      <c r="A626" s="3" t="s">
        <v>647</v>
      </c>
      <c r="B626" s="3" t="s">
        <v>22</v>
      </c>
      <c r="C626" s="3">
        <v>388579</v>
      </c>
      <c r="D626" s="3">
        <v>2693</v>
      </c>
      <c r="E626" s="3" t="s">
        <v>23</v>
      </c>
    </row>
    <row r="627" spans="1:5">
      <c r="A627" s="3" t="s">
        <v>648</v>
      </c>
      <c r="B627" s="3" t="s">
        <v>22</v>
      </c>
      <c r="C627" s="3">
        <v>494603</v>
      </c>
      <c r="D627" s="3">
        <v>66273</v>
      </c>
      <c r="E627" s="3" t="s">
        <v>23</v>
      </c>
    </row>
    <row r="628" spans="1:5">
      <c r="A628" s="3" t="s">
        <v>649</v>
      </c>
      <c r="B628" s="3" t="s">
        <v>22</v>
      </c>
      <c r="C628" s="3">
        <v>598885</v>
      </c>
      <c r="D628" s="3">
        <v>75651</v>
      </c>
      <c r="E628" s="3" t="s">
        <v>23</v>
      </c>
    </row>
    <row r="629" spans="1:5">
      <c r="A629" s="3" t="s">
        <v>650</v>
      </c>
      <c r="B629" s="3" t="s">
        <v>22</v>
      </c>
      <c r="C629" s="3">
        <v>646809</v>
      </c>
      <c r="D629" s="3">
        <v>139986</v>
      </c>
      <c r="E629" s="3" t="s">
        <v>23</v>
      </c>
    </row>
    <row r="630" spans="1:5">
      <c r="A630" s="3" t="s">
        <v>651</v>
      </c>
      <c r="B630" s="3" t="s">
        <v>22</v>
      </c>
      <c r="C630" s="3">
        <v>636733</v>
      </c>
      <c r="D630" s="3">
        <v>27875</v>
      </c>
      <c r="E630" s="3" t="s">
        <v>23</v>
      </c>
    </row>
    <row r="631" spans="1:5">
      <c r="A631" s="3" t="s">
        <v>652</v>
      </c>
      <c r="B631" s="3" t="s">
        <v>22</v>
      </c>
      <c r="C631" s="3">
        <v>437810</v>
      </c>
      <c r="D631" s="3">
        <v>36679</v>
      </c>
      <c r="E631" s="3" t="s">
        <v>23</v>
      </c>
    </row>
    <row r="632" spans="1:5">
      <c r="A632" s="3" t="s">
        <v>653</v>
      </c>
      <c r="B632" s="3" t="s">
        <v>22</v>
      </c>
      <c r="C632" s="3">
        <v>772073</v>
      </c>
      <c r="D632" s="3">
        <v>56731</v>
      </c>
      <c r="E632" s="3" t="s">
        <v>23</v>
      </c>
    </row>
    <row r="633" spans="1:5">
      <c r="A633" s="3" t="s">
        <v>654</v>
      </c>
      <c r="B633" s="3" t="s">
        <v>22</v>
      </c>
      <c r="C633" s="3">
        <v>2033</v>
      </c>
      <c r="D633" s="3">
        <v>973</v>
      </c>
      <c r="E633" s="3" t="s">
        <v>23</v>
      </c>
    </row>
    <row r="634" spans="1:5">
      <c r="A634" s="3" t="s">
        <v>655</v>
      </c>
      <c r="B634" s="3" t="s">
        <v>22</v>
      </c>
      <c r="C634" s="3">
        <v>642344</v>
      </c>
      <c r="D634" s="3">
        <v>102992</v>
      </c>
      <c r="E634" s="3" t="s">
        <v>23</v>
      </c>
    </row>
    <row r="635" spans="1:5">
      <c r="A635" s="3" t="s">
        <v>656</v>
      </c>
      <c r="B635" s="3" t="s">
        <v>22</v>
      </c>
      <c r="C635" s="3">
        <v>174581</v>
      </c>
      <c r="D635" s="3">
        <v>43899</v>
      </c>
      <c r="E635" s="3" t="s">
        <v>23</v>
      </c>
    </row>
    <row r="636" spans="1:5">
      <c r="A636" s="3" t="s">
        <v>657</v>
      </c>
      <c r="B636" s="3" t="s">
        <v>22</v>
      </c>
      <c r="C636" s="3">
        <v>853739</v>
      </c>
      <c r="D636" s="3">
        <v>89750</v>
      </c>
      <c r="E636" s="3" t="s">
        <v>23</v>
      </c>
    </row>
    <row r="637" spans="1:5">
      <c r="A637" s="3" t="s">
        <v>658</v>
      </c>
      <c r="B637" s="3" t="s">
        <v>22</v>
      </c>
      <c r="C637" s="3">
        <v>561571</v>
      </c>
      <c r="D637" s="3">
        <v>7391</v>
      </c>
      <c r="E637" s="3" t="s">
        <v>23</v>
      </c>
    </row>
    <row r="638" spans="1:5">
      <c r="A638" s="3" t="s">
        <v>659</v>
      </c>
      <c r="B638" s="3" t="s">
        <v>22</v>
      </c>
      <c r="C638" s="3">
        <v>677711</v>
      </c>
      <c r="D638" s="3">
        <v>50299</v>
      </c>
      <c r="E638" s="3" t="s">
        <v>23</v>
      </c>
    </row>
    <row r="639" spans="1:5">
      <c r="A639" s="3" t="s">
        <v>660</v>
      </c>
      <c r="B639" s="3" t="s">
        <v>22</v>
      </c>
      <c r="C639" s="3">
        <v>526706</v>
      </c>
      <c r="D639" s="3">
        <v>44551</v>
      </c>
      <c r="E639" s="3" t="s">
        <v>23</v>
      </c>
    </row>
    <row r="640" spans="1:5">
      <c r="A640" s="3" t="s">
        <v>661</v>
      </c>
      <c r="B640" s="3" t="s">
        <v>22</v>
      </c>
      <c r="C640" s="3">
        <v>706674</v>
      </c>
      <c r="D640" s="3">
        <v>107249</v>
      </c>
      <c r="E640" s="3" t="s">
        <v>23</v>
      </c>
    </row>
    <row r="641" spans="1:5">
      <c r="A641" s="3" t="s">
        <v>662</v>
      </c>
      <c r="B641" s="3" t="s">
        <v>22</v>
      </c>
      <c r="C641" s="3">
        <v>402264</v>
      </c>
      <c r="D641" s="3">
        <v>64042</v>
      </c>
      <c r="E641" s="3" t="s">
        <v>23</v>
      </c>
    </row>
    <row r="642" spans="1:5">
      <c r="A642" s="3" t="s">
        <v>663</v>
      </c>
      <c r="B642" s="3" t="s">
        <v>22</v>
      </c>
      <c r="C642" s="3">
        <v>591473</v>
      </c>
      <c r="D642" s="3">
        <v>72196</v>
      </c>
      <c r="E642" s="3" t="s">
        <v>23</v>
      </c>
    </row>
    <row r="643" spans="1:5">
      <c r="A643" s="3" t="s">
        <v>664</v>
      </c>
      <c r="B643" s="3" t="s">
        <v>22</v>
      </c>
      <c r="C643" s="3">
        <v>417032</v>
      </c>
      <c r="D643" s="3">
        <v>6248</v>
      </c>
      <c r="E643" s="3" t="s">
        <v>23</v>
      </c>
    </row>
    <row r="644" spans="1:5">
      <c r="A644" s="3" t="s">
        <v>665</v>
      </c>
      <c r="B644" s="3" t="s">
        <v>22</v>
      </c>
      <c r="C644" s="3">
        <v>681449</v>
      </c>
      <c r="D644" s="3">
        <v>50597</v>
      </c>
      <c r="E644" s="3" t="s">
        <v>23</v>
      </c>
    </row>
    <row r="645" spans="1:5">
      <c r="A645" s="3" t="s">
        <v>666</v>
      </c>
      <c r="B645" s="3" t="s">
        <v>22</v>
      </c>
      <c r="C645" s="3">
        <v>391546</v>
      </c>
      <c r="D645" s="3">
        <v>48080</v>
      </c>
      <c r="E645" s="3" t="s">
        <v>23</v>
      </c>
    </row>
    <row r="646" spans="1:5">
      <c r="A646" s="3" t="s">
        <v>667</v>
      </c>
      <c r="B646" s="3" t="s">
        <v>22</v>
      </c>
      <c r="C646" s="3">
        <v>618176</v>
      </c>
      <c r="D646" s="3">
        <v>8739</v>
      </c>
      <c r="E646" s="3" t="s">
        <v>23</v>
      </c>
    </row>
    <row r="647" spans="1:5">
      <c r="A647" s="3" t="s">
        <v>668</v>
      </c>
      <c r="B647" s="3" t="s">
        <v>22</v>
      </c>
      <c r="C647" s="3">
        <v>670191</v>
      </c>
      <c r="D647" s="3">
        <v>152299</v>
      </c>
      <c r="E647" s="3" t="s">
        <v>23</v>
      </c>
    </row>
    <row r="648" spans="1:5">
      <c r="A648" s="3" t="s">
        <v>669</v>
      </c>
      <c r="B648" s="3" t="s">
        <v>22</v>
      </c>
      <c r="C648" s="3">
        <v>567976</v>
      </c>
      <c r="D648" s="3">
        <v>43752</v>
      </c>
      <c r="E648" s="3" t="s">
        <v>23</v>
      </c>
    </row>
    <row r="649" spans="1:5">
      <c r="A649" s="3" t="s">
        <v>670</v>
      </c>
      <c r="B649" s="3" t="s">
        <v>22</v>
      </c>
      <c r="C649" s="3">
        <v>637256</v>
      </c>
      <c r="D649" s="3">
        <v>19904</v>
      </c>
      <c r="E649" s="3" t="s">
        <v>23</v>
      </c>
    </row>
    <row r="650" spans="1:5">
      <c r="A650" s="3" t="s">
        <v>671</v>
      </c>
      <c r="B650" s="3" t="s">
        <v>22</v>
      </c>
      <c r="C650" s="3">
        <v>784425</v>
      </c>
      <c r="D650" s="3">
        <v>15973</v>
      </c>
      <c r="E650" s="3" t="s">
        <v>23</v>
      </c>
    </row>
    <row r="651" spans="1:5">
      <c r="A651" s="3" t="s">
        <v>672</v>
      </c>
      <c r="B651" s="3" t="s">
        <v>22</v>
      </c>
      <c r="C651" s="3">
        <v>458278</v>
      </c>
      <c r="D651" s="3">
        <v>121940</v>
      </c>
      <c r="E651" s="3" t="s">
        <v>23</v>
      </c>
    </row>
    <row r="652" spans="1:5">
      <c r="A652" s="3" t="s">
        <v>673</v>
      </c>
      <c r="B652" s="3" t="s">
        <v>22</v>
      </c>
      <c r="C652" s="3">
        <v>632549</v>
      </c>
      <c r="D652" s="3">
        <v>17202</v>
      </c>
      <c r="E652" s="3" t="s">
        <v>23</v>
      </c>
    </row>
    <row r="653" spans="1:5">
      <c r="A653" s="3" t="s">
        <v>674</v>
      </c>
      <c r="B653" s="3" t="s">
        <v>22</v>
      </c>
      <c r="C653" s="3">
        <v>629481</v>
      </c>
      <c r="D653" s="3">
        <v>88650</v>
      </c>
      <c r="E653" s="3" t="s">
        <v>23</v>
      </c>
    </row>
    <row r="654" spans="1:5">
      <c r="A654" s="3" t="s">
        <v>675</v>
      </c>
      <c r="B654" s="3" t="s">
        <v>22</v>
      </c>
      <c r="C654" s="3">
        <v>672437</v>
      </c>
      <c r="D654" s="3">
        <v>156480</v>
      </c>
      <c r="E654" s="3" t="s">
        <v>23</v>
      </c>
    </row>
    <row r="655" spans="1:5">
      <c r="A655" s="3" t="s">
        <v>676</v>
      </c>
      <c r="B655" s="3" t="s">
        <v>22</v>
      </c>
      <c r="C655" s="3">
        <v>193739</v>
      </c>
      <c r="D655" s="3">
        <v>46476</v>
      </c>
      <c r="E655" s="3" t="s">
        <v>23</v>
      </c>
    </row>
    <row r="656" spans="1:5">
      <c r="A656" s="3" t="s">
        <v>677</v>
      </c>
      <c r="B656" s="3" t="s">
        <v>22</v>
      </c>
      <c r="C656" s="3">
        <v>747940</v>
      </c>
      <c r="D656" s="3">
        <v>62852</v>
      </c>
      <c r="E656" s="3" t="s">
        <v>23</v>
      </c>
    </row>
    <row r="657" spans="1:5">
      <c r="A657" s="3" t="s">
        <v>678</v>
      </c>
      <c r="B657" s="3" t="s">
        <v>22</v>
      </c>
      <c r="C657" s="3">
        <v>402880</v>
      </c>
      <c r="D657" s="3">
        <v>11369</v>
      </c>
      <c r="E657" s="3" t="s">
        <v>23</v>
      </c>
    </row>
    <row r="658" spans="1:5">
      <c r="A658" s="3" t="s">
        <v>679</v>
      </c>
      <c r="B658" s="3" t="s">
        <v>22</v>
      </c>
      <c r="C658" s="3">
        <v>311032</v>
      </c>
      <c r="D658" s="3">
        <v>58408</v>
      </c>
      <c r="E658" s="3" t="s">
        <v>23</v>
      </c>
    </row>
    <row r="659" spans="1:5">
      <c r="A659" s="3" t="s">
        <v>680</v>
      </c>
      <c r="B659" s="3" t="s">
        <v>22</v>
      </c>
      <c r="C659" s="3">
        <v>316524</v>
      </c>
      <c r="D659" s="3">
        <v>33491</v>
      </c>
      <c r="E659" s="3" t="s">
        <v>23</v>
      </c>
    </row>
    <row r="660" spans="1:5">
      <c r="A660" s="3" t="s">
        <v>681</v>
      </c>
      <c r="B660" s="3" t="s">
        <v>22</v>
      </c>
      <c r="C660" s="3">
        <v>395288</v>
      </c>
      <c r="D660" s="3">
        <v>4048</v>
      </c>
      <c r="E660" s="3" t="s">
        <v>23</v>
      </c>
    </row>
    <row r="661" spans="1:5">
      <c r="A661" s="3" t="s">
        <v>682</v>
      </c>
      <c r="B661" s="3" t="s">
        <v>22</v>
      </c>
      <c r="C661" s="3">
        <v>476473</v>
      </c>
      <c r="D661" s="3">
        <v>6911</v>
      </c>
      <c r="E661" s="3" t="s">
        <v>23</v>
      </c>
    </row>
    <row r="662" spans="1:5">
      <c r="A662" s="3" t="s">
        <v>683</v>
      </c>
      <c r="B662" s="3" t="s">
        <v>22</v>
      </c>
      <c r="C662" s="3">
        <v>613839</v>
      </c>
      <c r="D662" s="3">
        <v>161679</v>
      </c>
      <c r="E662" s="3" t="s">
        <v>23</v>
      </c>
    </row>
    <row r="663" spans="1:5">
      <c r="A663" s="3" t="s">
        <v>684</v>
      </c>
      <c r="B663" s="3" t="s">
        <v>22</v>
      </c>
      <c r="C663" s="3">
        <v>880527</v>
      </c>
      <c r="D663" s="3">
        <v>108801</v>
      </c>
      <c r="E663" s="3" t="s">
        <v>23</v>
      </c>
    </row>
    <row r="664" spans="1:5">
      <c r="A664" s="3" t="s">
        <v>685</v>
      </c>
      <c r="B664" s="3" t="s">
        <v>22</v>
      </c>
      <c r="C664" s="3">
        <v>247919</v>
      </c>
      <c r="D664" s="3">
        <v>54551</v>
      </c>
      <c r="E664" s="3" t="s">
        <v>23</v>
      </c>
    </row>
    <row r="665" spans="1:5">
      <c r="A665" s="3" t="s">
        <v>686</v>
      </c>
      <c r="B665" s="3" t="s">
        <v>22</v>
      </c>
      <c r="C665" s="3">
        <v>409106</v>
      </c>
      <c r="D665" s="3">
        <v>16323</v>
      </c>
      <c r="E665" s="3" t="s">
        <v>23</v>
      </c>
    </row>
    <row r="666" spans="1:5">
      <c r="A666" s="3" t="s">
        <v>687</v>
      </c>
      <c r="B666" s="3" t="s">
        <v>22</v>
      </c>
      <c r="C666" s="3">
        <v>366140</v>
      </c>
      <c r="D666" s="3">
        <v>109114</v>
      </c>
      <c r="E666" s="3" t="s">
        <v>23</v>
      </c>
    </row>
    <row r="667" spans="1:5">
      <c r="A667" s="3" t="s">
        <v>688</v>
      </c>
      <c r="B667" s="3" t="s">
        <v>22</v>
      </c>
      <c r="C667" s="3">
        <v>419354</v>
      </c>
      <c r="D667" s="3">
        <v>4606</v>
      </c>
      <c r="E667" s="3" t="s">
        <v>23</v>
      </c>
    </row>
    <row r="668" spans="1:5">
      <c r="A668" s="3" t="s">
        <v>689</v>
      </c>
      <c r="B668" s="3" t="s">
        <v>22</v>
      </c>
      <c r="C668" s="3">
        <v>770084</v>
      </c>
      <c r="D668" s="3">
        <v>30682</v>
      </c>
      <c r="E668" s="3" t="s">
        <v>23</v>
      </c>
    </row>
    <row r="669" spans="1:5">
      <c r="A669" s="3" t="s">
        <v>690</v>
      </c>
      <c r="B669" s="3" t="s">
        <v>22</v>
      </c>
      <c r="C669" s="3">
        <v>495621</v>
      </c>
      <c r="D669" s="3">
        <v>164367</v>
      </c>
      <c r="E669" s="3" t="s">
        <v>23</v>
      </c>
    </row>
    <row r="670" spans="1:5">
      <c r="A670" s="3" t="s">
        <v>691</v>
      </c>
      <c r="B670" s="3" t="s">
        <v>22</v>
      </c>
      <c r="C670" s="3">
        <v>787680</v>
      </c>
      <c r="D670" s="3">
        <v>238745</v>
      </c>
      <c r="E670" s="3" t="s">
        <v>23</v>
      </c>
    </row>
    <row r="671" spans="1:5">
      <c r="A671" s="3" t="s">
        <v>692</v>
      </c>
      <c r="B671" s="3" t="s">
        <v>22</v>
      </c>
      <c r="C671" s="3">
        <v>586897</v>
      </c>
      <c r="D671" s="3">
        <v>164404</v>
      </c>
      <c r="E671" s="3" t="s">
        <v>23</v>
      </c>
    </row>
    <row r="672" spans="1:5">
      <c r="A672" s="3" t="s">
        <v>693</v>
      </c>
      <c r="B672" s="3" t="s">
        <v>22</v>
      </c>
      <c r="C672" s="3">
        <v>759397</v>
      </c>
      <c r="D672" s="3">
        <v>2291</v>
      </c>
      <c r="E672" s="3" t="s">
        <v>23</v>
      </c>
    </row>
    <row r="673" spans="1:5">
      <c r="A673" s="3" t="s">
        <v>694</v>
      </c>
      <c r="B673" s="3" t="s">
        <v>22</v>
      </c>
      <c r="C673" s="3">
        <v>601701</v>
      </c>
      <c r="D673" s="3">
        <v>170788</v>
      </c>
      <c r="E673" s="3" t="s">
        <v>23</v>
      </c>
    </row>
    <row r="674" spans="1:5">
      <c r="A674" s="3" t="s">
        <v>695</v>
      </c>
      <c r="B674" s="3" t="s">
        <v>22</v>
      </c>
      <c r="C674" s="3">
        <v>726701</v>
      </c>
      <c r="D674" s="3">
        <v>119541</v>
      </c>
      <c r="E674" s="3" t="s">
        <v>23</v>
      </c>
    </row>
    <row r="675" spans="1:5">
      <c r="A675" s="3" t="s">
        <v>696</v>
      </c>
      <c r="B675" s="3" t="s">
        <v>22</v>
      </c>
      <c r="C675" s="3">
        <v>381574</v>
      </c>
      <c r="D675" s="3">
        <v>101260</v>
      </c>
      <c r="E675" s="3" t="s">
        <v>23</v>
      </c>
    </row>
    <row r="676" spans="1:5">
      <c r="A676" s="3" t="s">
        <v>697</v>
      </c>
      <c r="B676" s="3" t="s">
        <v>22</v>
      </c>
      <c r="C676" s="3">
        <v>528565</v>
      </c>
      <c r="D676" s="3">
        <v>14847</v>
      </c>
      <c r="E676" s="3" t="s">
        <v>23</v>
      </c>
    </row>
    <row r="677" spans="1:5">
      <c r="A677" s="3" t="s">
        <v>698</v>
      </c>
      <c r="B677" s="3" t="s">
        <v>22</v>
      </c>
      <c r="C677" s="3">
        <v>865675</v>
      </c>
      <c r="D677" s="3">
        <v>254213</v>
      </c>
      <c r="E677" s="3" t="s">
        <v>23</v>
      </c>
    </row>
    <row r="678" spans="1:5">
      <c r="A678" s="3" t="s">
        <v>699</v>
      </c>
      <c r="B678" s="3" t="s">
        <v>22</v>
      </c>
      <c r="C678" s="3">
        <v>688457</v>
      </c>
      <c r="D678" s="3">
        <v>83542</v>
      </c>
      <c r="E678" s="3" t="s">
        <v>23</v>
      </c>
    </row>
    <row r="679" spans="1:5">
      <c r="A679" s="3" t="s">
        <v>700</v>
      </c>
      <c r="B679" s="3" t="s">
        <v>22</v>
      </c>
      <c r="C679" s="3">
        <v>832499</v>
      </c>
      <c r="D679" s="3">
        <v>172657</v>
      </c>
      <c r="E679" s="3" t="s">
        <v>23</v>
      </c>
    </row>
    <row r="680" spans="1:5">
      <c r="A680" s="3" t="s">
        <v>701</v>
      </c>
      <c r="B680" s="3" t="s">
        <v>22</v>
      </c>
      <c r="C680" s="3">
        <v>800400</v>
      </c>
      <c r="D680" s="3">
        <v>224082</v>
      </c>
      <c r="E680" s="3" t="s">
        <v>23</v>
      </c>
    </row>
    <row r="681" spans="1:5">
      <c r="A681" s="3" t="s">
        <v>702</v>
      </c>
      <c r="B681" s="3" t="s">
        <v>22</v>
      </c>
      <c r="C681" s="3">
        <v>248498</v>
      </c>
      <c r="D681" s="3">
        <v>75005</v>
      </c>
      <c r="E681" s="3" t="s">
        <v>23</v>
      </c>
    </row>
    <row r="682" spans="1:5">
      <c r="A682" s="3" t="s">
        <v>703</v>
      </c>
      <c r="B682" s="3" t="s">
        <v>22</v>
      </c>
      <c r="C682" s="3">
        <v>129852</v>
      </c>
      <c r="D682" s="3">
        <v>21254</v>
      </c>
      <c r="E682" s="3" t="s">
        <v>23</v>
      </c>
    </row>
    <row r="683" spans="1:5">
      <c r="A683" s="3" t="s">
        <v>704</v>
      </c>
      <c r="B683" s="3" t="s">
        <v>22</v>
      </c>
      <c r="C683" s="3">
        <v>559186</v>
      </c>
      <c r="D683" s="3">
        <v>6949</v>
      </c>
      <c r="E683" s="3" t="s">
        <v>23</v>
      </c>
    </row>
    <row r="684" spans="1:5">
      <c r="A684" s="3" t="s">
        <v>705</v>
      </c>
      <c r="B684" s="3" t="s">
        <v>22</v>
      </c>
      <c r="C684" s="3">
        <v>636837</v>
      </c>
      <c r="D684" s="3">
        <v>34439</v>
      </c>
      <c r="E684" s="3" t="s">
        <v>23</v>
      </c>
    </row>
    <row r="685" spans="1:5">
      <c r="A685" s="3" t="s">
        <v>706</v>
      </c>
      <c r="B685" s="3" t="s">
        <v>22</v>
      </c>
      <c r="C685" s="3">
        <v>716925</v>
      </c>
      <c r="D685" s="3">
        <v>47574</v>
      </c>
      <c r="E685" s="3" t="s">
        <v>23</v>
      </c>
    </row>
    <row r="686" spans="1:5">
      <c r="A686" s="3" t="s">
        <v>707</v>
      </c>
      <c r="B686" s="3" t="s">
        <v>22</v>
      </c>
      <c r="C686" s="3">
        <v>688440</v>
      </c>
      <c r="D686" s="3">
        <v>20967</v>
      </c>
      <c r="E686" s="3" t="s">
        <v>23</v>
      </c>
    </row>
    <row r="687" spans="1:5">
      <c r="A687" s="3" t="s">
        <v>708</v>
      </c>
      <c r="B687" s="3" t="s">
        <v>22</v>
      </c>
      <c r="C687" s="3">
        <v>835058</v>
      </c>
      <c r="D687" s="3">
        <v>17107</v>
      </c>
      <c r="E687" s="3" t="s">
        <v>23</v>
      </c>
    </row>
    <row r="688" spans="1:5">
      <c r="A688" s="3" t="s">
        <v>709</v>
      </c>
      <c r="B688" s="3" t="s">
        <v>22</v>
      </c>
      <c r="C688" s="3">
        <v>590883</v>
      </c>
      <c r="D688" s="3">
        <v>107072</v>
      </c>
      <c r="E688" s="3" t="s">
        <v>23</v>
      </c>
    </row>
    <row r="689" spans="1:5">
      <c r="A689" s="3" t="s">
        <v>710</v>
      </c>
      <c r="B689" s="3" t="s">
        <v>22</v>
      </c>
      <c r="C689" s="3">
        <v>813523</v>
      </c>
      <c r="D689" s="3">
        <v>108742</v>
      </c>
      <c r="E689" s="3" t="s">
        <v>23</v>
      </c>
    </row>
    <row r="690" spans="1:5">
      <c r="A690" s="3" t="s">
        <v>711</v>
      </c>
      <c r="B690" s="3" t="s">
        <v>22</v>
      </c>
      <c r="C690" s="3">
        <v>723516</v>
      </c>
      <c r="D690" s="3">
        <v>69855</v>
      </c>
      <c r="E690" s="3" t="s">
        <v>23</v>
      </c>
    </row>
    <row r="691" spans="1:5">
      <c r="A691" s="3" t="s">
        <v>712</v>
      </c>
      <c r="B691" s="3" t="s">
        <v>22</v>
      </c>
      <c r="C691" s="3">
        <v>481075</v>
      </c>
      <c r="D691" s="3">
        <v>105442</v>
      </c>
      <c r="E691" s="3" t="s">
        <v>23</v>
      </c>
    </row>
    <row r="692" spans="1:5">
      <c r="A692" s="3" t="s">
        <v>713</v>
      </c>
      <c r="B692" s="3" t="s">
        <v>22</v>
      </c>
      <c r="C692" s="3">
        <v>688524</v>
      </c>
      <c r="D692" s="3">
        <v>56790</v>
      </c>
      <c r="E692" s="3" t="s">
        <v>23</v>
      </c>
    </row>
    <row r="693" spans="1:5">
      <c r="A693" s="3" t="s">
        <v>714</v>
      </c>
      <c r="B693" s="3" t="s">
        <v>22</v>
      </c>
      <c r="C693" s="3">
        <v>825679</v>
      </c>
      <c r="D693" s="3">
        <v>26649</v>
      </c>
      <c r="E693" s="3" t="s">
        <v>23</v>
      </c>
    </row>
    <row r="694" spans="1:5">
      <c r="A694" s="3" t="s">
        <v>715</v>
      </c>
      <c r="B694" s="3" t="s">
        <v>22</v>
      </c>
      <c r="C694" s="3">
        <v>748442</v>
      </c>
      <c r="D694" s="3">
        <v>113444</v>
      </c>
      <c r="E694" s="3" t="s">
        <v>23</v>
      </c>
    </row>
    <row r="695" spans="1:5">
      <c r="A695" s="3" t="s">
        <v>716</v>
      </c>
      <c r="B695" s="3" t="s">
        <v>22</v>
      </c>
      <c r="C695" s="3">
        <v>739981</v>
      </c>
      <c r="D695" s="3">
        <v>170640</v>
      </c>
      <c r="E695" s="3" t="s">
        <v>23</v>
      </c>
    </row>
    <row r="696" spans="1:5">
      <c r="A696" s="3" t="s">
        <v>717</v>
      </c>
      <c r="B696" s="3" t="s">
        <v>22</v>
      </c>
      <c r="C696" s="3">
        <v>583783</v>
      </c>
      <c r="D696" s="3">
        <v>40181</v>
      </c>
      <c r="E696" s="3" t="s">
        <v>23</v>
      </c>
    </row>
    <row r="697" spans="1:5">
      <c r="A697" s="3" t="s">
        <v>718</v>
      </c>
      <c r="B697" s="3" t="s">
        <v>22</v>
      </c>
      <c r="C697" s="3">
        <v>349030</v>
      </c>
      <c r="D697" s="3">
        <v>110744</v>
      </c>
      <c r="E697" s="3" t="s">
        <v>23</v>
      </c>
    </row>
    <row r="698" spans="1:5">
      <c r="A698" s="3" t="s">
        <v>719</v>
      </c>
      <c r="B698" s="3" t="s">
        <v>22</v>
      </c>
      <c r="C698" s="3">
        <v>776404</v>
      </c>
      <c r="D698" s="3">
        <v>78520</v>
      </c>
      <c r="E698" s="3" t="s">
        <v>23</v>
      </c>
    </row>
    <row r="699" spans="1:5">
      <c r="A699" s="3" t="s">
        <v>720</v>
      </c>
      <c r="B699" s="3" t="s">
        <v>22</v>
      </c>
      <c r="C699" s="3">
        <v>421207</v>
      </c>
      <c r="D699" s="3">
        <v>20301</v>
      </c>
      <c r="E699" s="3" t="s">
        <v>23</v>
      </c>
    </row>
    <row r="700" spans="1:5">
      <c r="A700" s="3" t="s">
        <v>721</v>
      </c>
      <c r="B700" s="3" t="s">
        <v>22</v>
      </c>
      <c r="C700" s="3">
        <v>778519</v>
      </c>
      <c r="D700" s="3">
        <v>37097</v>
      </c>
      <c r="E700" s="3" t="s">
        <v>23</v>
      </c>
    </row>
    <row r="701" spans="1:5">
      <c r="A701" s="3" t="s">
        <v>722</v>
      </c>
      <c r="B701" s="3" t="s">
        <v>22</v>
      </c>
      <c r="C701" s="3">
        <v>826408</v>
      </c>
      <c r="D701" s="3">
        <v>45875</v>
      </c>
      <c r="E701" s="3" t="s">
        <v>23</v>
      </c>
    </row>
    <row r="702" spans="1:5">
      <c r="A702" s="3" t="s">
        <v>723</v>
      </c>
      <c r="B702" s="3" t="s">
        <v>22</v>
      </c>
      <c r="C702" s="3">
        <v>841853</v>
      </c>
      <c r="D702" s="3">
        <v>113345</v>
      </c>
      <c r="E702" s="3" t="s">
        <v>23</v>
      </c>
    </row>
    <row r="703" spans="1:5">
      <c r="A703" s="3" t="s">
        <v>724</v>
      </c>
      <c r="B703" s="3" t="s">
        <v>22</v>
      </c>
      <c r="C703" s="3">
        <v>550258</v>
      </c>
      <c r="D703" s="3">
        <v>84485</v>
      </c>
      <c r="E703" s="3" t="s">
        <v>23</v>
      </c>
    </row>
    <row r="704" spans="1:5">
      <c r="A704" s="3" t="s">
        <v>725</v>
      </c>
      <c r="B704" s="3" t="s">
        <v>22</v>
      </c>
      <c r="C704" s="3">
        <v>819559</v>
      </c>
      <c r="D704" s="3">
        <v>284845</v>
      </c>
      <c r="E704" s="3" t="s">
        <v>23</v>
      </c>
    </row>
    <row r="705" spans="1:5">
      <c r="A705" s="3" t="s">
        <v>726</v>
      </c>
      <c r="B705" s="3" t="s">
        <v>22</v>
      </c>
      <c r="C705" s="3">
        <v>553528</v>
      </c>
      <c r="D705" s="3">
        <v>14396</v>
      </c>
      <c r="E705" s="3" t="s">
        <v>23</v>
      </c>
    </row>
    <row r="706" spans="1:5">
      <c r="A706" s="3" t="s">
        <v>727</v>
      </c>
      <c r="B706" s="3" t="s">
        <v>22</v>
      </c>
      <c r="C706" s="3">
        <v>1014339</v>
      </c>
      <c r="D706" s="3">
        <v>128803</v>
      </c>
      <c r="E706" s="3" t="s">
        <v>23</v>
      </c>
    </row>
    <row r="707" spans="1:5">
      <c r="A707" s="3" t="s">
        <v>728</v>
      </c>
      <c r="B707" s="3" t="s">
        <v>22</v>
      </c>
      <c r="C707" s="3">
        <v>428180</v>
      </c>
      <c r="D707" s="3">
        <v>78717</v>
      </c>
      <c r="E707" s="3" t="s">
        <v>23</v>
      </c>
    </row>
    <row r="708" spans="1:5">
      <c r="A708" s="3" t="s">
        <v>729</v>
      </c>
      <c r="B708" s="3" t="s">
        <v>22</v>
      </c>
      <c r="C708" s="3">
        <v>592115</v>
      </c>
      <c r="D708" s="3">
        <v>27918</v>
      </c>
      <c r="E708" s="3" t="s">
        <v>23</v>
      </c>
    </row>
    <row r="709" spans="1:5">
      <c r="A709" s="3" t="s">
        <v>730</v>
      </c>
      <c r="B709" s="3" t="s">
        <v>22</v>
      </c>
      <c r="C709" s="3">
        <v>778690</v>
      </c>
      <c r="D709" s="3">
        <v>217452</v>
      </c>
      <c r="E709" s="3" t="s">
        <v>23</v>
      </c>
    </row>
    <row r="710" spans="1:5">
      <c r="A710" s="3" t="s">
        <v>731</v>
      </c>
      <c r="B710" s="3" t="s">
        <v>22</v>
      </c>
      <c r="C710" s="3">
        <v>831373</v>
      </c>
      <c r="D710" s="3">
        <v>213217</v>
      </c>
      <c r="E710" s="3" t="s">
        <v>23</v>
      </c>
    </row>
    <row r="711" spans="1:5">
      <c r="A711" s="3" t="s">
        <v>732</v>
      </c>
      <c r="B711" s="3" t="s">
        <v>22</v>
      </c>
      <c r="C711" s="3">
        <v>606209</v>
      </c>
      <c r="D711" s="3">
        <v>21428</v>
      </c>
      <c r="E711" s="3" t="s">
        <v>23</v>
      </c>
    </row>
    <row r="712" spans="1:5">
      <c r="A712" s="3" t="s">
        <v>733</v>
      </c>
      <c r="B712" s="3" t="s">
        <v>22</v>
      </c>
      <c r="C712" s="3">
        <v>941570</v>
      </c>
      <c r="D712" s="3">
        <v>4734</v>
      </c>
      <c r="E712" s="3" t="s">
        <v>23</v>
      </c>
    </row>
    <row r="713" spans="1:5">
      <c r="A713" s="3" t="s">
        <v>734</v>
      </c>
      <c r="B713" s="3" t="s">
        <v>22</v>
      </c>
      <c r="C713" s="3">
        <v>650374</v>
      </c>
      <c r="D713" s="3">
        <v>118526</v>
      </c>
      <c r="E713" s="3" t="s">
        <v>23</v>
      </c>
    </row>
    <row r="714" spans="1:5">
      <c r="A714" s="3" t="s">
        <v>735</v>
      </c>
      <c r="B714" s="3" t="s">
        <v>22</v>
      </c>
      <c r="C714" s="3">
        <v>735173</v>
      </c>
      <c r="D714" s="3">
        <v>31461</v>
      </c>
      <c r="E714" s="3" t="s">
        <v>23</v>
      </c>
    </row>
    <row r="715" spans="1:5">
      <c r="A715" s="3" t="s">
        <v>736</v>
      </c>
      <c r="B715" s="3" t="s">
        <v>22</v>
      </c>
      <c r="C715" s="3">
        <v>598299</v>
      </c>
      <c r="D715" s="3">
        <v>19859</v>
      </c>
      <c r="E715" s="3" t="s">
        <v>23</v>
      </c>
    </row>
    <row r="716" spans="1:5">
      <c r="A716" s="3" t="s">
        <v>737</v>
      </c>
      <c r="B716" s="3" t="s">
        <v>22</v>
      </c>
      <c r="C716" s="3">
        <v>703763</v>
      </c>
      <c r="D716" s="3">
        <v>29548</v>
      </c>
      <c r="E716" s="3" t="s">
        <v>23</v>
      </c>
    </row>
    <row r="717" spans="1:5">
      <c r="A717" s="3" t="s">
        <v>738</v>
      </c>
      <c r="B717" s="3" t="s">
        <v>22</v>
      </c>
      <c r="C717" s="3">
        <v>789989</v>
      </c>
      <c r="D717" s="3">
        <v>56826</v>
      </c>
      <c r="E717" s="3" t="s">
        <v>23</v>
      </c>
    </row>
    <row r="718" spans="1:5">
      <c r="A718" s="3" t="s">
        <v>739</v>
      </c>
      <c r="B718" s="3" t="s">
        <v>22</v>
      </c>
      <c r="C718" s="3">
        <v>682980</v>
      </c>
      <c r="D718" s="3">
        <v>13242</v>
      </c>
      <c r="E718" s="3" t="s">
        <v>23</v>
      </c>
    </row>
    <row r="719" spans="1:5">
      <c r="A719" s="3" t="s">
        <v>740</v>
      </c>
      <c r="B719" s="3" t="s">
        <v>22</v>
      </c>
      <c r="C719" s="3">
        <v>461715</v>
      </c>
      <c r="D719" s="3">
        <v>40065</v>
      </c>
      <c r="E719" s="3" t="s">
        <v>23</v>
      </c>
    </row>
    <row r="720" spans="1:5">
      <c r="A720" s="3" t="s">
        <v>741</v>
      </c>
      <c r="B720" s="3" t="s">
        <v>22</v>
      </c>
      <c r="C720" s="3">
        <v>860048</v>
      </c>
      <c r="D720" s="3">
        <v>130907</v>
      </c>
      <c r="E720" s="3" t="s">
        <v>23</v>
      </c>
    </row>
    <row r="721" spans="1:5">
      <c r="A721" s="3" t="s">
        <v>742</v>
      </c>
      <c r="B721" s="3" t="s">
        <v>22</v>
      </c>
      <c r="C721" s="3">
        <v>683759</v>
      </c>
      <c r="D721" s="3">
        <v>16971</v>
      </c>
      <c r="E721" s="3" t="s">
        <v>23</v>
      </c>
    </row>
    <row r="722" spans="1:5">
      <c r="A722" s="3" t="s">
        <v>743</v>
      </c>
      <c r="B722" s="3" t="s">
        <v>22</v>
      </c>
      <c r="C722" s="3">
        <v>574676</v>
      </c>
      <c r="D722" s="3">
        <v>132505</v>
      </c>
      <c r="E722" s="3" t="s">
        <v>23</v>
      </c>
    </row>
    <row r="723" spans="1:5">
      <c r="A723" s="3" t="s">
        <v>744</v>
      </c>
      <c r="B723" s="3" t="s">
        <v>22</v>
      </c>
      <c r="C723" s="3">
        <v>937476</v>
      </c>
      <c r="D723" s="3">
        <v>55798</v>
      </c>
      <c r="E723" s="3" t="s">
        <v>23</v>
      </c>
    </row>
    <row r="724" spans="1:5">
      <c r="A724" s="3" t="s">
        <v>745</v>
      </c>
      <c r="B724" s="3" t="s">
        <v>22</v>
      </c>
      <c r="C724" s="3">
        <v>678008</v>
      </c>
      <c r="D724" s="3">
        <v>17942</v>
      </c>
      <c r="E724" s="3" t="s">
        <v>23</v>
      </c>
    </row>
    <row r="725" spans="1:5">
      <c r="A725" s="3" t="s">
        <v>746</v>
      </c>
      <c r="B725" s="3" t="s">
        <v>22</v>
      </c>
      <c r="C725" s="3">
        <v>1026235</v>
      </c>
      <c r="D725" s="3">
        <v>122904</v>
      </c>
      <c r="E725" s="3" t="s">
        <v>23</v>
      </c>
    </row>
    <row r="726" spans="1:5">
      <c r="A726" s="3" t="s">
        <v>747</v>
      </c>
      <c r="B726" s="3" t="s">
        <v>22</v>
      </c>
      <c r="C726" s="3">
        <v>86964</v>
      </c>
      <c r="D726" s="3">
        <v>16426</v>
      </c>
      <c r="E726" s="3" t="s">
        <v>23</v>
      </c>
    </row>
    <row r="727" spans="1:5">
      <c r="A727" s="3" t="s">
        <v>748</v>
      </c>
      <c r="B727" s="3" t="s">
        <v>22</v>
      </c>
      <c r="C727" s="3">
        <v>901029</v>
      </c>
      <c r="D727" s="3">
        <v>252665</v>
      </c>
      <c r="E727" s="3" t="s">
        <v>23</v>
      </c>
    </row>
    <row r="728" spans="1:5">
      <c r="A728" s="3" t="s">
        <v>749</v>
      </c>
      <c r="B728" s="3" t="s">
        <v>22</v>
      </c>
      <c r="C728" s="3">
        <v>274242</v>
      </c>
      <c r="D728" s="3">
        <v>76374</v>
      </c>
      <c r="E728" s="3" t="s">
        <v>23</v>
      </c>
    </row>
    <row r="729" spans="1:5">
      <c r="A729" s="3" t="s">
        <v>750</v>
      </c>
      <c r="B729" s="3" t="s">
        <v>22</v>
      </c>
      <c r="C729" s="3">
        <v>688536</v>
      </c>
      <c r="D729" s="3">
        <v>178330</v>
      </c>
      <c r="E729" s="3" t="s">
        <v>23</v>
      </c>
    </row>
    <row r="730" spans="1:5">
      <c r="A730" s="3" t="s">
        <v>751</v>
      </c>
      <c r="B730" s="3" t="s">
        <v>22</v>
      </c>
      <c r="C730" s="3">
        <v>733203</v>
      </c>
      <c r="D730" s="3">
        <v>35800</v>
      </c>
      <c r="E730" s="3" t="s">
        <v>23</v>
      </c>
    </row>
    <row r="731" spans="1:5">
      <c r="A731" s="3" t="s">
        <v>752</v>
      </c>
      <c r="B731" s="3" t="s">
        <v>22</v>
      </c>
      <c r="C731" s="3">
        <v>788289</v>
      </c>
      <c r="D731" s="3">
        <v>28527</v>
      </c>
      <c r="E731" s="3" t="s">
        <v>23</v>
      </c>
    </row>
    <row r="732" spans="1:5">
      <c r="A732" s="3" t="s">
        <v>753</v>
      </c>
      <c r="B732" s="3" t="s">
        <v>22</v>
      </c>
      <c r="C732" s="3">
        <v>584416</v>
      </c>
      <c r="D732" s="3">
        <v>103059</v>
      </c>
      <c r="E732" s="3" t="s">
        <v>23</v>
      </c>
    </row>
    <row r="733" spans="1:5">
      <c r="A733" s="3" t="s">
        <v>754</v>
      </c>
      <c r="B733" s="3" t="s">
        <v>22</v>
      </c>
      <c r="C733" s="3">
        <v>893364</v>
      </c>
      <c r="D733" s="3">
        <v>111653</v>
      </c>
      <c r="E733" s="3" t="s">
        <v>23</v>
      </c>
    </row>
    <row r="734" spans="1:5">
      <c r="A734" s="3" t="s">
        <v>755</v>
      </c>
      <c r="B734" s="3" t="s">
        <v>22</v>
      </c>
      <c r="C734" s="3">
        <v>455376</v>
      </c>
      <c r="D734" s="3">
        <v>63734</v>
      </c>
      <c r="E734" s="3" t="s">
        <v>23</v>
      </c>
    </row>
    <row r="735" spans="1:5">
      <c r="A735" s="3" t="s">
        <v>756</v>
      </c>
      <c r="B735" s="3" t="s">
        <v>22</v>
      </c>
      <c r="C735" s="3">
        <v>783593</v>
      </c>
      <c r="D735" s="3">
        <v>254425</v>
      </c>
      <c r="E735" s="3" t="s">
        <v>23</v>
      </c>
    </row>
    <row r="736" spans="1:5">
      <c r="A736" s="3" t="s">
        <v>757</v>
      </c>
      <c r="B736" s="3" t="s">
        <v>22</v>
      </c>
      <c r="C736" s="3">
        <v>551483</v>
      </c>
      <c r="D736" s="3">
        <v>5830</v>
      </c>
      <c r="E736" s="3" t="s">
        <v>23</v>
      </c>
    </row>
    <row r="737" spans="1:5">
      <c r="A737" s="3" t="s">
        <v>758</v>
      </c>
      <c r="B737" s="3" t="s">
        <v>22</v>
      </c>
      <c r="C737" s="3">
        <v>1002062</v>
      </c>
      <c r="D737" s="3">
        <v>240732</v>
      </c>
      <c r="E737" s="3" t="s">
        <v>23</v>
      </c>
    </row>
    <row r="738" spans="1:5">
      <c r="A738" s="3" t="s">
        <v>759</v>
      </c>
      <c r="B738" s="3" t="s">
        <v>22</v>
      </c>
      <c r="C738" s="3">
        <v>629066</v>
      </c>
      <c r="D738" s="3">
        <v>103159</v>
      </c>
      <c r="E738" s="3" t="s">
        <v>23</v>
      </c>
    </row>
    <row r="739" spans="1:5">
      <c r="A739" s="3" t="s">
        <v>760</v>
      </c>
      <c r="B739" s="3" t="s">
        <v>22</v>
      </c>
      <c r="C739" s="3">
        <v>725806</v>
      </c>
      <c r="D739" s="3">
        <v>78415</v>
      </c>
      <c r="E739" s="3" t="s">
        <v>23</v>
      </c>
    </row>
    <row r="740" spans="1:5">
      <c r="A740" s="3" t="s">
        <v>761</v>
      </c>
      <c r="B740" s="3" t="s">
        <v>22</v>
      </c>
      <c r="C740" s="3">
        <v>789736</v>
      </c>
      <c r="D740" s="3">
        <v>206471</v>
      </c>
      <c r="E740" s="3" t="s">
        <v>23</v>
      </c>
    </row>
    <row r="741" spans="1:5">
      <c r="A741" s="3" t="s">
        <v>762</v>
      </c>
      <c r="B741" s="3" t="s">
        <v>22</v>
      </c>
      <c r="C741" s="3">
        <v>711603</v>
      </c>
      <c r="D741" s="3">
        <v>130621</v>
      </c>
      <c r="E741" s="3" t="s">
        <v>23</v>
      </c>
    </row>
    <row r="742" spans="1:5">
      <c r="A742" s="3" t="s">
        <v>763</v>
      </c>
      <c r="B742" s="3" t="s">
        <v>22</v>
      </c>
      <c r="C742" s="3">
        <v>567617</v>
      </c>
      <c r="D742" s="3">
        <v>30002</v>
      </c>
      <c r="E742" s="3" t="s">
        <v>23</v>
      </c>
    </row>
    <row r="743" spans="1:5">
      <c r="A743" s="3" t="s">
        <v>764</v>
      </c>
      <c r="B743" s="3" t="s">
        <v>22</v>
      </c>
      <c r="C743" s="3">
        <v>474072</v>
      </c>
      <c r="D743" s="3">
        <v>7754</v>
      </c>
      <c r="E743" s="3" t="s">
        <v>23</v>
      </c>
    </row>
    <row r="744" spans="1:5">
      <c r="A744" s="3" t="s">
        <v>765</v>
      </c>
      <c r="B744" s="3" t="s">
        <v>22</v>
      </c>
      <c r="C744" s="3">
        <v>618107</v>
      </c>
      <c r="D744" s="3">
        <v>155717</v>
      </c>
      <c r="E744" s="3" t="s">
        <v>23</v>
      </c>
    </row>
    <row r="745" spans="1:5">
      <c r="A745" s="3" t="s">
        <v>766</v>
      </c>
      <c r="B745" s="3" t="s">
        <v>22</v>
      </c>
      <c r="C745" s="3">
        <v>975876</v>
      </c>
      <c r="D745" s="3">
        <v>131278</v>
      </c>
      <c r="E745" s="3" t="s">
        <v>23</v>
      </c>
    </row>
    <row r="746" spans="1:5">
      <c r="A746" s="3" t="s">
        <v>767</v>
      </c>
      <c r="B746" s="3" t="s">
        <v>22</v>
      </c>
      <c r="C746" s="3">
        <v>350579</v>
      </c>
      <c r="D746" s="3">
        <v>33929</v>
      </c>
      <c r="E746" s="3" t="s">
        <v>23</v>
      </c>
    </row>
    <row r="747" spans="1:5">
      <c r="A747" s="3" t="s">
        <v>768</v>
      </c>
      <c r="B747" s="3" t="s">
        <v>22</v>
      </c>
      <c r="C747" s="3">
        <v>396711</v>
      </c>
      <c r="D747" s="3">
        <v>41999</v>
      </c>
      <c r="E747" s="3" t="s">
        <v>23</v>
      </c>
    </row>
    <row r="748" spans="1:5">
      <c r="A748" s="3" t="s">
        <v>769</v>
      </c>
      <c r="B748" s="3" t="s">
        <v>22</v>
      </c>
      <c r="C748" s="3">
        <v>290041</v>
      </c>
      <c r="D748" s="3">
        <v>77158</v>
      </c>
      <c r="E748" s="3" t="s">
        <v>23</v>
      </c>
    </row>
    <row r="749" spans="1:5">
      <c r="A749" s="3" t="s">
        <v>770</v>
      </c>
      <c r="B749" s="3" t="s">
        <v>22</v>
      </c>
      <c r="C749" s="3">
        <v>479655</v>
      </c>
      <c r="D749" s="3">
        <v>28174</v>
      </c>
      <c r="E749" s="3" t="s">
        <v>23</v>
      </c>
    </row>
    <row r="750" spans="1:5">
      <c r="A750" s="3" t="s">
        <v>771</v>
      </c>
      <c r="B750" s="3" t="s">
        <v>22</v>
      </c>
      <c r="C750" s="3">
        <v>443959</v>
      </c>
      <c r="D750" s="3">
        <v>2074</v>
      </c>
      <c r="E750" s="3" t="s">
        <v>23</v>
      </c>
    </row>
    <row r="751" spans="1:5">
      <c r="A751" s="3" t="s">
        <v>772</v>
      </c>
      <c r="B751" s="3" t="s">
        <v>22</v>
      </c>
      <c r="C751" s="3">
        <v>426566</v>
      </c>
      <c r="D751" s="3">
        <v>105008</v>
      </c>
      <c r="E751" s="3" t="s">
        <v>23</v>
      </c>
    </row>
    <row r="752" spans="1:5">
      <c r="A752" s="3" t="s">
        <v>773</v>
      </c>
      <c r="B752" s="3" t="s">
        <v>22</v>
      </c>
      <c r="C752" s="3">
        <v>475406</v>
      </c>
      <c r="D752" s="3">
        <v>124839</v>
      </c>
      <c r="E752" s="3" t="s">
        <v>23</v>
      </c>
    </row>
    <row r="753" spans="1:5">
      <c r="A753" s="3" t="s">
        <v>774</v>
      </c>
      <c r="B753" s="3" t="s">
        <v>22</v>
      </c>
      <c r="C753" s="3">
        <v>293172</v>
      </c>
      <c r="D753" s="3">
        <v>14277</v>
      </c>
      <c r="E753" s="3" t="s">
        <v>23</v>
      </c>
    </row>
    <row r="754" spans="1:5">
      <c r="A754" s="3" t="s">
        <v>775</v>
      </c>
      <c r="B754" s="3" t="s">
        <v>22</v>
      </c>
      <c r="C754" s="3">
        <v>282207</v>
      </c>
      <c r="D754" s="3">
        <v>3524</v>
      </c>
      <c r="E754" s="3" t="s">
        <v>23</v>
      </c>
    </row>
    <row r="755" spans="1:5">
      <c r="A755" s="3" t="s">
        <v>776</v>
      </c>
      <c r="B755" s="3" t="s">
        <v>22</v>
      </c>
      <c r="C755" s="3">
        <v>321775</v>
      </c>
      <c r="D755" s="3">
        <v>81071</v>
      </c>
      <c r="E755" s="3" t="s">
        <v>23</v>
      </c>
    </row>
    <row r="756" spans="1:5">
      <c r="A756" s="3" t="s">
        <v>777</v>
      </c>
      <c r="B756" s="3" t="s">
        <v>22</v>
      </c>
      <c r="C756" s="3">
        <v>514435</v>
      </c>
      <c r="D756" s="3">
        <v>121359</v>
      </c>
      <c r="E756" s="3" t="s">
        <v>23</v>
      </c>
    </row>
    <row r="757" spans="1:5">
      <c r="A757" s="3" t="s">
        <v>778</v>
      </c>
      <c r="B757" s="3" t="s">
        <v>22</v>
      </c>
      <c r="C757" s="3">
        <v>196103</v>
      </c>
      <c r="D757" s="3">
        <v>51956</v>
      </c>
      <c r="E757" s="3" t="s">
        <v>23</v>
      </c>
    </row>
    <row r="758" spans="1:5">
      <c r="A758" s="3" t="s">
        <v>779</v>
      </c>
      <c r="B758" s="3" t="s">
        <v>22</v>
      </c>
      <c r="C758" s="3">
        <v>378321</v>
      </c>
      <c r="D758" s="3">
        <v>23356</v>
      </c>
      <c r="E758" s="3" t="s">
        <v>23</v>
      </c>
    </row>
    <row r="759" spans="1:5">
      <c r="A759" s="3" t="s">
        <v>780</v>
      </c>
      <c r="B759" s="3" t="s">
        <v>22</v>
      </c>
      <c r="C759" s="3">
        <v>216268</v>
      </c>
      <c r="D759" s="3">
        <v>64709</v>
      </c>
      <c r="E759" s="3" t="s">
        <v>23</v>
      </c>
    </row>
    <row r="760" spans="1:5">
      <c r="A760" s="3" t="s">
        <v>781</v>
      </c>
      <c r="B760" s="3" t="s">
        <v>22</v>
      </c>
      <c r="C760" s="3">
        <v>251598</v>
      </c>
      <c r="D760" s="3">
        <v>581</v>
      </c>
      <c r="E760" s="3" t="s">
        <v>23</v>
      </c>
    </row>
    <row r="761" spans="1:5">
      <c r="A761" s="3" t="s">
        <v>782</v>
      </c>
      <c r="B761" s="3" t="s">
        <v>22</v>
      </c>
      <c r="C761" s="3">
        <v>366750</v>
      </c>
      <c r="D761" s="3">
        <v>14288</v>
      </c>
      <c r="E761" s="3" t="s">
        <v>23</v>
      </c>
    </row>
    <row r="762" spans="1:5">
      <c r="A762" s="3" t="s">
        <v>783</v>
      </c>
      <c r="B762" s="3" t="s">
        <v>22</v>
      </c>
      <c r="C762" s="3">
        <v>245777</v>
      </c>
      <c r="D762" s="3">
        <v>41007</v>
      </c>
      <c r="E762" s="3" t="s">
        <v>23</v>
      </c>
    </row>
    <row r="763" spans="1:5">
      <c r="A763" s="3" t="s">
        <v>784</v>
      </c>
      <c r="B763" s="3" t="s">
        <v>22</v>
      </c>
      <c r="C763" s="3">
        <v>514077</v>
      </c>
      <c r="D763" s="3">
        <v>101617</v>
      </c>
      <c r="E763" s="3" t="s">
        <v>23</v>
      </c>
    </row>
    <row r="764" spans="1:5">
      <c r="A764" s="3" t="s">
        <v>785</v>
      </c>
      <c r="B764" s="3" t="s">
        <v>22</v>
      </c>
      <c r="C764" s="3">
        <v>431218</v>
      </c>
      <c r="D764" s="3">
        <v>81415</v>
      </c>
      <c r="E764" s="3" t="s">
        <v>23</v>
      </c>
    </row>
    <row r="765" spans="1:5">
      <c r="A765" s="3" t="s">
        <v>786</v>
      </c>
      <c r="B765" s="3" t="s">
        <v>22</v>
      </c>
      <c r="C765" s="3">
        <v>243160</v>
      </c>
      <c r="D765" s="3">
        <v>315</v>
      </c>
      <c r="E765" s="3" t="s">
        <v>23</v>
      </c>
    </row>
    <row r="766" spans="1:5">
      <c r="A766" s="3" t="s">
        <v>787</v>
      </c>
      <c r="B766" s="3" t="s">
        <v>22</v>
      </c>
      <c r="C766" s="3">
        <v>298724</v>
      </c>
      <c r="D766" s="3">
        <v>74177</v>
      </c>
      <c r="E766" s="3" t="s">
        <v>23</v>
      </c>
    </row>
    <row r="767" spans="1:5">
      <c r="A767" s="3" t="s">
        <v>788</v>
      </c>
      <c r="B767" s="3" t="s">
        <v>22</v>
      </c>
      <c r="C767" s="3">
        <v>439198</v>
      </c>
      <c r="D767" s="3">
        <v>72867</v>
      </c>
      <c r="E767" s="3" t="s">
        <v>23</v>
      </c>
    </row>
    <row r="768" spans="1:5">
      <c r="A768" s="3" t="s">
        <v>789</v>
      </c>
      <c r="B768" s="3" t="s">
        <v>22</v>
      </c>
      <c r="C768" s="3">
        <v>279566</v>
      </c>
      <c r="D768" s="3">
        <v>35556</v>
      </c>
      <c r="E768" s="3" t="s">
        <v>23</v>
      </c>
    </row>
    <row r="769" spans="1:5">
      <c r="A769" s="3" t="s">
        <v>790</v>
      </c>
      <c r="B769" s="3" t="s">
        <v>22</v>
      </c>
      <c r="C769" s="3">
        <v>477460</v>
      </c>
      <c r="D769" s="3">
        <v>2474</v>
      </c>
      <c r="E769" s="3" t="s">
        <v>23</v>
      </c>
    </row>
    <row r="770" spans="1:5">
      <c r="A770" s="3" t="s">
        <v>791</v>
      </c>
      <c r="B770" s="3" t="s">
        <v>22</v>
      </c>
      <c r="C770" s="3">
        <v>507704</v>
      </c>
      <c r="D770" s="3">
        <v>71181</v>
      </c>
      <c r="E770" s="3" t="s">
        <v>23</v>
      </c>
    </row>
    <row r="771" spans="1:5">
      <c r="A771" s="3" t="s">
        <v>792</v>
      </c>
      <c r="B771" s="3" t="s">
        <v>22</v>
      </c>
      <c r="C771" s="3">
        <v>395559</v>
      </c>
      <c r="D771" s="3">
        <v>13287</v>
      </c>
      <c r="E771" s="3" t="s">
        <v>23</v>
      </c>
    </row>
    <row r="772" spans="1:5">
      <c r="A772" s="3" t="s">
        <v>793</v>
      </c>
      <c r="B772" s="3" t="s">
        <v>22</v>
      </c>
      <c r="C772" s="3">
        <v>554896</v>
      </c>
      <c r="D772" s="3">
        <v>85801</v>
      </c>
      <c r="E772" s="3" t="s">
        <v>23</v>
      </c>
    </row>
    <row r="773" spans="1:5">
      <c r="A773" s="3" t="s">
        <v>794</v>
      </c>
      <c r="B773" s="3" t="s">
        <v>22</v>
      </c>
      <c r="C773" s="3">
        <v>483063</v>
      </c>
      <c r="D773" s="3">
        <v>80647</v>
      </c>
      <c r="E773" s="3" t="s">
        <v>23</v>
      </c>
    </row>
    <row r="774" spans="1:5">
      <c r="A774" s="3" t="s">
        <v>795</v>
      </c>
      <c r="B774" s="3" t="s">
        <v>22</v>
      </c>
      <c r="C774" s="3">
        <v>265542</v>
      </c>
      <c r="D774" s="3">
        <v>59849</v>
      </c>
      <c r="E774" s="3" t="s">
        <v>23</v>
      </c>
    </row>
    <row r="775" spans="1:5">
      <c r="A775" s="3" t="s">
        <v>796</v>
      </c>
      <c r="B775" s="3" t="s">
        <v>22</v>
      </c>
      <c r="C775" s="3">
        <v>265100</v>
      </c>
      <c r="D775" s="3">
        <v>82920</v>
      </c>
      <c r="E775" s="3" t="s">
        <v>23</v>
      </c>
    </row>
    <row r="776" spans="1:5">
      <c r="A776" s="3" t="s">
        <v>797</v>
      </c>
      <c r="B776" s="3" t="s">
        <v>22</v>
      </c>
      <c r="C776" s="3">
        <v>490839</v>
      </c>
      <c r="D776" s="3">
        <v>11104</v>
      </c>
      <c r="E776" s="3" t="s">
        <v>23</v>
      </c>
    </row>
    <row r="777" spans="1:5">
      <c r="A777" s="3" t="s">
        <v>798</v>
      </c>
      <c r="B777" s="3" t="s">
        <v>22</v>
      </c>
      <c r="C777" s="3">
        <v>412426</v>
      </c>
      <c r="D777" s="3">
        <v>54711</v>
      </c>
      <c r="E777" s="3" t="s">
        <v>23</v>
      </c>
    </row>
    <row r="778" spans="1:5">
      <c r="A778" s="3" t="s">
        <v>799</v>
      </c>
      <c r="B778" s="3" t="s">
        <v>22</v>
      </c>
      <c r="C778" s="3">
        <v>599762</v>
      </c>
      <c r="D778" s="3">
        <v>49505</v>
      </c>
      <c r="E778" s="3" t="s">
        <v>23</v>
      </c>
    </row>
    <row r="779" spans="1:5">
      <c r="A779" s="3" t="s">
        <v>800</v>
      </c>
      <c r="B779" s="3" t="s">
        <v>22</v>
      </c>
      <c r="C779" s="3">
        <v>522910</v>
      </c>
      <c r="D779" s="3">
        <v>8217</v>
      </c>
      <c r="E779" s="3" t="s">
        <v>23</v>
      </c>
    </row>
    <row r="780" spans="1:5">
      <c r="A780" s="3" t="s">
        <v>801</v>
      </c>
      <c r="B780" s="3" t="s">
        <v>22</v>
      </c>
      <c r="C780" s="3">
        <v>580249</v>
      </c>
      <c r="D780" s="3">
        <v>73691</v>
      </c>
      <c r="E780" s="3" t="s">
        <v>23</v>
      </c>
    </row>
    <row r="781" spans="1:5">
      <c r="A781" s="3" t="s">
        <v>802</v>
      </c>
      <c r="B781" s="3" t="s">
        <v>22</v>
      </c>
      <c r="C781" s="3">
        <v>103228</v>
      </c>
      <c r="D781" s="3">
        <v>350</v>
      </c>
      <c r="E781" s="3" t="s">
        <v>23</v>
      </c>
    </row>
    <row r="782" spans="1:5">
      <c r="A782" s="3" t="s">
        <v>803</v>
      </c>
      <c r="B782" s="3" t="s">
        <v>22</v>
      </c>
      <c r="C782" s="3">
        <v>434512</v>
      </c>
      <c r="D782" s="3">
        <v>52159</v>
      </c>
      <c r="E782" s="3" t="s">
        <v>23</v>
      </c>
    </row>
    <row r="783" spans="1:5">
      <c r="A783" s="3" t="s">
        <v>804</v>
      </c>
      <c r="B783" s="3" t="s">
        <v>22</v>
      </c>
      <c r="C783" s="3">
        <v>444795</v>
      </c>
      <c r="D783" s="3">
        <v>29018</v>
      </c>
      <c r="E783" s="3" t="s">
        <v>23</v>
      </c>
    </row>
    <row r="784" spans="1:5">
      <c r="A784" s="3" t="s">
        <v>805</v>
      </c>
      <c r="B784" s="3" t="s">
        <v>22</v>
      </c>
      <c r="C784" s="3">
        <v>482639</v>
      </c>
      <c r="D784" s="3">
        <v>86947</v>
      </c>
      <c r="E784" s="3" t="s">
        <v>23</v>
      </c>
    </row>
    <row r="785" spans="1:5">
      <c r="A785" s="3" t="s">
        <v>806</v>
      </c>
      <c r="B785" s="3" t="s">
        <v>22</v>
      </c>
      <c r="C785" s="3">
        <v>406014</v>
      </c>
      <c r="D785" s="3">
        <v>19327</v>
      </c>
      <c r="E785" s="3" t="s">
        <v>23</v>
      </c>
    </row>
    <row r="786" spans="1:5">
      <c r="A786" s="3" t="s">
        <v>807</v>
      </c>
      <c r="B786" s="3" t="s">
        <v>22</v>
      </c>
      <c r="C786" s="3">
        <v>423914</v>
      </c>
      <c r="D786" s="3">
        <v>44025</v>
      </c>
      <c r="E786" s="3" t="s">
        <v>23</v>
      </c>
    </row>
    <row r="787" spans="1:5">
      <c r="A787" s="3" t="s">
        <v>808</v>
      </c>
      <c r="B787" s="3" t="s">
        <v>22</v>
      </c>
      <c r="C787" s="3">
        <v>257011</v>
      </c>
      <c r="D787" s="3">
        <v>31178</v>
      </c>
      <c r="E787" s="3" t="s">
        <v>23</v>
      </c>
    </row>
    <row r="788" spans="1:5">
      <c r="A788" s="3" t="s">
        <v>809</v>
      </c>
      <c r="B788" s="3" t="s">
        <v>22</v>
      </c>
      <c r="C788" s="3">
        <v>284293</v>
      </c>
      <c r="D788" s="3">
        <v>54788</v>
      </c>
      <c r="E788" s="3" t="s">
        <v>23</v>
      </c>
    </row>
    <row r="789" spans="1:5">
      <c r="A789" s="3" t="s">
        <v>810</v>
      </c>
      <c r="B789" s="3" t="s">
        <v>22</v>
      </c>
      <c r="C789" s="3">
        <v>340922</v>
      </c>
      <c r="D789" s="3">
        <v>32750</v>
      </c>
      <c r="E789" s="3" t="s">
        <v>23</v>
      </c>
    </row>
    <row r="790" spans="1:5">
      <c r="A790" s="3" t="s">
        <v>811</v>
      </c>
      <c r="B790" s="3" t="s">
        <v>22</v>
      </c>
      <c r="C790" s="3">
        <v>301175</v>
      </c>
      <c r="D790" s="3">
        <v>58696</v>
      </c>
      <c r="E790" s="3" t="s">
        <v>23</v>
      </c>
    </row>
    <row r="791" spans="1:5">
      <c r="A791" s="3" t="s">
        <v>812</v>
      </c>
      <c r="B791" s="3" t="s">
        <v>22</v>
      </c>
      <c r="C791" s="3">
        <v>404020</v>
      </c>
      <c r="D791" s="3">
        <v>19766</v>
      </c>
      <c r="E791" s="3" t="s">
        <v>23</v>
      </c>
    </row>
    <row r="792" spans="1:5">
      <c r="A792" s="3" t="s">
        <v>813</v>
      </c>
      <c r="B792" s="3" t="s">
        <v>22</v>
      </c>
      <c r="C792" s="3">
        <v>580671</v>
      </c>
      <c r="D792" s="3">
        <v>50667</v>
      </c>
      <c r="E792" s="3" t="s">
        <v>23</v>
      </c>
    </row>
    <row r="793" spans="1:5">
      <c r="A793" s="3" t="s">
        <v>814</v>
      </c>
      <c r="B793" s="3" t="s">
        <v>22</v>
      </c>
      <c r="C793" s="3">
        <v>393466</v>
      </c>
      <c r="D793" s="3">
        <v>57719</v>
      </c>
      <c r="E793" s="3" t="s">
        <v>23</v>
      </c>
    </row>
    <row r="794" spans="1:5">
      <c r="A794" s="3" t="s">
        <v>815</v>
      </c>
      <c r="B794" s="3" t="s">
        <v>22</v>
      </c>
      <c r="C794" s="3">
        <v>457971</v>
      </c>
      <c r="D794" s="3">
        <v>37743</v>
      </c>
      <c r="E794" s="3" t="s">
        <v>23</v>
      </c>
    </row>
    <row r="795" spans="1:5">
      <c r="A795" s="3" t="s">
        <v>816</v>
      </c>
      <c r="B795" s="3" t="s">
        <v>22</v>
      </c>
      <c r="C795" s="3">
        <v>479552</v>
      </c>
      <c r="D795" s="3">
        <v>48015</v>
      </c>
      <c r="E795" s="3" t="s">
        <v>23</v>
      </c>
    </row>
    <row r="796" spans="1:5">
      <c r="A796" s="3" t="s">
        <v>817</v>
      </c>
      <c r="B796" s="3" t="s">
        <v>22</v>
      </c>
      <c r="C796" s="3">
        <v>311703</v>
      </c>
      <c r="D796" s="3">
        <v>47296</v>
      </c>
      <c r="E796" s="3" t="s">
        <v>23</v>
      </c>
    </row>
    <row r="797" spans="1:5">
      <c r="A797" s="3" t="s">
        <v>818</v>
      </c>
      <c r="B797" s="3" t="s">
        <v>22</v>
      </c>
      <c r="C797" s="3">
        <v>363092</v>
      </c>
      <c r="D797" s="3">
        <v>82022</v>
      </c>
      <c r="E797" s="3" t="s">
        <v>23</v>
      </c>
    </row>
    <row r="798" spans="1:5">
      <c r="A798" s="3" t="s">
        <v>819</v>
      </c>
      <c r="B798" s="3" t="s">
        <v>22</v>
      </c>
      <c r="C798" s="3">
        <v>290496</v>
      </c>
      <c r="D798" s="3">
        <v>41265</v>
      </c>
      <c r="E798" s="3" t="s">
        <v>23</v>
      </c>
    </row>
    <row r="799" spans="1:5">
      <c r="A799" s="3" t="s">
        <v>820</v>
      </c>
      <c r="B799" s="3" t="s">
        <v>22</v>
      </c>
      <c r="C799" s="3">
        <v>470720</v>
      </c>
      <c r="D799" s="3">
        <v>43051</v>
      </c>
      <c r="E799" s="3" t="s">
        <v>23</v>
      </c>
    </row>
    <row r="800" spans="1:5">
      <c r="A800" s="3" t="s">
        <v>821</v>
      </c>
      <c r="B800" s="3" t="s">
        <v>22</v>
      </c>
      <c r="C800" s="3">
        <v>383683</v>
      </c>
      <c r="D800" s="3">
        <v>79527</v>
      </c>
      <c r="E800" s="3" t="s">
        <v>23</v>
      </c>
    </row>
    <row r="801" spans="1:5">
      <c r="A801" s="3" t="s">
        <v>822</v>
      </c>
      <c r="B801" s="3" t="s">
        <v>22</v>
      </c>
      <c r="C801" s="3">
        <v>394381</v>
      </c>
      <c r="D801" s="3">
        <v>19090</v>
      </c>
      <c r="E801" s="3" t="s">
        <v>23</v>
      </c>
    </row>
    <row r="802" spans="1:5">
      <c r="A802" s="3" t="s">
        <v>823</v>
      </c>
      <c r="B802" s="3" t="s">
        <v>22</v>
      </c>
      <c r="C802" s="3">
        <v>542877</v>
      </c>
      <c r="D802" s="3">
        <v>82103</v>
      </c>
      <c r="E802" s="3" t="s">
        <v>23</v>
      </c>
    </row>
    <row r="803" spans="1:5">
      <c r="A803" s="3" t="s">
        <v>824</v>
      </c>
      <c r="B803" s="3" t="s">
        <v>22</v>
      </c>
      <c r="C803" s="3">
        <v>299466</v>
      </c>
      <c r="D803" s="3">
        <v>43589</v>
      </c>
      <c r="E803" s="3" t="s">
        <v>23</v>
      </c>
    </row>
    <row r="804" spans="1:5">
      <c r="A804" s="3" t="s">
        <v>825</v>
      </c>
      <c r="B804" s="3" t="s">
        <v>22</v>
      </c>
      <c r="C804" s="3">
        <v>298397</v>
      </c>
      <c r="D804" s="3">
        <v>1998</v>
      </c>
      <c r="E804" s="3" t="s">
        <v>23</v>
      </c>
    </row>
    <row r="805" spans="1:5">
      <c r="A805" s="3" t="s">
        <v>826</v>
      </c>
      <c r="B805" s="3" t="s">
        <v>22</v>
      </c>
      <c r="C805" s="3">
        <v>553842</v>
      </c>
      <c r="D805" s="3">
        <v>9579</v>
      </c>
      <c r="E805" s="3" t="s">
        <v>23</v>
      </c>
    </row>
    <row r="806" spans="1:5">
      <c r="A806" s="3" t="s">
        <v>827</v>
      </c>
      <c r="B806" s="3" t="s">
        <v>22</v>
      </c>
      <c r="C806" s="3">
        <v>442043</v>
      </c>
      <c r="D806" s="3">
        <v>123109</v>
      </c>
      <c r="E806" s="3" t="s">
        <v>23</v>
      </c>
    </row>
    <row r="807" spans="1:5">
      <c r="A807" s="3" t="s">
        <v>828</v>
      </c>
      <c r="B807" s="3" t="s">
        <v>22</v>
      </c>
      <c r="C807" s="3">
        <v>365406</v>
      </c>
      <c r="D807" s="3">
        <v>30951</v>
      </c>
      <c r="E807" s="3" t="s">
        <v>23</v>
      </c>
    </row>
    <row r="808" spans="1:5">
      <c r="A808" s="3" t="s">
        <v>829</v>
      </c>
      <c r="B808" s="3" t="s">
        <v>22</v>
      </c>
      <c r="C808" s="3">
        <v>402433</v>
      </c>
      <c r="D808" s="3">
        <v>68601</v>
      </c>
      <c r="E808" s="3" t="s">
        <v>23</v>
      </c>
    </row>
    <row r="809" spans="1:5">
      <c r="A809" s="3" t="s">
        <v>830</v>
      </c>
      <c r="B809" s="3" t="s">
        <v>22</v>
      </c>
      <c r="C809" s="3">
        <v>630142</v>
      </c>
      <c r="D809" s="3">
        <v>77539</v>
      </c>
      <c r="E809" s="3" t="s">
        <v>23</v>
      </c>
    </row>
    <row r="810" spans="1:5">
      <c r="A810" s="3" t="s">
        <v>831</v>
      </c>
      <c r="B810" s="3" t="s">
        <v>22</v>
      </c>
      <c r="C810" s="3">
        <v>494599</v>
      </c>
      <c r="D810" s="3">
        <v>47725</v>
      </c>
      <c r="E810" s="3" t="s">
        <v>23</v>
      </c>
    </row>
    <row r="811" spans="1:5">
      <c r="A811" s="3" t="s">
        <v>832</v>
      </c>
      <c r="B811" s="3" t="s">
        <v>22</v>
      </c>
      <c r="C811" s="3">
        <v>382978</v>
      </c>
      <c r="D811" s="3">
        <v>31916</v>
      </c>
      <c r="E811" s="3" t="s">
        <v>23</v>
      </c>
    </row>
    <row r="812" spans="1:5">
      <c r="A812" s="3" t="s">
        <v>833</v>
      </c>
      <c r="B812" s="3" t="s">
        <v>22</v>
      </c>
      <c r="C812" s="3">
        <v>269275</v>
      </c>
      <c r="D812" s="3">
        <v>18096</v>
      </c>
      <c r="E812" s="3" t="s">
        <v>23</v>
      </c>
    </row>
    <row r="813" spans="1:5">
      <c r="A813" s="3" t="s">
        <v>834</v>
      </c>
      <c r="B813" s="3" t="s">
        <v>22</v>
      </c>
      <c r="C813" s="3">
        <v>352610</v>
      </c>
      <c r="D813" s="3">
        <v>67570</v>
      </c>
      <c r="E813" s="3" t="s">
        <v>23</v>
      </c>
    </row>
    <row r="814" spans="1:5">
      <c r="A814" s="3" t="s">
        <v>835</v>
      </c>
      <c r="B814" s="3" t="s">
        <v>22</v>
      </c>
      <c r="C814" s="3">
        <v>453566</v>
      </c>
      <c r="D814" s="3">
        <v>67562</v>
      </c>
      <c r="E814" s="3" t="s">
        <v>23</v>
      </c>
    </row>
    <row r="815" spans="1:5">
      <c r="A815" s="3" t="s">
        <v>836</v>
      </c>
      <c r="B815" s="3" t="s">
        <v>22</v>
      </c>
      <c r="C815" s="3">
        <v>371209</v>
      </c>
      <c r="D815" s="3">
        <v>57552</v>
      </c>
      <c r="E815" s="3" t="s">
        <v>23</v>
      </c>
    </row>
    <row r="816" spans="1:5">
      <c r="A816" s="3" t="s">
        <v>837</v>
      </c>
      <c r="B816" s="3" t="s">
        <v>22</v>
      </c>
      <c r="C816" s="3">
        <v>394805</v>
      </c>
      <c r="D816" s="3">
        <v>28517</v>
      </c>
      <c r="E816" s="3" t="s">
        <v>23</v>
      </c>
    </row>
    <row r="817" spans="1:5">
      <c r="A817" s="3" t="s">
        <v>838</v>
      </c>
      <c r="B817" s="3" t="s">
        <v>22</v>
      </c>
      <c r="C817" s="3">
        <v>370120</v>
      </c>
      <c r="D817" s="3">
        <v>31611</v>
      </c>
      <c r="E817" s="3" t="s">
        <v>23</v>
      </c>
    </row>
    <row r="818" spans="1:5">
      <c r="A818" s="3" t="s">
        <v>839</v>
      </c>
      <c r="B818" s="3" t="s">
        <v>22</v>
      </c>
      <c r="C818" s="3">
        <v>369695</v>
      </c>
      <c r="D818" s="3">
        <v>11620</v>
      </c>
      <c r="E818" s="3" t="s">
        <v>23</v>
      </c>
    </row>
    <row r="819" spans="1:5">
      <c r="A819" s="3" t="s">
        <v>840</v>
      </c>
      <c r="B819" s="3" t="s">
        <v>22</v>
      </c>
      <c r="C819" s="3">
        <v>494333</v>
      </c>
      <c r="D819" s="3">
        <v>101666</v>
      </c>
      <c r="E819" s="3" t="s">
        <v>23</v>
      </c>
    </row>
    <row r="820" spans="1:5">
      <c r="A820" s="3" t="s">
        <v>841</v>
      </c>
      <c r="B820" s="3" t="s">
        <v>22</v>
      </c>
      <c r="C820" s="3">
        <v>521895</v>
      </c>
      <c r="D820" s="3">
        <v>96059</v>
      </c>
      <c r="E820" s="3" t="s">
        <v>23</v>
      </c>
    </row>
    <row r="821" spans="1:5">
      <c r="A821" s="3" t="s">
        <v>842</v>
      </c>
      <c r="B821" s="3" t="s">
        <v>22</v>
      </c>
      <c r="C821" s="3">
        <v>143375</v>
      </c>
      <c r="D821" s="3">
        <v>33632</v>
      </c>
      <c r="E821" s="3" t="s">
        <v>23</v>
      </c>
    </row>
    <row r="822" spans="1:5">
      <c r="A822" s="3" t="s">
        <v>843</v>
      </c>
      <c r="B822" s="3" t="s">
        <v>22</v>
      </c>
      <c r="C822" s="3">
        <v>448542</v>
      </c>
      <c r="D822" s="3">
        <v>46740</v>
      </c>
      <c r="E822" s="3" t="s">
        <v>23</v>
      </c>
    </row>
    <row r="823" spans="1:5">
      <c r="A823" s="3" t="s">
        <v>844</v>
      </c>
      <c r="B823" s="3" t="s">
        <v>22</v>
      </c>
      <c r="C823" s="3">
        <v>535386</v>
      </c>
      <c r="D823" s="3">
        <v>35305</v>
      </c>
      <c r="E823" s="3" t="s">
        <v>23</v>
      </c>
    </row>
    <row r="824" spans="1:5">
      <c r="A824" s="3" t="s">
        <v>845</v>
      </c>
      <c r="B824" s="3" t="s">
        <v>22</v>
      </c>
      <c r="C824" s="3">
        <v>384868</v>
      </c>
      <c r="D824" s="3">
        <v>30252</v>
      </c>
      <c r="E824" s="3" t="s">
        <v>23</v>
      </c>
    </row>
    <row r="825" spans="1:5">
      <c r="A825" s="3" t="s">
        <v>846</v>
      </c>
      <c r="B825" s="3" t="s">
        <v>22</v>
      </c>
      <c r="C825" s="3">
        <v>375466</v>
      </c>
      <c r="D825" s="3">
        <v>45371</v>
      </c>
      <c r="E825" s="3" t="s">
        <v>23</v>
      </c>
    </row>
    <row r="826" spans="1:5">
      <c r="A826" s="3" t="s">
        <v>847</v>
      </c>
      <c r="B826" s="3" t="s">
        <v>22</v>
      </c>
      <c r="C826" s="3">
        <v>415841</v>
      </c>
      <c r="D826" s="3">
        <v>46517</v>
      </c>
      <c r="E826" s="3" t="s">
        <v>23</v>
      </c>
    </row>
    <row r="827" spans="1:5">
      <c r="A827" s="3" t="s">
        <v>848</v>
      </c>
      <c r="B827" s="3" t="s">
        <v>22</v>
      </c>
      <c r="C827" s="3">
        <v>258278</v>
      </c>
      <c r="D827" s="3">
        <v>31288</v>
      </c>
      <c r="E827" s="3" t="s">
        <v>23</v>
      </c>
    </row>
    <row r="828" spans="1:5">
      <c r="A828" s="3" t="s">
        <v>849</v>
      </c>
      <c r="B828" s="3" t="s">
        <v>22</v>
      </c>
      <c r="C828" s="3">
        <v>377202</v>
      </c>
      <c r="D828" s="3">
        <v>51910</v>
      </c>
      <c r="E828" s="3" t="s">
        <v>23</v>
      </c>
    </row>
    <row r="829" spans="1:5">
      <c r="A829" s="3" t="s">
        <v>850</v>
      </c>
      <c r="B829" s="3" t="s">
        <v>22</v>
      </c>
      <c r="C829" s="3">
        <v>268528</v>
      </c>
      <c r="D829" s="3">
        <v>22170</v>
      </c>
      <c r="E829" s="3" t="s">
        <v>23</v>
      </c>
    </row>
    <row r="830" spans="1:5">
      <c r="A830" s="3" t="s">
        <v>851</v>
      </c>
      <c r="B830" s="3" t="s">
        <v>22</v>
      </c>
      <c r="C830" s="3">
        <v>439770</v>
      </c>
      <c r="D830" s="3">
        <v>60553</v>
      </c>
      <c r="E830" s="3" t="s">
        <v>23</v>
      </c>
    </row>
    <row r="831" spans="1:5">
      <c r="A831" s="3" t="s">
        <v>852</v>
      </c>
      <c r="B831" s="3" t="s">
        <v>22</v>
      </c>
      <c r="C831" s="3">
        <v>311592</v>
      </c>
      <c r="D831" s="3">
        <v>64540</v>
      </c>
      <c r="E831" s="3" t="s">
        <v>23</v>
      </c>
    </row>
    <row r="832" spans="1:5">
      <c r="A832" s="3" t="s">
        <v>853</v>
      </c>
      <c r="B832" s="3" t="s">
        <v>22</v>
      </c>
      <c r="C832" s="3">
        <v>366106</v>
      </c>
      <c r="D832" s="3">
        <v>29396</v>
      </c>
      <c r="E832" s="3" t="s">
        <v>23</v>
      </c>
    </row>
    <row r="833" spans="1:5">
      <c r="A833" s="3" t="s">
        <v>854</v>
      </c>
      <c r="B833" s="3" t="s">
        <v>22</v>
      </c>
      <c r="C833" s="3">
        <v>409322</v>
      </c>
      <c r="D833" s="3">
        <v>77701</v>
      </c>
      <c r="E833" s="3" t="s">
        <v>23</v>
      </c>
    </row>
    <row r="834" spans="1:5">
      <c r="A834" s="3" t="s">
        <v>855</v>
      </c>
      <c r="B834" s="3" t="s">
        <v>22</v>
      </c>
      <c r="C834" s="3">
        <v>304017</v>
      </c>
      <c r="D834" s="3">
        <v>36322</v>
      </c>
      <c r="E834" s="3" t="s">
        <v>23</v>
      </c>
    </row>
    <row r="835" spans="1:5">
      <c r="A835" s="3" t="s">
        <v>856</v>
      </c>
      <c r="B835" s="3" t="s">
        <v>22</v>
      </c>
      <c r="C835" s="3">
        <v>389648</v>
      </c>
      <c r="D835" s="3">
        <v>9648</v>
      </c>
      <c r="E835" s="3" t="s">
        <v>23</v>
      </c>
    </row>
    <row r="836" spans="1:5">
      <c r="A836" s="3" t="s">
        <v>857</v>
      </c>
      <c r="B836" s="3" t="s">
        <v>22</v>
      </c>
      <c r="C836" s="3">
        <v>280616</v>
      </c>
      <c r="D836" s="3">
        <v>2595</v>
      </c>
      <c r="E836" s="3" t="s">
        <v>23</v>
      </c>
    </row>
    <row r="837" spans="1:5">
      <c r="A837" s="3" t="s">
        <v>858</v>
      </c>
      <c r="B837" s="3" t="s">
        <v>22</v>
      </c>
      <c r="C837" s="3">
        <v>422224</v>
      </c>
      <c r="D837" s="3">
        <v>91126</v>
      </c>
      <c r="E837" s="3" t="s">
        <v>23</v>
      </c>
    </row>
    <row r="838" spans="1:5">
      <c r="A838" s="3" t="s">
        <v>859</v>
      </c>
      <c r="B838" s="3" t="s">
        <v>22</v>
      </c>
      <c r="C838" s="3">
        <v>370237</v>
      </c>
      <c r="D838" s="3">
        <v>24746</v>
      </c>
      <c r="E838" s="3" t="s">
        <v>23</v>
      </c>
    </row>
    <row r="839" spans="1:5">
      <c r="A839" s="3" t="s">
        <v>860</v>
      </c>
      <c r="B839" s="3" t="s">
        <v>22</v>
      </c>
      <c r="C839" s="3">
        <v>395818</v>
      </c>
      <c r="D839" s="3">
        <v>38276</v>
      </c>
      <c r="E839" s="3" t="s">
        <v>23</v>
      </c>
    </row>
    <row r="840" spans="1:5">
      <c r="A840" s="3" t="s">
        <v>861</v>
      </c>
      <c r="B840" s="3" t="s">
        <v>22</v>
      </c>
      <c r="C840" s="3">
        <v>578724</v>
      </c>
      <c r="D840" s="3">
        <v>61957</v>
      </c>
      <c r="E840" s="3" t="s">
        <v>23</v>
      </c>
    </row>
    <row r="841" spans="1:5">
      <c r="A841" s="3" t="s">
        <v>862</v>
      </c>
      <c r="B841" s="3" t="s">
        <v>22</v>
      </c>
      <c r="C841" s="3">
        <v>285778</v>
      </c>
      <c r="D841" s="3">
        <v>62329</v>
      </c>
      <c r="E841" s="3" t="s">
        <v>23</v>
      </c>
    </row>
    <row r="842" spans="1:5">
      <c r="A842" s="3" t="s">
        <v>863</v>
      </c>
      <c r="B842" s="3" t="s">
        <v>22</v>
      </c>
      <c r="C842" s="3">
        <v>460808</v>
      </c>
      <c r="D842" s="3">
        <v>30819</v>
      </c>
      <c r="E842" s="3" t="s">
        <v>23</v>
      </c>
    </row>
    <row r="843" spans="1:5">
      <c r="A843" s="3" t="s">
        <v>864</v>
      </c>
      <c r="B843" s="3" t="s">
        <v>22</v>
      </c>
      <c r="C843" s="3">
        <v>619160</v>
      </c>
      <c r="D843" s="3">
        <v>9559</v>
      </c>
      <c r="E843" s="3" t="s">
        <v>23</v>
      </c>
    </row>
    <row r="844" spans="1:5">
      <c r="A844" s="3" t="s">
        <v>865</v>
      </c>
      <c r="B844" s="3" t="s">
        <v>22</v>
      </c>
      <c r="C844" s="3">
        <v>541913</v>
      </c>
      <c r="D844" s="3">
        <v>147304</v>
      </c>
      <c r="E844" s="3" t="s">
        <v>23</v>
      </c>
    </row>
    <row r="845" spans="1:5">
      <c r="A845" s="3" t="s">
        <v>866</v>
      </c>
      <c r="B845" s="3" t="s">
        <v>22</v>
      </c>
      <c r="C845" s="3">
        <v>511414</v>
      </c>
      <c r="D845" s="3">
        <v>112200</v>
      </c>
      <c r="E845" s="3" t="s">
        <v>23</v>
      </c>
    </row>
    <row r="846" spans="1:5">
      <c r="A846" s="3" t="s">
        <v>867</v>
      </c>
      <c r="B846" s="3" t="s">
        <v>22</v>
      </c>
      <c r="C846" s="3">
        <v>306700</v>
      </c>
      <c r="D846" s="3">
        <v>2062</v>
      </c>
      <c r="E846" s="3" t="s">
        <v>23</v>
      </c>
    </row>
    <row r="847" spans="1:5">
      <c r="A847" s="3" t="s">
        <v>868</v>
      </c>
      <c r="B847" s="3" t="s">
        <v>22</v>
      </c>
      <c r="C847" s="3">
        <v>391778</v>
      </c>
      <c r="D847" s="3">
        <v>23406</v>
      </c>
      <c r="E847" s="3" t="s">
        <v>23</v>
      </c>
    </row>
    <row r="848" spans="1:5">
      <c r="A848" s="3" t="s">
        <v>869</v>
      </c>
      <c r="B848" s="3" t="s">
        <v>22</v>
      </c>
      <c r="C848" s="3">
        <v>318438</v>
      </c>
      <c r="D848" s="3">
        <v>59501</v>
      </c>
      <c r="E848" s="3" t="s">
        <v>23</v>
      </c>
    </row>
    <row r="849" spans="1:5">
      <c r="A849" s="3" t="s">
        <v>870</v>
      </c>
      <c r="B849" s="3" t="s">
        <v>22</v>
      </c>
      <c r="C849" s="3">
        <v>742551</v>
      </c>
      <c r="D849" s="3">
        <v>95237</v>
      </c>
      <c r="E849" s="3" t="s">
        <v>23</v>
      </c>
    </row>
    <row r="850" spans="1:5">
      <c r="A850" s="3" t="s">
        <v>871</v>
      </c>
      <c r="B850" s="3" t="s">
        <v>22</v>
      </c>
      <c r="C850" s="3">
        <v>247969</v>
      </c>
      <c r="D850" s="3">
        <v>64142</v>
      </c>
      <c r="E850" s="3" t="s">
        <v>23</v>
      </c>
    </row>
    <row r="851" spans="1:5">
      <c r="A851" s="3" t="s">
        <v>872</v>
      </c>
      <c r="B851" s="3" t="s">
        <v>22</v>
      </c>
      <c r="C851" s="3">
        <v>447225</v>
      </c>
      <c r="D851" s="3">
        <v>51657</v>
      </c>
      <c r="E851" s="3" t="s">
        <v>23</v>
      </c>
    </row>
    <row r="852" spans="1:5">
      <c r="A852" s="3" t="s">
        <v>873</v>
      </c>
      <c r="B852" s="3" t="s">
        <v>22</v>
      </c>
      <c r="C852" s="3">
        <v>293234</v>
      </c>
      <c r="D852" s="3">
        <v>73804</v>
      </c>
      <c r="E852" s="3" t="s">
        <v>23</v>
      </c>
    </row>
    <row r="853" spans="1:5">
      <c r="A853" s="3" t="s">
        <v>874</v>
      </c>
      <c r="B853" s="3" t="s">
        <v>22</v>
      </c>
      <c r="C853" s="3">
        <v>453428</v>
      </c>
      <c r="D853" s="3">
        <v>923</v>
      </c>
      <c r="E853" s="3" t="s">
        <v>23</v>
      </c>
    </row>
    <row r="854" spans="1:5">
      <c r="A854" s="3" t="s">
        <v>875</v>
      </c>
      <c r="B854" s="3" t="s">
        <v>22</v>
      </c>
      <c r="C854" s="3">
        <v>672899</v>
      </c>
      <c r="D854" s="3">
        <v>15531</v>
      </c>
      <c r="E854" s="3" t="s">
        <v>23</v>
      </c>
    </row>
    <row r="855" spans="1:5">
      <c r="A855" s="3" t="s">
        <v>876</v>
      </c>
      <c r="B855" s="3" t="s">
        <v>22</v>
      </c>
      <c r="C855" s="3">
        <v>360598</v>
      </c>
      <c r="D855" s="3">
        <v>86919</v>
      </c>
      <c r="E855" s="3" t="s">
        <v>23</v>
      </c>
    </row>
    <row r="856" spans="1:5">
      <c r="A856" s="3" t="s">
        <v>877</v>
      </c>
      <c r="B856" s="3" t="s">
        <v>22</v>
      </c>
      <c r="C856" s="3">
        <v>527615</v>
      </c>
      <c r="D856" s="3">
        <v>133210</v>
      </c>
      <c r="E856" s="3" t="s">
        <v>23</v>
      </c>
    </row>
    <row r="857" spans="1:5">
      <c r="A857" s="3" t="s">
        <v>878</v>
      </c>
      <c r="B857" s="3" t="s">
        <v>22</v>
      </c>
      <c r="C857" s="3">
        <v>415468</v>
      </c>
      <c r="D857" s="3">
        <v>108936</v>
      </c>
      <c r="E857" s="3" t="s">
        <v>23</v>
      </c>
    </row>
    <row r="858" spans="1:5">
      <c r="A858" s="3" t="s">
        <v>879</v>
      </c>
      <c r="B858" s="3" t="s">
        <v>22</v>
      </c>
      <c r="C858" s="3">
        <v>414325</v>
      </c>
      <c r="D858" s="3">
        <v>3484</v>
      </c>
      <c r="E858" s="3" t="s">
        <v>23</v>
      </c>
    </row>
    <row r="859" spans="1:5">
      <c r="A859" s="3" t="s">
        <v>880</v>
      </c>
      <c r="B859" s="3" t="s">
        <v>22</v>
      </c>
      <c r="C859" s="3">
        <v>529012</v>
      </c>
      <c r="D859" s="3">
        <v>140012</v>
      </c>
      <c r="E859" s="3" t="s">
        <v>23</v>
      </c>
    </row>
    <row r="860" spans="1:5">
      <c r="A860" s="3" t="s">
        <v>881</v>
      </c>
      <c r="B860" s="3" t="s">
        <v>22</v>
      </c>
      <c r="C860" s="3">
        <v>558608</v>
      </c>
      <c r="D860" s="3">
        <v>67392</v>
      </c>
      <c r="E860" s="3" t="s">
        <v>23</v>
      </c>
    </row>
    <row r="861" spans="1:5">
      <c r="A861" s="3" t="s">
        <v>882</v>
      </c>
      <c r="B861" s="3" t="s">
        <v>22</v>
      </c>
      <c r="C861" s="3">
        <v>513075</v>
      </c>
      <c r="D861" s="3">
        <v>104048</v>
      </c>
      <c r="E861" s="3" t="s">
        <v>23</v>
      </c>
    </row>
    <row r="862" spans="1:5">
      <c r="A862" s="3" t="s">
        <v>883</v>
      </c>
      <c r="B862" s="3" t="s">
        <v>22</v>
      </c>
      <c r="C862" s="3">
        <v>41657</v>
      </c>
      <c r="D862" s="3">
        <v>5556</v>
      </c>
      <c r="E862" s="3" t="s">
        <v>23</v>
      </c>
    </row>
    <row r="863" spans="1:5">
      <c r="A863" s="3" t="s">
        <v>884</v>
      </c>
      <c r="B863" s="3" t="s">
        <v>22</v>
      </c>
      <c r="C863" s="3">
        <v>708703</v>
      </c>
      <c r="D863" s="3">
        <v>161602</v>
      </c>
      <c r="E863" s="3" t="s">
        <v>23</v>
      </c>
    </row>
    <row r="864" spans="1:5">
      <c r="A864" s="3" t="s">
        <v>885</v>
      </c>
      <c r="B864" s="3" t="s">
        <v>22</v>
      </c>
      <c r="C864" s="3">
        <v>682764</v>
      </c>
      <c r="D864" s="3">
        <v>25680</v>
      </c>
      <c r="E864" s="3" t="s">
        <v>23</v>
      </c>
    </row>
    <row r="865" spans="1:5">
      <c r="A865" s="3" t="s">
        <v>886</v>
      </c>
      <c r="B865" s="3" t="s">
        <v>22</v>
      </c>
      <c r="C865" s="3">
        <v>666422</v>
      </c>
      <c r="D865" s="3">
        <v>40945</v>
      </c>
      <c r="E865" s="3" t="s">
        <v>23</v>
      </c>
    </row>
    <row r="866" spans="1:5">
      <c r="A866" s="3" t="s">
        <v>887</v>
      </c>
      <c r="B866" s="3" t="s">
        <v>22</v>
      </c>
      <c r="C866" s="3">
        <v>435067</v>
      </c>
      <c r="D866" s="3">
        <v>47371</v>
      </c>
      <c r="E866" s="3" t="s">
        <v>23</v>
      </c>
    </row>
    <row r="867" spans="1:5">
      <c r="A867" s="3" t="s">
        <v>888</v>
      </c>
      <c r="B867" s="3" t="s">
        <v>22</v>
      </c>
      <c r="C867" s="3">
        <v>398740</v>
      </c>
      <c r="D867" s="3">
        <v>89547</v>
      </c>
      <c r="E867" s="3" t="s">
        <v>23</v>
      </c>
    </row>
    <row r="868" spans="1:5">
      <c r="A868" s="3" t="s">
        <v>889</v>
      </c>
      <c r="B868" s="3" t="s">
        <v>22</v>
      </c>
      <c r="C868" s="3">
        <v>229801</v>
      </c>
      <c r="D868" s="3">
        <v>67295</v>
      </c>
      <c r="E868" s="3" t="s">
        <v>23</v>
      </c>
    </row>
    <row r="869" spans="1:5">
      <c r="A869" s="3" t="s">
        <v>890</v>
      </c>
      <c r="B869" s="3" t="s">
        <v>22</v>
      </c>
      <c r="C869" s="3">
        <v>636149</v>
      </c>
      <c r="D869" s="3">
        <v>7381</v>
      </c>
      <c r="E869" s="3" t="s">
        <v>23</v>
      </c>
    </row>
    <row r="870" spans="1:5">
      <c r="A870" s="3" t="s">
        <v>891</v>
      </c>
      <c r="B870" s="3" t="s">
        <v>22</v>
      </c>
      <c r="C870" s="3">
        <v>730577</v>
      </c>
      <c r="D870" s="3">
        <v>160176</v>
      </c>
      <c r="E870" s="3" t="s">
        <v>23</v>
      </c>
    </row>
    <row r="871" spans="1:5">
      <c r="A871" s="3" t="s">
        <v>892</v>
      </c>
      <c r="B871" s="3" t="s">
        <v>22</v>
      </c>
      <c r="C871" s="3">
        <v>873534</v>
      </c>
      <c r="D871" s="3">
        <v>36047</v>
      </c>
      <c r="E871" s="3" t="s">
        <v>23</v>
      </c>
    </row>
    <row r="872" spans="1:5">
      <c r="A872" s="3" t="s">
        <v>893</v>
      </c>
      <c r="B872" s="3" t="s">
        <v>22</v>
      </c>
      <c r="C872" s="3">
        <v>813654</v>
      </c>
      <c r="D872" s="3">
        <v>114349</v>
      </c>
      <c r="E872" s="3" t="s">
        <v>23</v>
      </c>
    </row>
    <row r="873" spans="1:5">
      <c r="A873" s="3" t="s">
        <v>894</v>
      </c>
      <c r="B873" s="3" t="s">
        <v>22</v>
      </c>
      <c r="C873" s="3">
        <v>696939</v>
      </c>
      <c r="D873" s="3">
        <v>16101</v>
      </c>
      <c r="E873" s="3" t="s">
        <v>23</v>
      </c>
    </row>
    <row r="874" spans="1:5">
      <c r="A874" s="3" t="s">
        <v>895</v>
      </c>
      <c r="B874" s="3" t="s">
        <v>22</v>
      </c>
      <c r="C874" s="3">
        <v>309606</v>
      </c>
      <c r="D874" s="3">
        <v>20370</v>
      </c>
      <c r="E874" s="3" t="s">
        <v>23</v>
      </c>
    </row>
    <row r="875" spans="1:5">
      <c r="A875" s="3" t="s">
        <v>896</v>
      </c>
      <c r="B875" s="3" t="s">
        <v>22</v>
      </c>
      <c r="C875" s="3">
        <v>724946</v>
      </c>
      <c r="D875" s="3">
        <v>151213</v>
      </c>
      <c r="E875" s="3" t="s">
        <v>23</v>
      </c>
    </row>
    <row r="876" spans="1:5">
      <c r="A876" s="3" t="s">
        <v>897</v>
      </c>
      <c r="B876" s="3" t="s">
        <v>22</v>
      </c>
      <c r="C876" s="3">
        <v>301803</v>
      </c>
      <c r="D876" s="3">
        <v>5343</v>
      </c>
      <c r="E876" s="3" t="s">
        <v>23</v>
      </c>
    </row>
    <row r="877" spans="1:5">
      <c r="A877" s="3" t="s">
        <v>898</v>
      </c>
      <c r="B877" s="3" t="s">
        <v>22</v>
      </c>
      <c r="C877" s="3">
        <v>591184</v>
      </c>
      <c r="D877" s="3">
        <v>114378</v>
      </c>
      <c r="E877" s="3" t="s">
        <v>23</v>
      </c>
    </row>
    <row r="878" spans="1:5">
      <c r="A878" s="3" t="s">
        <v>899</v>
      </c>
      <c r="B878" s="3" t="s">
        <v>22</v>
      </c>
      <c r="C878" s="3">
        <v>725629</v>
      </c>
      <c r="D878" s="3">
        <v>121579</v>
      </c>
      <c r="E878" s="3" t="s">
        <v>23</v>
      </c>
    </row>
    <row r="879" spans="1:5">
      <c r="A879" s="3" t="s">
        <v>900</v>
      </c>
      <c r="B879" s="3" t="s">
        <v>22</v>
      </c>
      <c r="C879" s="3">
        <v>560409</v>
      </c>
      <c r="D879" s="3">
        <v>67534</v>
      </c>
      <c r="E879" s="3" t="s">
        <v>23</v>
      </c>
    </row>
    <row r="880" spans="1:5">
      <c r="A880" s="3" t="s">
        <v>901</v>
      </c>
      <c r="B880" s="3" t="s">
        <v>22</v>
      </c>
      <c r="C880" s="3">
        <v>692967</v>
      </c>
      <c r="D880" s="3">
        <v>45139</v>
      </c>
      <c r="E880" s="3" t="s">
        <v>23</v>
      </c>
    </row>
    <row r="881" spans="1:5">
      <c r="A881" s="3" t="s">
        <v>902</v>
      </c>
      <c r="B881" s="3" t="s">
        <v>22</v>
      </c>
      <c r="C881" s="3">
        <v>641810</v>
      </c>
      <c r="D881" s="3">
        <v>89007</v>
      </c>
      <c r="E881" s="3" t="s">
        <v>23</v>
      </c>
    </row>
    <row r="882" spans="1:5">
      <c r="A882" s="3" t="s">
        <v>903</v>
      </c>
      <c r="B882" s="3" t="s">
        <v>22</v>
      </c>
      <c r="C882" s="3">
        <v>512889</v>
      </c>
      <c r="D882" s="3">
        <v>14523</v>
      </c>
      <c r="E882" s="3" t="s">
        <v>23</v>
      </c>
    </row>
    <row r="883" spans="1:5">
      <c r="A883" s="3" t="s">
        <v>904</v>
      </c>
      <c r="B883" s="3" t="s">
        <v>22</v>
      </c>
      <c r="C883" s="3">
        <v>387141</v>
      </c>
      <c r="D883" s="3">
        <v>60284</v>
      </c>
      <c r="E883" s="3" t="s">
        <v>23</v>
      </c>
    </row>
    <row r="884" spans="1:5">
      <c r="A884" s="3" t="s">
        <v>905</v>
      </c>
      <c r="B884" s="3" t="s">
        <v>22</v>
      </c>
      <c r="C884" s="3">
        <v>731407</v>
      </c>
      <c r="D884" s="3">
        <v>28004</v>
      </c>
      <c r="E884" s="3" t="s">
        <v>23</v>
      </c>
    </row>
    <row r="885" spans="1:5">
      <c r="A885" s="3" t="s">
        <v>906</v>
      </c>
      <c r="B885" s="3" t="s">
        <v>22</v>
      </c>
      <c r="C885" s="3">
        <v>711590</v>
      </c>
      <c r="D885" s="3">
        <v>82238</v>
      </c>
      <c r="E885" s="3" t="s">
        <v>23</v>
      </c>
    </row>
    <row r="886" spans="1:5">
      <c r="A886" s="3" t="s">
        <v>907</v>
      </c>
      <c r="B886" s="3" t="s">
        <v>22</v>
      </c>
      <c r="C886" s="3">
        <v>550695</v>
      </c>
      <c r="D886" s="3">
        <v>9987</v>
      </c>
      <c r="E886" s="3" t="s">
        <v>23</v>
      </c>
    </row>
    <row r="887" spans="1:5">
      <c r="A887" s="3" t="s">
        <v>908</v>
      </c>
      <c r="B887" s="3" t="s">
        <v>22</v>
      </c>
      <c r="C887" s="3">
        <v>715918</v>
      </c>
      <c r="D887" s="3">
        <v>83314</v>
      </c>
      <c r="E887" s="3" t="s">
        <v>23</v>
      </c>
    </row>
    <row r="888" spans="1:5">
      <c r="A888" s="3" t="s">
        <v>909</v>
      </c>
      <c r="B888" s="3" t="s">
        <v>22</v>
      </c>
      <c r="C888" s="3">
        <v>643573</v>
      </c>
      <c r="D888" s="3">
        <v>69945</v>
      </c>
      <c r="E888" s="3" t="s">
        <v>23</v>
      </c>
    </row>
    <row r="889" spans="1:5">
      <c r="A889" s="3" t="s">
        <v>910</v>
      </c>
      <c r="B889" s="3" t="s">
        <v>22</v>
      </c>
      <c r="C889" s="3">
        <v>646059</v>
      </c>
      <c r="D889" s="3">
        <v>112856</v>
      </c>
      <c r="E889" s="3" t="s">
        <v>23</v>
      </c>
    </row>
    <row r="890" spans="1:5">
      <c r="A890" s="3" t="s">
        <v>911</v>
      </c>
      <c r="B890" s="3" t="s">
        <v>22</v>
      </c>
      <c r="C890" s="3">
        <v>418786</v>
      </c>
      <c r="D890" s="3">
        <v>42304</v>
      </c>
      <c r="E890" s="3" t="s">
        <v>23</v>
      </c>
    </row>
    <row r="891" spans="1:5">
      <c r="A891" s="3" t="s">
        <v>912</v>
      </c>
      <c r="B891" s="3" t="s">
        <v>22</v>
      </c>
      <c r="C891" s="3">
        <v>522698</v>
      </c>
      <c r="D891" s="3">
        <v>48414</v>
      </c>
      <c r="E891" s="3" t="s">
        <v>23</v>
      </c>
    </row>
    <row r="892" spans="1:5">
      <c r="A892" s="3" t="s">
        <v>913</v>
      </c>
      <c r="B892" s="3" t="s">
        <v>22</v>
      </c>
      <c r="C892" s="3">
        <v>602878</v>
      </c>
      <c r="D892" s="3">
        <v>62978</v>
      </c>
      <c r="E892" s="3" t="s">
        <v>23</v>
      </c>
    </row>
    <row r="893" spans="1:5">
      <c r="A893" s="3" t="s">
        <v>914</v>
      </c>
      <c r="B893" s="3" t="s">
        <v>22</v>
      </c>
      <c r="C893" s="3">
        <v>268655</v>
      </c>
      <c r="D893" s="3">
        <v>8728</v>
      </c>
      <c r="E893" s="3" t="s">
        <v>23</v>
      </c>
    </row>
    <row r="894" spans="1:5">
      <c r="A894" s="3" t="s">
        <v>915</v>
      </c>
      <c r="B894" s="3" t="s">
        <v>22</v>
      </c>
      <c r="C894" s="3">
        <v>674214</v>
      </c>
      <c r="D894" s="3">
        <v>26844</v>
      </c>
      <c r="E894" s="3" t="s">
        <v>23</v>
      </c>
    </row>
    <row r="895" spans="1:5">
      <c r="A895" s="3" t="s">
        <v>916</v>
      </c>
      <c r="B895" s="3" t="s">
        <v>22</v>
      </c>
      <c r="C895" s="3">
        <v>707031</v>
      </c>
      <c r="D895" s="3">
        <v>219496</v>
      </c>
      <c r="E895" s="3" t="s">
        <v>23</v>
      </c>
    </row>
    <row r="896" spans="1:5">
      <c r="A896" s="3" t="s">
        <v>917</v>
      </c>
      <c r="B896" s="3" t="s">
        <v>22</v>
      </c>
      <c r="C896" s="3">
        <v>562840</v>
      </c>
      <c r="D896" s="3">
        <v>116865</v>
      </c>
      <c r="E896" s="3" t="s">
        <v>23</v>
      </c>
    </row>
    <row r="897" spans="1:5">
      <c r="A897" s="3" t="s">
        <v>918</v>
      </c>
      <c r="B897" s="3" t="s">
        <v>22</v>
      </c>
      <c r="C897" s="3">
        <v>626093</v>
      </c>
      <c r="D897" s="3">
        <v>6441</v>
      </c>
      <c r="E897" s="3" t="s">
        <v>23</v>
      </c>
    </row>
    <row r="898" spans="1:5">
      <c r="A898" s="3" t="s">
        <v>919</v>
      </c>
      <c r="B898" s="3" t="s">
        <v>22</v>
      </c>
      <c r="C898" s="3">
        <v>373271</v>
      </c>
      <c r="D898" s="3">
        <v>4547</v>
      </c>
      <c r="E898" s="3" t="s">
        <v>23</v>
      </c>
    </row>
    <row r="899" spans="1:5">
      <c r="A899" s="3" t="s">
        <v>920</v>
      </c>
      <c r="B899" s="3" t="s">
        <v>22</v>
      </c>
      <c r="C899" s="3">
        <v>554780</v>
      </c>
      <c r="D899" s="3">
        <v>88384</v>
      </c>
      <c r="E899" s="3" t="s">
        <v>23</v>
      </c>
    </row>
    <row r="900" spans="1:5">
      <c r="A900" s="3" t="s">
        <v>921</v>
      </c>
      <c r="B900" s="3" t="s">
        <v>22</v>
      </c>
      <c r="C900" s="3">
        <v>776124</v>
      </c>
      <c r="D900" s="3">
        <v>45875</v>
      </c>
      <c r="E900" s="3" t="s">
        <v>23</v>
      </c>
    </row>
    <row r="901" spans="1:5">
      <c r="A901" s="3" t="s">
        <v>922</v>
      </c>
      <c r="B901" s="3" t="s">
        <v>22</v>
      </c>
      <c r="C901" s="3">
        <v>702328</v>
      </c>
      <c r="D901" s="3">
        <v>110959</v>
      </c>
      <c r="E901" s="3" t="s">
        <v>23</v>
      </c>
    </row>
    <row r="902" spans="1:5">
      <c r="A902" s="3" t="s">
        <v>923</v>
      </c>
      <c r="B902" s="3" t="s">
        <v>22</v>
      </c>
      <c r="C902" s="3">
        <v>813833</v>
      </c>
      <c r="D902" s="3">
        <v>45425</v>
      </c>
      <c r="E902" s="3" t="s">
        <v>23</v>
      </c>
    </row>
    <row r="903" spans="1:5">
      <c r="A903" s="3" t="s">
        <v>924</v>
      </c>
      <c r="B903" s="3" t="s">
        <v>22</v>
      </c>
      <c r="C903" s="3">
        <v>718328</v>
      </c>
      <c r="D903" s="3">
        <v>75459</v>
      </c>
      <c r="E903" s="3" t="s">
        <v>23</v>
      </c>
    </row>
    <row r="904" spans="1:5">
      <c r="A904" s="3" t="s">
        <v>925</v>
      </c>
      <c r="B904" s="3" t="s">
        <v>22</v>
      </c>
      <c r="C904" s="3">
        <v>614746</v>
      </c>
      <c r="D904" s="3">
        <v>12242</v>
      </c>
      <c r="E904" s="3" t="s">
        <v>23</v>
      </c>
    </row>
    <row r="905" spans="1:5">
      <c r="A905" s="3" t="s">
        <v>926</v>
      </c>
      <c r="B905" s="3" t="s">
        <v>22</v>
      </c>
      <c r="C905" s="3">
        <v>390890</v>
      </c>
      <c r="D905" s="3">
        <v>46533</v>
      </c>
      <c r="E905" s="3" t="s">
        <v>23</v>
      </c>
    </row>
    <row r="906" spans="1:5">
      <c r="A906" s="3" t="s">
        <v>927</v>
      </c>
      <c r="B906" s="3" t="s">
        <v>22</v>
      </c>
      <c r="C906" s="3">
        <v>516567</v>
      </c>
      <c r="D906" s="3">
        <v>55692</v>
      </c>
      <c r="E906" s="3" t="s">
        <v>23</v>
      </c>
    </row>
    <row r="907" spans="1:5">
      <c r="A907" s="3" t="s">
        <v>928</v>
      </c>
      <c r="B907" s="3" t="s">
        <v>22</v>
      </c>
      <c r="C907" s="3">
        <v>608381</v>
      </c>
      <c r="D907" s="3">
        <v>35672</v>
      </c>
      <c r="E907" s="3" t="s">
        <v>23</v>
      </c>
    </row>
    <row r="908" spans="1:5">
      <c r="A908" s="3" t="s">
        <v>929</v>
      </c>
      <c r="B908" s="3" t="s">
        <v>22</v>
      </c>
      <c r="C908" s="3">
        <v>493182</v>
      </c>
      <c r="D908" s="3">
        <v>84299</v>
      </c>
      <c r="E908" s="3" t="s">
        <v>23</v>
      </c>
    </row>
    <row r="909" spans="1:5">
      <c r="A909" s="3" t="s">
        <v>930</v>
      </c>
      <c r="B909" s="3" t="s">
        <v>22</v>
      </c>
      <c r="C909" s="3">
        <v>533881</v>
      </c>
      <c r="D909" s="3">
        <v>40845</v>
      </c>
      <c r="E909" s="3" t="s">
        <v>23</v>
      </c>
    </row>
    <row r="910" spans="1:5">
      <c r="A910" s="3" t="s">
        <v>931</v>
      </c>
      <c r="B910" s="3" t="s">
        <v>22</v>
      </c>
      <c r="C910" s="3">
        <v>570618</v>
      </c>
      <c r="D910" s="3">
        <v>64544</v>
      </c>
      <c r="E910" s="3" t="s">
        <v>23</v>
      </c>
    </row>
    <row r="911" spans="1:5">
      <c r="A911" s="3" t="s">
        <v>932</v>
      </c>
      <c r="B911" s="3" t="s">
        <v>22</v>
      </c>
      <c r="C911" s="3">
        <v>662994</v>
      </c>
      <c r="D911" s="3">
        <v>89987</v>
      </c>
      <c r="E911" s="3" t="s">
        <v>23</v>
      </c>
    </row>
    <row r="912" spans="1:5">
      <c r="A912" s="3" t="s">
        <v>933</v>
      </c>
      <c r="B912" s="3" t="s">
        <v>22</v>
      </c>
      <c r="C912" s="3">
        <v>386785</v>
      </c>
      <c r="D912" s="3">
        <v>56015</v>
      </c>
      <c r="E912" s="3" t="s">
        <v>23</v>
      </c>
    </row>
    <row r="913" spans="1:5">
      <c r="A913" s="3" t="s">
        <v>934</v>
      </c>
      <c r="B913" s="3" t="s">
        <v>22</v>
      </c>
      <c r="C913" s="3">
        <v>515130</v>
      </c>
      <c r="D913" s="3">
        <v>40467</v>
      </c>
      <c r="E913" s="3" t="s">
        <v>23</v>
      </c>
    </row>
    <row r="914" spans="1:5">
      <c r="A914" s="3" t="s">
        <v>935</v>
      </c>
      <c r="B914" s="3" t="s">
        <v>22</v>
      </c>
      <c r="C914" s="3">
        <v>178968</v>
      </c>
      <c r="D914" s="3">
        <v>40680</v>
      </c>
      <c r="E914" s="3" t="s">
        <v>23</v>
      </c>
    </row>
    <row r="915" spans="1:5">
      <c r="A915" s="3" t="s">
        <v>936</v>
      </c>
      <c r="B915" s="3" t="s">
        <v>22</v>
      </c>
      <c r="C915" s="3">
        <v>719615</v>
      </c>
      <c r="D915" s="3">
        <v>103579</v>
      </c>
      <c r="E915" s="3" t="s">
        <v>23</v>
      </c>
    </row>
    <row r="916" spans="1:5">
      <c r="A916" s="3" t="s">
        <v>937</v>
      </c>
      <c r="B916" s="3" t="s">
        <v>22</v>
      </c>
      <c r="C916" s="3">
        <v>685068</v>
      </c>
      <c r="D916" s="3">
        <v>78235</v>
      </c>
      <c r="E916" s="3" t="s">
        <v>23</v>
      </c>
    </row>
    <row r="917" spans="1:5">
      <c r="A917" s="3" t="s">
        <v>938</v>
      </c>
      <c r="B917" s="3" t="s">
        <v>22</v>
      </c>
      <c r="C917" s="3">
        <v>521213</v>
      </c>
      <c r="D917" s="3">
        <v>34841</v>
      </c>
      <c r="E917" s="3" t="s">
        <v>23</v>
      </c>
    </row>
    <row r="918" spans="1:5">
      <c r="A918" s="3" t="s">
        <v>939</v>
      </c>
      <c r="B918" s="3" t="s">
        <v>22</v>
      </c>
      <c r="C918" s="3">
        <v>602541</v>
      </c>
      <c r="D918" s="3">
        <v>122344</v>
      </c>
      <c r="E918" s="3" t="s">
        <v>23</v>
      </c>
    </row>
    <row r="919" spans="1:5">
      <c r="A919" s="3" t="s">
        <v>940</v>
      </c>
      <c r="B919" s="3" t="s">
        <v>22</v>
      </c>
      <c r="C919" s="3">
        <v>688866</v>
      </c>
      <c r="D919" s="3">
        <v>82998</v>
      </c>
      <c r="E919" s="3" t="s">
        <v>23</v>
      </c>
    </row>
    <row r="920" spans="1:5">
      <c r="A920" s="3" t="s">
        <v>941</v>
      </c>
      <c r="B920" s="3" t="s">
        <v>22</v>
      </c>
      <c r="C920" s="3">
        <v>546812</v>
      </c>
      <c r="D920" s="3">
        <v>75909</v>
      </c>
      <c r="E920" s="3" t="s">
        <v>23</v>
      </c>
    </row>
    <row r="921" spans="1:5">
      <c r="A921" s="3" t="s">
        <v>942</v>
      </c>
      <c r="B921" s="3" t="s">
        <v>22</v>
      </c>
      <c r="C921" s="3">
        <v>531777</v>
      </c>
      <c r="D921" s="3">
        <v>63414</v>
      </c>
      <c r="E921" s="3" t="s">
        <v>23</v>
      </c>
    </row>
    <row r="922" spans="1:5">
      <c r="A922" s="3" t="s">
        <v>943</v>
      </c>
      <c r="B922" s="3" t="s">
        <v>22</v>
      </c>
      <c r="C922" s="3">
        <v>557663</v>
      </c>
      <c r="D922" s="3">
        <v>47401</v>
      </c>
      <c r="E922" s="3" t="s">
        <v>23</v>
      </c>
    </row>
    <row r="923" spans="1:5">
      <c r="A923" s="3" t="s">
        <v>944</v>
      </c>
      <c r="B923" s="3" t="s">
        <v>22</v>
      </c>
      <c r="C923" s="3">
        <v>729646</v>
      </c>
      <c r="D923" s="3">
        <v>63069</v>
      </c>
      <c r="E923" s="3" t="s">
        <v>23</v>
      </c>
    </row>
    <row r="924" spans="1:5">
      <c r="A924" s="3" t="s">
        <v>945</v>
      </c>
      <c r="B924" s="3" t="s">
        <v>22</v>
      </c>
      <c r="C924" s="3">
        <v>428888</v>
      </c>
      <c r="D924" s="3">
        <v>60478</v>
      </c>
      <c r="E924" s="3" t="s">
        <v>23</v>
      </c>
    </row>
    <row r="925" spans="1:5">
      <c r="A925" s="3" t="s">
        <v>946</v>
      </c>
      <c r="B925" s="3" t="s">
        <v>22</v>
      </c>
      <c r="C925" s="3">
        <v>554599</v>
      </c>
      <c r="D925" s="3">
        <v>19247</v>
      </c>
      <c r="E925" s="3" t="s">
        <v>23</v>
      </c>
    </row>
    <row r="926" spans="1:5">
      <c r="A926" s="3" t="s">
        <v>947</v>
      </c>
      <c r="B926" s="3" t="s">
        <v>22</v>
      </c>
      <c r="C926" s="3">
        <v>473632</v>
      </c>
      <c r="D926" s="3">
        <v>89390</v>
      </c>
      <c r="E926" s="3" t="s">
        <v>23</v>
      </c>
    </row>
    <row r="927" spans="1:5">
      <c r="A927" s="3" t="s">
        <v>948</v>
      </c>
      <c r="B927" s="3" t="s">
        <v>22</v>
      </c>
      <c r="C927" s="3">
        <v>552982</v>
      </c>
      <c r="D927" s="3">
        <v>67311</v>
      </c>
      <c r="E927" s="3" t="s">
        <v>23</v>
      </c>
    </row>
    <row r="928" spans="1:5">
      <c r="A928" s="3" t="s">
        <v>949</v>
      </c>
      <c r="B928" s="3" t="s">
        <v>22</v>
      </c>
      <c r="C928" s="3">
        <v>577922</v>
      </c>
      <c r="D928" s="3">
        <v>60661</v>
      </c>
      <c r="E928" s="3" t="s">
        <v>23</v>
      </c>
    </row>
    <row r="929" spans="1:5">
      <c r="A929" s="3" t="s">
        <v>950</v>
      </c>
      <c r="B929" s="3" t="s">
        <v>22</v>
      </c>
      <c r="C929" s="3">
        <v>415022</v>
      </c>
      <c r="D929" s="3">
        <v>3125</v>
      </c>
      <c r="E929" s="3" t="s">
        <v>23</v>
      </c>
    </row>
    <row r="930" spans="1:5">
      <c r="A930" s="3" t="s">
        <v>951</v>
      </c>
      <c r="B930" s="3" t="s">
        <v>22</v>
      </c>
      <c r="C930" s="3">
        <v>549286</v>
      </c>
      <c r="D930" s="3">
        <v>174498</v>
      </c>
      <c r="E930" s="3" t="s">
        <v>23</v>
      </c>
    </row>
    <row r="931" spans="1:5">
      <c r="A931" s="3" t="s">
        <v>952</v>
      </c>
      <c r="B931" s="3" t="s">
        <v>22</v>
      </c>
      <c r="C931" s="3">
        <v>514674</v>
      </c>
      <c r="D931" s="3">
        <v>11078</v>
      </c>
      <c r="E931" s="3" t="s">
        <v>23</v>
      </c>
    </row>
    <row r="932" spans="1:5">
      <c r="A932" s="3" t="s">
        <v>953</v>
      </c>
      <c r="B932" s="3" t="s">
        <v>22</v>
      </c>
      <c r="C932" s="3">
        <v>397165</v>
      </c>
      <c r="D932" s="3">
        <v>21062</v>
      </c>
      <c r="E932" s="3" t="s">
        <v>23</v>
      </c>
    </row>
    <row r="933" spans="1:5">
      <c r="A933" s="3" t="s">
        <v>954</v>
      </c>
      <c r="B933" s="3" t="s">
        <v>22</v>
      </c>
      <c r="C933" s="3">
        <v>737062</v>
      </c>
      <c r="D933" s="3">
        <v>210423</v>
      </c>
      <c r="E933" s="3" t="s">
        <v>23</v>
      </c>
    </row>
    <row r="934" spans="1:5">
      <c r="A934" s="3" t="s">
        <v>955</v>
      </c>
      <c r="B934" s="3" t="s">
        <v>22</v>
      </c>
      <c r="C934" s="3">
        <v>506535</v>
      </c>
      <c r="D934" s="3">
        <v>119095</v>
      </c>
      <c r="E934" s="3" t="s">
        <v>23</v>
      </c>
    </row>
    <row r="935" spans="1:5">
      <c r="A935" s="3" t="s">
        <v>956</v>
      </c>
      <c r="B935" s="3" t="s">
        <v>22</v>
      </c>
      <c r="C935" s="3">
        <v>336379</v>
      </c>
      <c r="D935" s="3">
        <v>29514</v>
      </c>
      <c r="E935" s="3" t="s">
        <v>23</v>
      </c>
    </row>
    <row r="936" spans="1:5">
      <c r="A936" s="3" t="s">
        <v>957</v>
      </c>
      <c r="B936" s="3" t="s">
        <v>22</v>
      </c>
      <c r="C936" s="3">
        <v>340589</v>
      </c>
      <c r="D936" s="3">
        <v>3305</v>
      </c>
      <c r="E936" s="3" t="s">
        <v>23</v>
      </c>
    </row>
    <row r="937" spans="1:5">
      <c r="A937" s="3" t="s">
        <v>958</v>
      </c>
      <c r="B937" s="3" t="s">
        <v>22</v>
      </c>
      <c r="C937" s="3">
        <v>733728</v>
      </c>
      <c r="D937" s="3">
        <v>199008</v>
      </c>
      <c r="E937" s="3" t="s">
        <v>23</v>
      </c>
    </row>
    <row r="938" spans="1:5">
      <c r="A938" s="3" t="s">
        <v>959</v>
      </c>
      <c r="B938" s="3" t="s">
        <v>22</v>
      </c>
      <c r="C938" s="3">
        <v>589728</v>
      </c>
      <c r="D938" s="3">
        <v>97079</v>
      </c>
      <c r="E938" s="3" t="s">
        <v>23</v>
      </c>
    </row>
    <row r="939" spans="1:5">
      <c r="A939" s="3" t="s">
        <v>960</v>
      </c>
      <c r="B939" s="3" t="s">
        <v>22</v>
      </c>
      <c r="C939" s="3">
        <v>407035</v>
      </c>
      <c r="D939" s="3">
        <v>8075</v>
      </c>
      <c r="E939" s="3" t="s">
        <v>23</v>
      </c>
    </row>
    <row r="940" spans="1:5">
      <c r="A940" s="3" t="s">
        <v>961</v>
      </c>
      <c r="B940" s="3" t="s">
        <v>22</v>
      </c>
      <c r="C940" s="3">
        <v>438681</v>
      </c>
      <c r="D940" s="3">
        <v>2521</v>
      </c>
      <c r="E940" s="3" t="s">
        <v>23</v>
      </c>
    </row>
    <row r="941" spans="1:5">
      <c r="A941" s="3" t="s">
        <v>962</v>
      </c>
      <c r="B941" s="3" t="s">
        <v>22</v>
      </c>
      <c r="C941" s="3">
        <v>779731</v>
      </c>
      <c r="D941" s="3">
        <v>180637</v>
      </c>
      <c r="E941" s="3" t="s">
        <v>23</v>
      </c>
    </row>
    <row r="942" spans="1:5">
      <c r="A942" s="3" t="s">
        <v>963</v>
      </c>
      <c r="B942" s="3" t="s">
        <v>22</v>
      </c>
      <c r="C942" s="3">
        <v>74373</v>
      </c>
      <c r="D942" s="3">
        <v>11636</v>
      </c>
      <c r="E942" s="3" t="s">
        <v>23</v>
      </c>
    </row>
    <row r="943" spans="1:5">
      <c r="A943" s="3" t="s">
        <v>964</v>
      </c>
      <c r="B943" s="3" t="s">
        <v>22</v>
      </c>
      <c r="C943" s="3">
        <v>377182</v>
      </c>
      <c r="D943" s="3">
        <v>92119</v>
      </c>
      <c r="E943" s="3" t="s">
        <v>23</v>
      </c>
    </row>
    <row r="944" spans="1:5">
      <c r="A944" s="3" t="s">
        <v>965</v>
      </c>
      <c r="B944" s="3" t="s">
        <v>22</v>
      </c>
      <c r="C944" s="3">
        <v>590277</v>
      </c>
      <c r="D944" s="3">
        <v>125965</v>
      </c>
      <c r="E944" s="3" t="s">
        <v>23</v>
      </c>
    </row>
    <row r="945" spans="1:5">
      <c r="A945" s="3" t="s">
        <v>966</v>
      </c>
      <c r="B945" s="3" t="s">
        <v>22</v>
      </c>
      <c r="C945" s="3">
        <v>339200</v>
      </c>
      <c r="D945" s="3">
        <v>81213</v>
      </c>
      <c r="E945" s="3" t="s">
        <v>23</v>
      </c>
    </row>
    <row r="946" spans="1:5">
      <c r="A946" s="3" t="s">
        <v>967</v>
      </c>
      <c r="B946" s="3" t="s">
        <v>22</v>
      </c>
      <c r="C946" s="3">
        <v>407971</v>
      </c>
      <c r="D946" s="3">
        <v>3111</v>
      </c>
      <c r="E946" s="3" t="s">
        <v>23</v>
      </c>
    </row>
    <row r="947" spans="1:5">
      <c r="A947" s="3" t="s">
        <v>968</v>
      </c>
      <c r="B947" s="3" t="s">
        <v>22</v>
      </c>
      <c r="C947" s="3">
        <v>711842</v>
      </c>
      <c r="D947" s="3">
        <v>37010</v>
      </c>
      <c r="E947" s="3" t="s">
        <v>23</v>
      </c>
    </row>
    <row r="948" spans="1:5">
      <c r="A948" s="3" t="s">
        <v>969</v>
      </c>
      <c r="B948" s="3" t="s">
        <v>22</v>
      </c>
      <c r="C948" s="3">
        <v>544916</v>
      </c>
      <c r="D948" s="3">
        <v>143279</v>
      </c>
      <c r="E948" s="3" t="s">
        <v>23</v>
      </c>
    </row>
    <row r="949" spans="1:5">
      <c r="A949" s="3" t="s">
        <v>970</v>
      </c>
      <c r="B949" s="3" t="s">
        <v>22</v>
      </c>
      <c r="C949" s="3">
        <v>4245</v>
      </c>
      <c r="D949" s="3">
        <v>1661</v>
      </c>
      <c r="E949" s="3" t="s">
        <v>23</v>
      </c>
    </row>
    <row r="950" spans="1:5">
      <c r="A950" s="3" t="s">
        <v>971</v>
      </c>
      <c r="B950" s="3" t="s">
        <v>22</v>
      </c>
      <c r="C950" s="3">
        <v>606932</v>
      </c>
      <c r="D950" s="3">
        <v>146394</v>
      </c>
      <c r="E950" s="3" t="s">
        <v>23</v>
      </c>
    </row>
    <row r="951" spans="1:5">
      <c r="A951" s="3" t="s">
        <v>972</v>
      </c>
      <c r="B951" s="3" t="s">
        <v>22</v>
      </c>
      <c r="C951" s="3">
        <v>745928</v>
      </c>
      <c r="D951" s="3">
        <v>3133</v>
      </c>
      <c r="E951" s="3" t="s">
        <v>23</v>
      </c>
    </row>
    <row r="952" spans="1:5">
      <c r="A952" s="3" t="s">
        <v>973</v>
      </c>
      <c r="B952" s="3" t="s">
        <v>22</v>
      </c>
      <c r="C952" s="3">
        <v>534068</v>
      </c>
      <c r="D952" s="3">
        <v>130678</v>
      </c>
      <c r="E952" s="3" t="s">
        <v>23</v>
      </c>
    </row>
    <row r="953" spans="1:5">
      <c r="A953" s="3" t="s">
        <v>974</v>
      </c>
      <c r="B953" s="3" t="s">
        <v>22</v>
      </c>
      <c r="C953" s="3">
        <v>591535</v>
      </c>
      <c r="D953" s="3">
        <v>99523</v>
      </c>
      <c r="E953" s="3" t="s">
        <v>23</v>
      </c>
    </row>
    <row r="954" spans="1:5">
      <c r="A954" s="3" t="s">
        <v>975</v>
      </c>
      <c r="B954" s="3" t="s">
        <v>22</v>
      </c>
      <c r="C954" s="3">
        <v>78792</v>
      </c>
      <c r="D954" s="3">
        <v>10054</v>
      </c>
      <c r="E954" s="3" t="s">
        <v>23</v>
      </c>
    </row>
    <row r="955" spans="1:5">
      <c r="A955" s="3" t="s">
        <v>976</v>
      </c>
      <c r="B955" s="3" t="s">
        <v>22</v>
      </c>
      <c r="C955" s="3">
        <v>416731</v>
      </c>
      <c r="D955" s="3">
        <v>2465</v>
      </c>
      <c r="E955" s="3" t="s">
        <v>23</v>
      </c>
    </row>
    <row r="956" spans="1:5">
      <c r="A956" s="3" t="s">
        <v>977</v>
      </c>
      <c r="B956" s="3" t="s">
        <v>22</v>
      </c>
      <c r="C956" s="3">
        <v>927841</v>
      </c>
      <c r="D956" s="3">
        <v>232160</v>
      </c>
      <c r="E956" s="3" t="s">
        <v>23</v>
      </c>
    </row>
    <row r="957" spans="1:5">
      <c r="A957" s="3" t="s">
        <v>978</v>
      </c>
      <c r="B957" s="3" t="s">
        <v>22</v>
      </c>
      <c r="C957" s="3">
        <v>567959</v>
      </c>
      <c r="D957" s="3">
        <v>18333</v>
      </c>
      <c r="E957" s="3" t="s">
        <v>23</v>
      </c>
    </row>
    <row r="958" spans="1:5">
      <c r="A958" s="3" t="s">
        <v>979</v>
      </c>
      <c r="B958" s="3" t="s">
        <v>22</v>
      </c>
      <c r="C958" s="3">
        <v>510372</v>
      </c>
      <c r="D958" s="3">
        <v>31900</v>
      </c>
      <c r="E958" s="3" t="s">
        <v>23</v>
      </c>
    </row>
    <row r="959" spans="1:5">
      <c r="A959" s="3" t="s">
        <v>980</v>
      </c>
      <c r="B959" s="3" t="s">
        <v>22</v>
      </c>
      <c r="C959" s="3">
        <v>561773</v>
      </c>
      <c r="D959" s="3">
        <v>69850</v>
      </c>
      <c r="E959" s="3" t="s">
        <v>23</v>
      </c>
    </row>
    <row r="960" spans="1:5">
      <c r="A960" s="3" t="s">
        <v>981</v>
      </c>
      <c r="B960" s="3" t="s">
        <v>22</v>
      </c>
      <c r="C960" s="3">
        <v>536045</v>
      </c>
      <c r="D960" s="3">
        <v>126037</v>
      </c>
      <c r="E960" s="3" t="s">
        <v>23</v>
      </c>
    </row>
    <row r="961" spans="1:5">
      <c r="A961" s="3" t="s">
        <v>982</v>
      </c>
      <c r="B961" s="3" t="s">
        <v>22</v>
      </c>
      <c r="C961" s="3">
        <v>228044</v>
      </c>
      <c r="D961" s="3">
        <v>56135</v>
      </c>
      <c r="E961" s="3" t="s">
        <v>23</v>
      </c>
    </row>
    <row r="962" spans="1:5">
      <c r="A962" s="3" t="s">
        <v>983</v>
      </c>
      <c r="B962" s="3" t="s">
        <v>22</v>
      </c>
      <c r="C962" s="3">
        <v>684947</v>
      </c>
      <c r="D962" s="3">
        <v>35394</v>
      </c>
      <c r="E962" s="3" t="s">
        <v>23</v>
      </c>
    </row>
    <row r="963" spans="1:5">
      <c r="A963" s="3" t="s">
        <v>984</v>
      </c>
      <c r="B963" s="3" t="s">
        <v>22</v>
      </c>
      <c r="C963" s="3">
        <v>775026</v>
      </c>
      <c r="D963" s="3">
        <v>81523</v>
      </c>
      <c r="E963" s="3" t="s">
        <v>23</v>
      </c>
    </row>
    <row r="964" spans="1:5">
      <c r="A964" s="3" t="s">
        <v>985</v>
      </c>
      <c r="B964" s="3" t="s">
        <v>22</v>
      </c>
      <c r="C964" s="3">
        <v>929024</v>
      </c>
      <c r="D964" s="3">
        <v>79084</v>
      </c>
      <c r="E964" s="3" t="s">
        <v>23</v>
      </c>
    </row>
    <row r="965" spans="1:5">
      <c r="A965" s="3" t="s">
        <v>986</v>
      </c>
      <c r="B965" s="3" t="s">
        <v>22</v>
      </c>
      <c r="C965" s="3">
        <v>925234</v>
      </c>
      <c r="D965" s="3">
        <v>36559</v>
      </c>
      <c r="E965" s="3" t="s">
        <v>23</v>
      </c>
    </row>
    <row r="966" spans="1:5">
      <c r="A966" s="3" t="s">
        <v>987</v>
      </c>
      <c r="B966" s="3" t="s">
        <v>22</v>
      </c>
      <c r="C966" s="3">
        <v>736209</v>
      </c>
      <c r="D966" s="3">
        <v>19041</v>
      </c>
      <c r="E966" s="3" t="s">
        <v>23</v>
      </c>
    </row>
    <row r="967" spans="1:5">
      <c r="A967" s="3" t="s">
        <v>988</v>
      </c>
      <c r="B967" s="3" t="s">
        <v>22</v>
      </c>
      <c r="C967" s="3">
        <v>472363</v>
      </c>
      <c r="D967" s="3">
        <v>2586</v>
      </c>
      <c r="E967" s="3" t="s">
        <v>23</v>
      </c>
    </row>
    <row r="968" spans="1:5">
      <c r="A968" s="3" t="s">
        <v>989</v>
      </c>
      <c r="B968" s="3" t="s">
        <v>22</v>
      </c>
      <c r="C968" s="3">
        <v>877899</v>
      </c>
      <c r="D968" s="3">
        <v>155466</v>
      </c>
      <c r="E968" s="3" t="s">
        <v>23</v>
      </c>
    </row>
    <row r="969" spans="1:5">
      <c r="A969" s="3" t="s">
        <v>990</v>
      </c>
      <c r="B969" s="3" t="s">
        <v>22</v>
      </c>
      <c r="C969" s="3">
        <v>632960</v>
      </c>
      <c r="D969" s="3">
        <v>39835</v>
      </c>
      <c r="E969" s="3" t="s">
        <v>23</v>
      </c>
    </row>
    <row r="970" spans="1:5">
      <c r="A970" s="3" t="s">
        <v>991</v>
      </c>
      <c r="B970" s="3" t="s">
        <v>22</v>
      </c>
      <c r="C970" s="3">
        <v>917001</v>
      </c>
      <c r="D970" s="3">
        <v>256417</v>
      </c>
      <c r="E970" s="3" t="s">
        <v>23</v>
      </c>
    </row>
    <row r="971" spans="1:5">
      <c r="A971" s="3" t="s">
        <v>992</v>
      </c>
      <c r="B971" s="3" t="s">
        <v>22</v>
      </c>
      <c r="C971" s="3">
        <v>14557</v>
      </c>
      <c r="D971" s="3">
        <v>254</v>
      </c>
      <c r="E971" s="3" t="s">
        <v>23</v>
      </c>
    </row>
    <row r="972" spans="1:5">
      <c r="A972" s="3" t="s">
        <v>993</v>
      </c>
      <c r="B972" s="3" t="s">
        <v>22</v>
      </c>
      <c r="C972" s="3">
        <v>615836</v>
      </c>
      <c r="D972" s="3">
        <v>57355</v>
      </c>
      <c r="E972" s="3" t="s">
        <v>23</v>
      </c>
    </row>
    <row r="973" spans="1:5">
      <c r="A973" s="3" t="s">
        <v>994</v>
      </c>
      <c r="B973" s="3" t="s">
        <v>22</v>
      </c>
      <c r="C973" s="3">
        <v>424886</v>
      </c>
      <c r="D973" s="3">
        <v>60242</v>
      </c>
      <c r="E973" s="3" t="s">
        <v>23</v>
      </c>
    </row>
    <row r="974" spans="1:5">
      <c r="A974" s="3" t="s">
        <v>995</v>
      </c>
      <c r="B974" s="3" t="s">
        <v>22</v>
      </c>
      <c r="C974" s="3">
        <v>937392</v>
      </c>
      <c r="D974" s="3">
        <v>248998</v>
      </c>
      <c r="E974" s="3" t="s">
        <v>23</v>
      </c>
    </row>
    <row r="975" spans="1:5">
      <c r="A975" s="3" t="s">
        <v>996</v>
      </c>
      <c r="B975" s="3" t="s">
        <v>22</v>
      </c>
      <c r="C975" s="3">
        <v>612879</v>
      </c>
      <c r="D975" s="3">
        <v>33788</v>
      </c>
      <c r="E975" s="3" t="s">
        <v>23</v>
      </c>
    </row>
    <row r="976" spans="1:5">
      <c r="A976" s="3" t="s">
        <v>997</v>
      </c>
      <c r="B976" s="3" t="s">
        <v>22</v>
      </c>
      <c r="C976" s="3">
        <v>437597</v>
      </c>
      <c r="D976" s="3">
        <v>113245</v>
      </c>
      <c r="E976" s="3" t="s">
        <v>23</v>
      </c>
    </row>
    <row r="977" spans="1:5">
      <c r="A977" s="3" t="s">
        <v>998</v>
      </c>
      <c r="B977" s="3" t="s">
        <v>22</v>
      </c>
      <c r="C977" s="3">
        <v>1045543</v>
      </c>
      <c r="D977" s="3">
        <v>237348</v>
      </c>
      <c r="E977" s="3" t="s">
        <v>23</v>
      </c>
    </row>
    <row r="978" spans="1:5">
      <c r="A978" s="3" t="s">
        <v>999</v>
      </c>
      <c r="B978" s="3" t="s">
        <v>22</v>
      </c>
      <c r="C978" s="3">
        <v>758816</v>
      </c>
      <c r="D978" s="3">
        <v>68451</v>
      </c>
      <c r="E978" s="3" t="s">
        <v>23</v>
      </c>
    </row>
    <row r="979" spans="1:5">
      <c r="A979" s="3" t="s">
        <v>1000</v>
      </c>
      <c r="B979" s="3" t="s">
        <v>22</v>
      </c>
      <c r="C979" s="3">
        <v>674164</v>
      </c>
      <c r="D979" s="3">
        <v>105787</v>
      </c>
      <c r="E979" s="3" t="s">
        <v>23</v>
      </c>
    </row>
    <row r="980" spans="1:5">
      <c r="A980" s="3" t="s">
        <v>1001</v>
      </c>
      <c r="B980" s="3" t="s">
        <v>22</v>
      </c>
      <c r="C980" s="3">
        <v>513369</v>
      </c>
      <c r="D980" s="3">
        <v>49712</v>
      </c>
      <c r="E980" s="3" t="s">
        <v>23</v>
      </c>
    </row>
    <row r="981" spans="1:5">
      <c r="A981" s="3" t="s">
        <v>1002</v>
      </c>
      <c r="B981" s="3" t="s">
        <v>22</v>
      </c>
      <c r="C981" s="3">
        <v>630678</v>
      </c>
      <c r="D981" s="3">
        <v>78762</v>
      </c>
      <c r="E981" s="3" t="s">
        <v>23</v>
      </c>
    </row>
    <row r="982" spans="1:5">
      <c r="A982" s="3" t="s">
        <v>1003</v>
      </c>
      <c r="B982" s="3" t="s">
        <v>22</v>
      </c>
      <c r="C982" s="3">
        <v>652926</v>
      </c>
      <c r="D982" s="3">
        <v>105751</v>
      </c>
      <c r="E982" s="3" t="s">
        <v>23</v>
      </c>
    </row>
    <row r="983" spans="1:5">
      <c r="A983" s="3" t="s">
        <v>1004</v>
      </c>
      <c r="B983" s="3" t="s">
        <v>22</v>
      </c>
      <c r="C983" s="3">
        <v>632726</v>
      </c>
      <c r="D983" s="3">
        <v>68844</v>
      </c>
      <c r="E983" s="3" t="s">
        <v>23</v>
      </c>
    </row>
    <row r="984" spans="1:5">
      <c r="A984" s="3" t="s">
        <v>1005</v>
      </c>
      <c r="B984" s="3" t="s">
        <v>22</v>
      </c>
      <c r="C984" s="3">
        <v>560982</v>
      </c>
      <c r="D984" s="3">
        <v>19573</v>
      </c>
      <c r="E984" s="3" t="s">
        <v>23</v>
      </c>
    </row>
    <row r="985" spans="1:5">
      <c r="A985" s="3" t="s">
        <v>1006</v>
      </c>
      <c r="B985" s="3" t="s">
        <v>22</v>
      </c>
      <c r="C985" s="3">
        <v>913533</v>
      </c>
      <c r="D985" s="3">
        <v>115715</v>
      </c>
      <c r="E985" s="3" t="s">
        <v>23</v>
      </c>
    </row>
    <row r="986" spans="1:5">
      <c r="A986" s="3" t="s">
        <v>1007</v>
      </c>
      <c r="B986" s="3" t="s">
        <v>22</v>
      </c>
      <c r="C986" s="3">
        <v>400058</v>
      </c>
      <c r="D986" s="3">
        <v>52972</v>
      </c>
      <c r="E986" s="3" t="s">
        <v>23</v>
      </c>
    </row>
    <row r="987" spans="1:5">
      <c r="A987" s="3" t="s">
        <v>1008</v>
      </c>
      <c r="B987" s="3" t="s">
        <v>22</v>
      </c>
      <c r="C987" s="3">
        <v>581248</v>
      </c>
      <c r="D987" s="3">
        <v>4563</v>
      </c>
      <c r="E987" s="3" t="s">
        <v>23</v>
      </c>
    </row>
    <row r="988" spans="1:5">
      <c r="A988" s="3" t="s">
        <v>1009</v>
      </c>
      <c r="B988" s="3" t="s">
        <v>22</v>
      </c>
      <c r="C988" s="3">
        <v>4116</v>
      </c>
      <c r="D988" s="3">
        <v>1494</v>
      </c>
      <c r="E988" s="3" t="s">
        <v>23</v>
      </c>
    </row>
    <row r="989" spans="1:5">
      <c r="A989" s="3" t="s">
        <v>1010</v>
      </c>
      <c r="B989" s="3" t="s">
        <v>22</v>
      </c>
      <c r="C989" s="3">
        <v>527807</v>
      </c>
      <c r="D989" s="3">
        <v>54905</v>
      </c>
      <c r="E989" s="3" t="s">
        <v>23</v>
      </c>
    </row>
    <row r="990" spans="1:5">
      <c r="A990" s="3" t="s">
        <v>1011</v>
      </c>
      <c r="B990" s="3" t="s">
        <v>22</v>
      </c>
      <c r="C990" s="3">
        <v>734194</v>
      </c>
      <c r="D990" s="3">
        <v>34882</v>
      </c>
      <c r="E990" s="3" t="s">
        <v>23</v>
      </c>
    </row>
    <row r="991" spans="1:5">
      <c r="A991" s="3" t="s">
        <v>1012</v>
      </c>
      <c r="B991" s="3" t="s">
        <v>22</v>
      </c>
      <c r="C991" s="3">
        <v>473484</v>
      </c>
      <c r="D991" s="3">
        <v>1360</v>
      </c>
      <c r="E991" s="3" t="s">
        <v>23</v>
      </c>
    </row>
    <row r="992" spans="1:5">
      <c r="A992" s="3" t="s">
        <v>1013</v>
      </c>
      <c r="B992" s="3" t="s">
        <v>22</v>
      </c>
      <c r="C992" s="3">
        <v>425551</v>
      </c>
      <c r="D992" s="3">
        <v>107541</v>
      </c>
      <c r="E992" s="3" t="s">
        <v>23</v>
      </c>
    </row>
    <row r="993" spans="1:5">
      <c r="A993" s="3" t="s">
        <v>1014</v>
      </c>
      <c r="B993" s="3" t="s">
        <v>22</v>
      </c>
      <c r="C993" s="3">
        <v>650646</v>
      </c>
      <c r="D993" s="3">
        <v>77008</v>
      </c>
      <c r="E993" s="3" t="s">
        <v>23</v>
      </c>
    </row>
    <row r="994" spans="1:5">
      <c r="A994" s="3" t="s">
        <v>1015</v>
      </c>
      <c r="B994" s="3" t="s">
        <v>22</v>
      </c>
      <c r="C994" s="3">
        <v>785350</v>
      </c>
      <c r="D994" s="3">
        <v>97109</v>
      </c>
      <c r="E994" s="3" t="s">
        <v>23</v>
      </c>
    </row>
    <row r="995" spans="1:5">
      <c r="A995" s="3" t="s">
        <v>1016</v>
      </c>
      <c r="B995" s="3" t="s">
        <v>22</v>
      </c>
      <c r="C995" s="3">
        <v>738998</v>
      </c>
      <c r="D995" s="3">
        <v>41871</v>
      </c>
      <c r="E995" s="3" t="s">
        <v>23</v>
      </c>
    </row>
    <row r="996" spans="1:5">
      <c r="A996" s="3" t="s">
        <v>1017</v>
      </c>
      <c r="B996" s="3" t="s">
        <v>22</v>
      </c>
      <c r="C996" s="3">
        <v>992762</v>
      </c>
      <c r="D996" s="3">
        <v>38748</v>
      </c>
      <c r="E996" s="3" t="s">
        <v>23</v>
      </c>
    </row>
    <row r="997" spans="1:5">
      <c r="A997" s="3" t="s">
        <v>1018</v>
      </c>
      <c r="B997" s="3" t="s">
        <v>22</v>
      </c>
      <c r="C997" s="3">
        <v>683571</v>
      </c>
      <c r="D997" s="3">
        <v>10838</v>
      </c>
      <c r="E997" s="3" t="s">
        <v>23</v>
      </c>
    </row>
    <row r="998" spans="1:5">
      <c r="A998" s="3" t="s">
        <v>1019</v>
      </c>
      <c r="B998" s="3" t="s">
        <v>22</v>
      </c>
      <c r="C998" s="3">
        <v>466214</v>
      </c>
      <c r="D998" s="3">
        <v>2217</v>
      </c>
      <c r="E998" s="3" t="s">
        <v>23</v>
      </c>
    </row>
    <row r="999" spans="1:5">
      <c r="A999" s="3" t="s">
        <v>1020</v>
      </c>
      <c r="B999" s="3" t="s">
        <v>22</v>
      </c>
      <c r="C999" s="3">
        <v>873590</v>
      </c>
      <c r="D999" s="3">
        <v>142390</v>
      </c>
      <c r="E999" s="3" t="s">
        <v>23</v>
      </c>
    </row>
    <row r="1000" spans="1:5">
      <c r="A1000" s="3" t="s">
        <v>1021</v>
      </c>
      <c r="B1000" s="3" t="s">
        <v>22</v>
      </c>
      <c r="C1000" s="3">
        <v>803229</v>
      </c>
      <c r="D1000" s="3">
        <v>105648</v>
      </c>
      <c r="E1000" s="3" t="s">
        <v>23</v>
      </c>
    </row>
    <row r="1001" spans="1:5">
      <c r="A1001" s="3" t="s">
        <v>1022</v>
      </c>
      <c r="B1001" s="3" t="s">
        <v>22</v>
      </c>
      <c r="C1001" s="3">
        <v>460096</v>
      </c>
      <c r="D1001" s="3">
        <v>91477</v>
      </c>
      <c r="E1001" s="3" t="s">
        <v>23</v>
      </c>
    </row>
    <row r="1002" spans="1:5">
      <c r="A1002" s="3" t="s">
        <v>1023</v>
      </c>
      <c r="B1002" s="3" t="s">
        <v>22</v>
      </c>
      <c r="C1002" s="3">
        <v>765746</v>
      </c>
      <c r="D1002" s="3">
        <v>34665</v>
      </c>
      <c r="E1002" s="3" t="s">
        <v>23</v>
      </c>
    </row>
    <row r="1003" spans="1:5">
      <c r="A1003" s="3" t="s">
        <v>1024</v>
      </c>
      <c r="B1003" s="3" t="s">
        <v>22</v>
      </c>
      <c r="C1003" s="3">
        <v>426244</v>
      </c>
      <c r="D1003" s="3">
        <v>5622</v>
      </c>
      <c r="E1003" s="3" t="s">
        <v>23</v>
      </c>
    </row>
    <row r="1004" spans="1:5">
      <c r="A1004" s="3" t="s">
        <v>1025</v>
      </c>
      <c r="B1004" s="3" t="s">
        <v>22</v>
      </c>
      <c r="C1004" s="3">
        <v>631885</v>
      </c>
      <c r="D1004" s="3">
        <v>78330</v>
      </c>
      <c r="E1004" s="3" t="s">
        <v>23</v>
      </c>
    </row>
    <row r="1005" spans="1:5">
      <c r="A1005" s="3" t="s">
        <v>1026</v>
      </c>
      <c r="B1005" s="3" t="s">
        <v>22</v>
      </c>
      <c r="C1005" s="3">
        <v>591256</v>
      </c>
      <c r="D1005" s="3">
        <v>164475</v>
      </c>
      <c r="E1005" s="3" t="s">
        <v>23</v>
      </c>
    </row>
    <row r="1006" spans="1:5">
      <c r="A1006" s="3" t="s">
        <v>1027</v>
      </c>
      <c r="B1006" s="3" t="s">
        <v>22</v>
      </c>
      <c r="C1006" s="3">
        <v>491277</v>
      </c>
      <c r="D1006" s="3">
        <v>53575</v>
      </c>
      <c r="E1006" s="3" t="s">
        <v>23</v>
      </c>
    </row>
    <row r="1007" spans="1:5">
      <c r="A1007" s="3" t="s">
        <v>1028</v>
      </c>
      <c r="B1007" s="3" t="s">
        <v>22</v>
      </c>
      <c r="C1007" s="3">
        <v>285050</v>
      </c>
      <c r="D1007" s="3">
        <v>70953</v>
      </c>
      <c r="E1007" s="3" t="s">
        <v>23</v>
      </c>
    </row>
    <row r="1008" spans="1:5">
      <c r="A1008" s="3" t="s">
        <v>1029</v>
      </c>
      <c r="B1008" s="3" t="s">
        <v>22</v>
      </c>
      <c r="C1008" s="3">
        <v>1035552</v>
      </c>
      <c r="D1008" s="3">
        <v>180459</v>
      </c>
      <c r="E1008" s="3" t="s">
        <v>23</v>
      </c>
    </row>
    <row r="1009" spans="1:5">
      <c r="A1009" s="3" t="s">
        <v>1030</v>
      </c>
      <c r="B1009" s="3" t="s">
        <v>22</v>
      </c>
      <c r="C1009" s="3">
        <v>907878</v>
      </c>
      <c r="D1009" s="3">
        <v>186826</v>
      </c>
      <c r="E1009" s="3" t="s">
        <v>23</v>
      </c>
    </row>
    <row r="1010" spans="1:5">
      <c r="A1010" s="3" t="s">
        <v>1031</v>
      </c>
      <c r="B1010" s="3" t="s">
        <v>22</v>
      </c>
      <c r="C1010" s="3">
        <v>862732</v>
      </c>
      <c r="D1010" s="3">
        <v>120850</v>
      </c>
      <c r="E1010" s="3" t="s">
        <v>23</v>
      </c>
    </row>
    <row r="1011" spans="1:5">
      <c r="A1011" s="3" t="s">
        <v>1032</v>
      </c>
      <c r="B1011" s="3" t="s">
        <v>22</v>
      </c>
      <c r="C1011" s="3">
        <v>526533</v>
      </c>
      <c r="D1011" s="3">
        <v>84751</v>
      </c>
      <c r="E1011" s="3" t="s">
        <v>23</v>
      </c>
    </row>
    <row r="1012" spans="1:5">
      <c r="A1012" s="3" t="s">
        <v>1033</v>
      </c>
      <c r="B1012" s="3" t="s">
        <v>22</v>
      </c>
      <c r="C1012" s="3">
        <v>759570</v>
      </c>
      <c r="D1012" s="3">
        <v>123965</v>
      </c>
      <c r="E1012" s="3" t="s">
        <v>23</v>
      </c>
    </row>
    <row r="1013" spans="1:5">
      <c r="A1013" s="3" t="s">
        <v>1034</v>
      </c>
      <c r="B1013" s="3" t="s">
        <v>22</v>
      </c>
      <c r="C1013" s="3">
        <v>626039</v>
      </c>
      <c r="D1013" s="3">
        <v>138414</v>
      </c>
      <c r="E1013" s="3" t="s">
        <v>23</v>
      </c>
    </row>
    <row r="1014" spans="1:5">
      <c r="A1014" s="3" t="s">
        <v>1035</v>
      </c>
      <c r="B1014" s="3" t="s">
        <v>22</v>
      </c>
      <c r="C1014" s="3">
        <v>681937</v>
      </c>
      <c r="D1014" s="3">
        <v>113852</v>
      </c>
      <c r="E1014" s="3" t="s">
        <v>23</v>
      </c>
    </row>
    <row r="1015" spans="1:5">
      <c r="A1015" s="3" t="s">
        <v>1036</v>
      </c>
      <c r="B1015" s="3" t="s">
        <v>22</v>
      </c>
      <c r="C1015" s="3">
        <v>781194</v>
      </c>
      <c r="D1015" s="3">
        <v>24939</v>
      </c>
      <c r="E1015" s="3" t="s">
        <v>23</v>
      </c>
    </row>
    <row r="1016" spans="1:5">
      <c r="A1016" s="3" t="s">
        <v>1037</v>
      </c>
      <c r="B1016" s="3" t="s">
        <v>22</v>
      </c>
      <c r="C1016" s="3">
        <v>822237</v>
      </c>
      <c r="D1016" s="3">
        <v>122845</v>
      </c>
      <c r="E1016" s="3" t="s">
        <v>23</v>
      </c>
    </row>
    <row r="1017" spans="1:5">
      <c r="A1017" s="3" t="s">
        <v>1038</v>
      </c>
      <c r="B1017" s="3" t="s">
        <v>22</v>
      </c>
      <c r="C1017" s="3">
        <v>667324</v>
      </c>
      <c r="D1017" s="3">
        <v>84750</v>
      </c>
      <c r="E1017" s="3" t="s">
        <v>23</v>
      </c>
    </row>
    <row r="1018" spans="1:5">
      <c r="A1018" s="3" t="s">
        <v>1039</v>
      </c>
      <c r="B1018" s="3" t="s">
        <v>22</v>
      </c>
      <c r="C1018" s="3">
        <v>624945</v>
      </c>
      <c r="D1018" s="3">
        <v>50144</v>
      </c>
      <c r="E1018" s="3" t="s">
        <v>23</v>
      </c>
    </row>
    <row r="1019" spans="1:5">
      <c r="A1019" s="3" t="s">
        <v>1040</v>
      </c>
      <c r="B1019" s="3" t="s">
        <v>22</v>
      </c>
      <c r="C1019" s="3">
        <v>612502</v>
      </c>
      <c r="D1019" s="3">
        <v>116236</v>
      </c>
      <c r="E1019" s="3" t="s">
        <v>23</v>
      </c>
    </row>
    <row r="1020" spans="1:5">
      <c r="A1020" s="3" t="s">
        <v>1041</v>
      </c>
      <c r="B1020" s="3" t="s">
        <v>22</v>
      </c>
      <c r="C1020" s="3">
        <v>618916</v>
      </c>
      <c r="D1020" s="3">
        <v>51386</v>
      </c>
      <c r="E1020" s="3" t="s">
        <v>23</v>
      </c>
    </row>
    <row r="1021" spans="1:5">
      <c r="A1021" s="3" t="s">
        <v>1042</v>
      </c>
      <c r="B1021" s="3" t="s">
        <v>22</v>
      </c>
      <c r="C1021" s="3">
        <v>620644</v>
      </c>
      <c r="D1021" s="3">
        <v>44438</v>
      </c>
      <c r="E1021" s="3" t="s">
        <v>23</v>
      </c>
    </row>
    <row r="1022" spans="1:5">
      <c r="A1022" s="3" t="s">
        <v>1043</v>
      </c>
      <c r="B1022" s="3" t="s">
        <v>22</v>
      </c>
      <c r="C1022" s="3">
        <v>469955</v>
      </c>
      <c r="D1022" s="3">
        <v>8034</v>
      </c>
      <c r="E1022" s="3" t="s">
        <v>23</v>
      </c>
    </row>
    <row r="1023" spans="1:5">
      <c r="A1023" s="3" t="s">
        <v>1044</v>
      </c>
      <c r="B1023" s="3" t="s">
        <v>22</v>
      </c>
      <c r="C1023" s="3">
        <v>633551</v>
      </c>
      <c r="D1023" s="3">
        <v>166454</v>
      </c>
      <c r="E1023" s="3" t="s">
        <v>23</v>
      </c>
    </row>
    <row r="1024" spans="1:5">
      <c r="A1024" s="3" t="s">
        <v>1045</v>
      </c>
      <c r="B1024" s="3" t="s">
        <v>22</v>
      </c>
      <c r="C1024" s="3">
        <v>606528</v>
      </c>
      <c r="D1024" s="3">
        <v>43939</v>
      </c>
      <c r="E1024" s="3" t="s">
        <v>23</v>
      </c>
    </row>
    <row r="1025" spans="1:5">
      <c r="A1025" s="3" t="s">
        <v>1046</v>
      </c>
      <c r="B1025" s="3" t="s">
        <v>22</v>
      </c>
      <c r="C1025" s="3">
        <v>292327</v>
      </c>
      <c r="D1025" s="3">
        <v>9664</v>
      </c>
      <c r="E1025" s="3" t="s">
        <v>23</v>
      </c>
    </row>
    <row r="1026" spans="1:5">
      <c r="A1026" s="3" t="s">
        <v>1047</v>
      </c>
      <c r="B1026" s="3" t="s">
        <v>22</v>
      </c>
      <c r="C1026" s="3">
        <v>362944</v>
      </c>
      <c r="D1026" s="3">
        <v>55457</v>
      </c>
      <c r="E1026" s="3" t="s">
        <v>23</v>
      </c>
    </row>
    <row r="1027" spans="1:5">
      <c r="A1027" s="3" t="s">
        <v>1048</v>
      </c>
      <c r="B1027" s="3" t="s">
        <v>22</v>
      </c>
      <c r="C1027" s="3">
        <v>258939</v>
      </c>
      <c r="D1027" s="3">
        <v>64776</v>
      </c>
      <c r="E1027" s="3" t="s">
        <v>23</v>
      </c>
    </row>
    <row r="1028" spans="1:5">
      <c r="A1028" s="3" t="s">
        <v>1049</v>
      </c>
      <c r="B1028" s="3" t="s">
        <v>22</v>
      </c>
      <c r="C1028" s="3">
        <v>428134</v>
      </c>
      <c r="D1028" s="3">
        <v>16788</v>
      </c>
      <c r="E1028" s="3" t="s">
        <v>23</v>
      </c>
    </row>
    <row r="1029" spans="1:5">
      <c r="A1029" s="3" t="s">
        <v>1050</v>
      </c>
      <c r="B1029" s="3" t="s">
        <v>22</v>
      </c>
      <c r="C1029" s="3">
        <v>313227</v>
      </c>
      <c r="D1029" s="3">
        <v>15157</v>
      </c>
      <c r="E1029" s="3" t="s">
        <v>23</v>
      </c>
    </row>
    <row r="1030" spans="1:5">
      <c r="A1030" s="3" t="s">
        <v>1051</v>
      </c>
      <c r="B1030" s="3" t="s">
        <v>22</v>
      </c>
      <c r="C1030" s="3">
        <v>344225</v>
      </c>
      <c r="D1030" s="3">
        <v>94696</v>
      </c>
      <c r="E1030" s="3" t="s">
        <v>23</v>
      </c>
    </row>
    <row r="1031" spans="1:5">
      <c r="A1031" s="3" t="s">
        <v>1052</v>
      </c>
      <c r="B1031" s="3" t="s">
        <v>22</v>
      </c>
      <c r="C1031" s="3">
        <v>336517</v>
      </c>
      <c r="D1031" s="3">
        <v>64169</v>
      </c>
      <c r="E1031" s="3" t="s">
        <v>23</v>
      </c>
    </row>
    <row r="1032" spans="1:5">
      <c r="A1032" s="3" t="s">
        <v>1053</v>
      </c>
      <c r="B1032" s="3" t="s">
        <v>22</v>
      </c>
      <c r="C1032" s="3">
        <v>272146</v>
      </c>
      <c r="D1032" s="3">
        <v>11287</v>
      </c>
      <c r="E1032" s="3" t="s">
        <v>23</v>
      </c>
    </row>
    <row r="1033" spans="1:5">
      <c r="A1033" s="3" t="s">
        <v>1054</v>
      </c>
      <c r="B1033" s="3" t="s">
        <v>22</v>
      </c>
      <c r="C1033" s="3">
        <v>281574</v>
      </c>
      <c r="D1033" s="3">
        <v>4034</v>
      </c>
      <c r="E1033" s="3" t="s">
        <v>23</v>
      </c>
    </row>
    <row r="1034" spans="1:5">
      <c r="A1034" s="3" t="s">
        <v>1055</v>
      </c>
      <c r="B1034" s="3" t="s">
        <v>22</v>
      </c>
      <c r="C1034" s="3">
        <v>431243</v>
      </c>
      <c r="D1034" s="3">
        <v>105652</v>
      </c>
      <c r="E1034" s="3" t="s">
        <v>23</v>
      </c>
    </row>
    <row r="1035" spans="1:5">
      <c r="A1035" s="3" t="s">
        <v>1056</v>
      </c>
      <c r="B1035" s="3" t="s">
        <v>22</v>
      </c>
      <c r="C1035" s="3">
        <v>477977</v>
      </c>
      <c r="D1035" s="3">
        <v>23373</v>
      </c>
      <c r="E1035" s="3" t="s">
        <v>23</v>
      </c>
    </row>
    <row r="1036" spans="1:5">
      <c r="A1036" s="3" t="s">
        <v>1057</v>
      </c>
      <c r="B1036" s="3" t="s">
        <v>22</v>
      </c>
      <c r="C1036" s="3">
        <v>224007</v>
      </c>
      <c r="D1036" s="3">
        <v>42200</v>
      </c>
      <c r="E1036" s="3" t="s">
        <v>23</v>
      </c>
    </row>
    <row r="1037" spans="1:5">
      <c r="A1037" s="3" t="s">
        <v>1058</v>
      </c>
      <c r="B1037" s="3" t="s">
        <v>22</v>
      </c>
      <c r="C1037" s="3">
        <v>306634</v>
      </c>
      <c r="D1037" s="3">
        <v>42941</v>
      </c>
      <c r="E1037" s="3" t="s">
        <v>23</v>
      </c>
    </row>
    <row r="1038" spans="1:5">
      <c r="A1038" s="3" t="s">
        <v>1059</v>
      </c>
      <c r="B1038" s="3" t="s">
        <v>22</v>
      </c>
      <c r="C1038" s="3">
        <v>181704</v>
      </c>
      <c r="D1038" s="3">
        <v>46834</v>
      </c>
      <c r="E1038" s="3" t="s">
        <v>23</v>
      </c>
    </row>
    <row r="1039" spans="1:5">
      <c r="A1039" s="3" t="s">
        <v>1060</v>
      </c>
      <c r="B1039" s="3" t="s">
        <v>22</v>
      </c>
      <c r="C1039" s="3">
        <v>249847</v>
      </c>
      <c r="D1039" s="3">
        <v>647</v>
      </c>
      <c r="E1039" s="3" t="s">
        <v>23</v>
      </c>
    </row>
    <row r="1040" spans="1:5">
      <c r="A1040" s="3" t="s">
        <v>1061</v>
      </c>
      <c r="B1040" s="3" t="s">
        <v>22</v>
      </c>
      <c r="C1040" s="3">
        <v>512083</v>
      </c>
      <c r="D1040" s="3">
        <v>3854</v>
      </c>
      <c r="E1040" s="3" t="s">
        <v>23</v>
      </c>
    </row>
    <row r="1041" spans="1:5">
      <c r="A1041" s="3" t="s">
        <v>1062</v>
      </c>
      <c r="B1041" s="3" t="s">
        <v>22</v>
      </c>
      <c r="C1041" s="3">
        <v>415489</v>
      </c>
      <c r="D1041" s="3">
        <v>105822</v>
      </c>
      <c r="E1041" s="3" t="s">
        <v>23</v>
      </c>
    </row>
    <row r="1042" spans="1:5">
      <c r="A1042" s="3" t="s">
        <v>1063</v>
      </c>
      <c r="B1042" s="3" t="s">
        <v>22</v>
      </c>
      <c r="C1042" s="3">
        <v>565962</v>
      </c>
      <c r="D1042" s="3">
        <v>138046</v>
      </c>
      <c r="E1042" s="3" t="s">
        <v>23</v>
      </c>
    </row>
    <row r="1043" spans="1:5">
      <c r="A1043" s="3" t="s">
        <v>1064</v>
      </c>
      <c r="B1043" s="3" t="s">
        <v>22</v>
      </c>
      <c r="C1043" s="3">
        <v>377819</v>
      </c>
      <c r="D1043" s="3">
        <v>78629</v>
      </c>
      <c r="E1043" s="3" t="s">
        <v>23</v>
      </c>
    </row>
    <row r="1044" spans="1:5">
      <c r="A1044" s="3" t="s">
        <v>1065</v>
      </c>
      <c r="B1044" s="3" t="s">
        <v>22</v>
      </c>
      <c r="C1044" s="3">
        <v>244372</v>
      </c>
      <c r="D1044" s="3">
        <v>317</v>
      </c>
      <c r="E1044" s="3" t="s">
        <v>23</v>
      </c>
    </row>
    <row r="1045" spans="1:5">
      <c r="A1045" s="3" t="s">
        <v>1066</v>
      </c>
      <c r="B1045" s="3" t="s">
        <v>22</v>
      </c>
      <c r="C1045" s="3">
        <v>327147</v>
      </c>
      <c r="D1045" s="3">
        <v>86375</v>
      </c>
      <c r="E1045" s="3" t="s">
        <v>23</v>
      </c>
    </row>
    <row r="1046" spans="1:5">
      <c r="A1046" s="3" t="s">
        <v>1067</v>
      </c>
      <c r="B1046" s="3" t="s">
        <v>22</v>
      </c>
      <c r="C1046" s="3">
        <v>290820</v>
      </c>
      <c r="D1046" s="3">
        <v>35192</v>
      </c>
      <c r="E1046" s="3" t="s">
        <v>23</v>
      </c>
    </row>
    <row r="1047" spans="1:5">
      <c r="A1047" s="3" t="s">
        <v>1068</v>
      </c>
      <c r="B1047" s="3" t="s">
        <v>22</v>
      </c>
      <c r="C1047" s="3">
        <v>217870</v>
      </c>
      <c r="D1047" s="3">
        <v>45010</v>
      </c>
      <c r="E1047" s="3" t="s">
        <v>23</v>
      </c>
    </row>
    <row r="1048" spans="1:5">
      <c r="A1048" s="3" t="s">
        <v>1069</v>
      </c>
      <c r="B1048" s="3" t="s">
        <v>22</v>
      </c>
      <c r="C1048" s="3">
        <v>471922</v>
      </c>
      <c r="D1048" s="3">
        <v>2252</v>
      </c>
      <c r="E1048" s="3" t="s">
        <v>23</v>
      </c>
    </row>
    <row r="1049" spans="1:5">
      <c r="A1049" s="3" t="s">
        <v>1070</v>
      </c>
      <c r="B1049" s="3" t="s">
        <v>22</v>
      </c>
      <c r="C1049" s="3">
        <v>569290</v>
      </c>
      <c r="D1049" s="3">
        <v>119405</v>
      </c>
      <c r="E1049" s="3" t="s">
        <v>23</v>
      </c>
    </row>
    <row r="1050" spans="1:5">
      <c r="A1050" s="3" t="s">
        <v>1071</v>
      </c>
      <c r="B1050" s="3" t="s">
        <v>22</v>
      </c>
      <c r="C1050" s="3">
        <v>448597</v>
      </c>
      <c r="D1050" s="3">
        <v>28454</v>
      </c>
      <c r="E1050" s="3" t="s">
        <v>23</v>
      </c>
    </row>
    <row r="1051" spans="1:5">
      <c r="A1051" s="3" t="s">
        <v>1072</v>
      </c>
      <c r="B1051" s="3" t="s">
        <v>22</v>
      </c>
      <c r="C1051" s="3">
        <v>502848</v>
      </c>
      <c r="D1051" s="3">
        <v>72495</v>
      </c>
      <c r="E1051" s="3" t="s">
        <v>23</v>
      </c>
    </row>
    <row r="1052" spans="1:5">
      <c r="A1052" s="3" t="s">
        <v>1073</v>
      </c>
      <c r="B1052" s="3" t="s">
        <v>22</v>
      </c>
      <c r="C1052" s="3">
        <v>461297</v>
      </c>
      <c r="D1052" s="3">
        <v>76935</v>
      </c>
      <c r="E1052" s="3" t="s">
        <v>23</v>
      </c>
    </row>
    <row r="1053" spans="1:5">
      <c r="A1053" s="3" t="s">
        <v>1074</v>
      </c>
      <c r="B1053" s="3" t="s">
        <v>22</v>
      </c>
      <c r="C1053" s="3">
        <v>30062</v>
      </c>
      <c r="D1053" s="3">
        <v>2871</v>
      </c>
      <c r="E1053" s="3" t="s">
        <v>23</v>
      </c>
    </row>
    <row r="1054" spans="1:5">
      <c r="A1054" s="3" t="s">
        <v>1075</v>
      </c>
      <c r="B1054" s="3" t="s">
        <v>22</v>
      </c>
      <c r="C1054" s="3">
        <v>183829</v>
      </c>
      <c r="D1054" s="3">
        <v>36733</v>
      </c>
      <c r="E1054" s="3" t="s">
        <v>23</v>
      </c>
    </row>
    <row r="1055" spans="1:5">
      <c r="A1055" s="3" t="s">
        <v>1076</v>
      </c>
      <c r="B1055" s="3" t="s">
        <v>22</v>
      </c>
      <c r="C1055" s="3">
        <v>458701</v>
      </c>
      <c r="D1055" s="3">
        <v>5996</v>
      </c>
      <c r="E1055" s="3" t="s">
        <v>23</v>
      </c>
    </row>
    <row r="1056" spans="1:5">
      <c r="A1056" s="3" t="s">
        <v>1077</v>
      </c>
      <c r="B1056" s="3" t="s">
        <v>22</v>
      </c>
      <c r="C1056" s="3">
        <v>410103</v>
      </c>
      <c r="D1056" s="3">
        <v>63316</v>
      </c>
      <c r="E1056" s="3" t="s">
        <v>23</v>
      </c>
    </row>
    <row r="1057" spans="1:5">
      <c r="A1057" s="3" t="s">
        <v>1078</v>
      </c>
      <c r="B1057" s="3" t="s">
        <v>22</v>
      </c>
      <c r="C1057" s="3">
        <v>444549</v>
      </c>
      <c r="D1057" s="3">
        <v>17419</v>
      </c>
      <c r="E1057" s="3" t="s">
        <v>23</v>
      </c>
    </row>
    <row r="1058" spans="1:5">
      <c r="A1058" s="3" t="s">
        <v>1079</v>
      </c>
      <c r="B1058" s="3" t="s">
        <v>22</v>
      </c>
      <c r="C1058" s="3">
        <v>556890</v>
      </c>
      <c r="D1058" s="3">
        <v>69837</v>
      </c>
      <c r="E1058" s="3" t="s">
        <v>23</v>
      </c>
    </row>
    <row r="1059" spans="1:5">
      <c r="A1059" s="3" t="s">
        <v>1080</v>
      </c>
      <c r="B1059" s="3" t="s">
        <v>22</v>
      </c>
      <c r="C1059" s="3">
        <v>390195</v>
      </c>
      <c r="D1059" s="3">
        <v>53721</v>
      </c>
      <c r="E1059" s="3" t="s">
        <v>23</v>
      </c>
    </row>
    <row r="1060" spans="1:5">
      <c r="A1060" s="3" t="s">
        <v>1081</v>
      </c>
      <c r="B1060" s="3" t="s">
        <v>22</v>
      </c>
      <c r="C1060" s="3">
        <v>275190</v>
      </c>
      <c r="D1060" s="3">
        <v>35247</v>
      </c>
      <c r="E1060" s="3" t="s">
        <v>23</v>
      </c>
    </row>
    <row r="1061" spans="1:5">
      <c r="A1061" s="3" t="s">
        <v>1082</v>
      </c>
      <c r="B1061" s="3" t="s">
        <v>22</v>
      </c>
      <c r="C1061" s="3">
        <v>393040</v>
      </c>
      <c r="D1061" s="3">
        <v>38219</v>
      </c>
      <c r="E1061" s="3" t="s">
        <v>23</v>
      </c>
    </row>
    <row r="1062" spans="1:5">
      <c r="A1062" s="3" t="s">
        <v>1083</v>
      </c>
      <c r="B1062" s="3" t="s">
        <v>22</v>
      </c>
      <c r="C1062" s="3">
        <v>273735</v>
      </c>
      <c r="D1062" s="3">
        <v>16530</v>
      </c>
      <c r="E1062" s="3" t="s">
        <v>23</v>
      </c>
    </row>
    <row r="1063" spans="1:5">
      <c r="A1063" s="3" t="s">
        <v>1084</v>
      </c>
      <c r="B1063" s="3" t="s">
        <v>22</v>
      </c>
      <c r="C1063" s="3">
        <v>369695</v>
      </c>
      <c r="D1063" s="3">
        <v>64699</v>
      </c>
      <c r="E1063" s="3" t="s">
        <v>23</v>
      </c>
    </row>
    <row r="1064" spans="1:5">
      <c r="A1064" s="3" t="s">
        <v>1085</v>
      </c>
      <c r="B1064" s="3" t="s">
        <v>22</v>
      </c>
      <c r="C1064" s="3">
        <v>502715</v>
      </c>
      <c r="D1064" s="3">
        <v>53940</v>
      </c>
      <c r="E1064" s="3" t="s">
        <v>23</v>
      </c>
    </row>
    <row r="1065" spans="1:5">
      <c r="A1065" s="3" t="s">
        <v>1086</v>
      </c>
      <c r="B1065" s="3" t="s">
        <v>22</v>
      </c>
      <c r="C1065" s="3">
        <v>485147</v>
      </c>
      <c r="D1065" s="3">
        <v>17535</v>
      </c>
      <c r="E1065" s="3" t="s">
        <v>23</v>
      </c>
    </row>
    <row r="1066" spans="1:5">
      <c r="A1066" s="3" t="s">
        <v>1087</v>
      </c>
      <c r="B1066" s="3" t="s">
        <v>22</v>
      </c>
      <c r="C1066" s="3">
        <v>235918</v>
      </c>
      <c r="D1066" s="3">
        <v>25102</v>
      </c>
      <c r="E1066" s="3" t="s">
        <v>23</v>
      </c>
    </row>
    <row r="1067" spans="1:5">
      <c r="A1067" s="3" t="s">
        <v>1088</v>
      </c>
      <c r="B1067" s="3" t="s">
        <v>22</v>
      </c>
      <c r="C1067" s="3">
        <v>398711</v>
      </c>
      <c r="D1067" s="3">
        <v>60626</v>
      </c>
      <c r="E1067" s="3" t="s">
        <v>23</v>
      </c>
    </row>
    <row r="1068" spans="1:5">
      <c r="A1068" s="3" t="s">
        <v>1089</v>
      </c>
      <c r="B1068" s="3" t="s">
        <v>22</v>
      </c>
      <c r="C1068" s="3">
        <v>381269</v>
      </c>
      <c r="D1068" s="3">
        <v>40834</v>
      </c>
      <c r="E1068" s="3" t="s">
        <v>23</v>
      </c>
    </row>
    <row r="1069" spans="1:5">
      <c r="A1069" s="3" t="s">
        <v>1090</v>
      </c>
      <c r="B1069" s="3" t="s">
        <v>22</v>
      </c>
      <c r="C1069" s="3">
        <v>307488</v>
      </c>
      <c r="D1069" s="3">
        <v>79348</v>
      </c>
      <c r="E1069" s="3" t="s">
        <v>23</v>
      </c>
    </row>
    <row r="1070" spans="1:5">
      <c r="A1070" s="3" t="s">
        <v>1091</v>
      </c>
      <c r="B1070" s="3" t="s">
        <v>22</v>
      </c>
      <c r="C1070" s="3">
        <v>527024</v>
      </c>
      <c r="D1070" s="3">
        <v>41603</v>
      </c>
      <c r="E1070" s="3" t="s">
        <v>23</v>
      </c>
    </row>
    <row r="1071" spans="1:5">
      <c r="A1071" s="3" t="s">
        <v>1092</v>
      </c>
      <c r="B1071" s="3" t="s">
        <v>22</v>
      </c>
      <c r="C1071" s="3">
        <v>526646</v>
      </c>
      <c r="D1071" s="3">
        <v>52453</v>
      </c>
      <c r="E1071" s="3" t="s">
        <v>23</v>
      </c>
    </row>
    <row r="1072" spans="1:5">
      <c r="A1072" s="3" t="s">
        <v>1093</v>
      </c>
      <c r="B1072" s="3" t="s">
        <v>22</v>
      </c>
      <c r="C1072" s="3">
        <v>460863</v>
      </c>
      <c r="D1072" s="3">
        <v>21345</v>
      </c>
      <c r="E1072" s="3" t="s">
        <v>23</v>
      </c>
    </row>
    <row r="1073" spans="1:5">
      <c r="A1073" s="3" t="s">
        <v>1094</v>
      </c>
      <c r="B1073" s="3" t="s">
        <v>22</v>
      </c>
      <c r="C1073" s="3">
        <v>384103</v>
      </c>
      <c r="D1073" s="3">
        <v>45013</v>
      </c>
      <c r="E1073" s="3" t="s">
        <v>23</v>
      </c>
    </row>
    <row r="1074" spans="1:5">
      <c r="A1074" s="3" t="s">
        <v>1095</v>
      </c>
      <c r="B1074" s="3" t="s">
        <v>22</v>
      </c>
      <c r="C1074" s="3">
        <v>433866</v>
      </c>
      <c r="D1074" s="3">
        <v>55302</v>
      </c>
      <c r="E1074" s="3" t="s">
        <v>23</v>
      </c>
    </row>
    <row r="1075" spans="1:5">
      <c r="A1075" s="3" t="s">
        <v>1096</v>
      </c>
      <c r="B1075" s="3" t="s">
        <v>22</v>
      </c>
      <c r="C1075" s="3">
        <v>420503</v>
      </c>
      <c r="D1075" s="3">
        <v>68307</v>
      </c>
      <c r="E1075" s="3" t="s">
        <v>23</v>
      </c>
    </row>
    <row r="1076" spans="1:5">
      <c r="A1076" s="3" t="s">
        <v>1097</v>
      </c>
      <c r="B1076" s="3" t="s">
        <v>22</v>
      </c>
      <c r="C1076" s="3">
        <v>363705</v>
      </c>
      <c r="D1076" s="3">
        <v>40999</v>
      </c>
      <c r="E1076" s="3" t="s">
        <v>23</v>
      </c>
    </row>
    <row r="1077" spans="1:5">
      <c r="A1077" s="3" t="s">
        <v>1098</v>
      </c>
      <c r="B1077" s="3" t="s">
        <v>22</v>
      </c>
      <c r="C1077" s="3">
        <v>276202</v>
      </c>
      <c r="D1077" s="3">
        <v>22652</v>
      </c>
      <c r="E1077" s="3" t="s">
        <v>23</v>
      </c>
    </row>
    <row r="1078" spans="1:5">
      <c r="A1078" s="3" t="s">
        <v>1099</v>
      </c>
      <c r="B1078" s="3" t="s">
        <v>22</v>
      </c>
      <c r="C1078" s="3">
        <v>566521</v>
      </c>
      <c r="D1078" s="3">
        <v>63167</v>
      </c>
      <c r="E1078" s="3" t="s">
        <v>23</v>
      </c>
    </row>
    <row r="1079" spans="1:5">
      <c r="A1079" s="3" t="s">
        <v>1100</v>
      </c>
      <c r="B1079" s="3" t="s">
        <v>22</v>
      </c>
      <c r="C1079" s="3">
        <v>252890</v>
      </c>
      <c r="D1079" s="3">
        <v>52736</v>
      </c>
      <c r="E1079" s="3" t="s">
        <v>23</v>
      </c>
    </row>
    <row r="1080" spans="1:5">
      <c r="A1080" s="3" t="s">
        <v>1101</v>
      </c>
      <c r="B1080" s="3" t="s">
        <v>22</v>
      </c>
      <c r="C1080" s="3">
        <v>273757</v>
      </c>
      <c r="D1080" s="3">
        <v>14162</v>
      </c>
      <c r="E1080" s="3" t="s">
        <v>23</v>
      </c>
    </row>
    <row r="1081" spans="1:5">
      <c r="A1081" s="3" t="s">
        <v>1102</v>
      </c>
      <c r="B1081" s="3" t="s">
        <v>22</v>
      </c>
      <c r="C1081" s="3">
        <v>541335</v>
      </c>
      <c r="D1081" s="3">
        <v>112025</v>
      </c>
      <c r="E1081" s="3" t="s">
        <v>23</v>
      </c>
    </row>
    <row r="1082" spans="1:5">
      <c r="A1082" s="3" t="s">
        <v>1103</v>
      </c>
      <c r="B1082" s="3" t="s">
        <v>22</v>
      </c>
      <c r="C1082" s="3">
        <v>308485</v>
      </c>
      <c r="D1082" s="3">
        <v>51565</v>
      </c>
      <c r="E1082" s="3" t="s">
        <v>23</v>
      </c>
    </row>
    <row r="1083" spans="1:5">
      <c r="A1083" s="3" t="s">
        <v>1104</v>
      </c>
      <c r="B1083" s="3" t="s">
        <v>22</v>
      </c>
      <c r="C1083" s="3">
        <v>498213</v>
      </c>
      <c r="D1083" s="3">
        <v>14139</v>
      </c>
      <c r="E1083" s="3" t="s">
        <v>23</v>
      </c>
    </row>
    <row r="1084" spans="1:5">
      <c r="A1084" s="3" t="s">
        <v>1105</v>
      </c>
      <c r="B1084" s="3" t="s">
        <v>22</v>
      </c>
      <c r="C1084" s="3">
        <v>274495</v>
      </c>
      <c r="D1084" s="3">
        <v>320</v>
      </c>
      <c r="E1084" s="3" t="s">
        <v>23</v>
      </c>
    </row>
    <row r="1085" spans="1:5">
      <c r="A1085" s="3" t="s">
        <v>1106</v>
      </c>
      <c r="B1085" s="3" t="s">
        <v>22</v>
      </c>
      <c r="C1085" s="3">
        <v>469490</v>
      </c>
      <c r="D1085" s="3">
        <v>92608</v>
      </c>
      <c r="E1085" s="3" t="s">
        <v>23</v>
      </c>
    </row>
    <row r="1086" spans="1:5">
      <c r="A1086" s="3" t="s">
        <v>1107</v>
      </c>
      <c r="B1086" s="3" t="s">
        <v>22</v>
      </c>
      <c r="C1086" s="3">
        <v>522871</v>
      </c>
      <c r="D1086" s="3">
        <v>48047</v>
      </c>
      <c r="E1086" s="3" t="s">
        <v>23</v>
      </c>
    </row>
    <row r="1087" spans="1:5">
      <c r="A1087" s="3" t="s">
        <v>1108</v>
      </c>
      <c r="B1087" s="3" t="s">
        <v>22</v>
      </c>
      <c r="C1087" s="3">
        <v>349056</v>
      </c>
      <c r="D1087" s="3">
        <v>43950</v>
      </c>
      <c r="E1087" s="3" t="s">
        <v>23</v>
      </c>
    </row>
    <row r="1088" spans="1:5">
      <c r="A1088" s="3" t="s">
        <v>1109</v>
      </c>
      <c r="B1088" s="3" t="s">
        <v>22</v>
      </c>
      <c r="C1088" s="3">
        <v>438350</v>
      </c>
      <c r="D1088" s="3">
        <v>42474</v>
      </c>
      <c r="E1088" s="3" t="s">
        <v>23</v>
      </c>
    </row>
    <row r="1089" spans="1:5">
      <c r="A1089" s="3" t="s">
        <v>1110</v>
      </c>
      <c r="B1089" s="3" t="s">
        <v>22</v>
      </c>
      <c r="C1089" s="3">
        <v>523694</v>
      </c>
      <c r="D1089" s="3">
        <v>6939</v>
      </c>
      <c r="E1089" s="3" t="s">
        <v>23</v>
      </c>
    </row>
    <row r="1090" spans="1:5">
      <c r="A1090" s="3" t="s">
        <v>1111</v>
      </c>
      <c r="B1090" s="3" t="s">
        <v>22</v>
      </c>
      <c r="C1090" s="3">
        <v>450422</v>
      </c>
      <c r="D1090" s="3">
        <v>55331</v>
      </c>
      <c r="E1090" s="3" t="s">
        <v>23</v>
      </c>
    </row>
    <row r="1091" spans="1:5">
      <c r="A1091" s="3" t="s">
        <v>1112</v>
      </c>
      <c r="B1091" s="3" t="s">
        <v>22</v>
      </c>
      <c r="C1091" s="3">
        <v>184234</v>
      </c>
      <c r="D1091" s="3">
        <v>9519</v>
      </c>
      <c r="E1091" s="3" t="s">
        <v>23</v>
      </c>
    </row>
    <row r="1092" spans="1:5">
      <c r="A1092" s="3" t="s">
        <v>1113</v>
      </c>
      <c r="B1092" s="3" t="s">
        <v>22</v>
      </c>
      <c r="C1092" s="3">
        <v>373955</v>
      </c>
      <c r="D1092" s="3">
        <v>55258</v>
      </c>
      <c r="E1092" s="3" t="s">
        <v>23</v>
      </c>
    </row>
    <row r="1093" spans="1:5">
      <c r="A1093" s="3" t="s">
        <v>1114</v>
      </c>
      <c r="B1093" s="3" t="s">
        <v>22</v>
      </c>
      <c r="C1093" s="3">
        <v>492646</v>
      </c>
      <c r="D1093" s="3">
        <v>31408</v>
      </c>
      <c r="E1093" s="3" t="s">
        <v>23</v>
      </c>
    </row>
    <row r="1094" spans="1:5">
      <c r="A1094" s="3" t="s">
        <v>1115</v>
      </c>
      <c r="B1094" s="3" t="s">
        <v>22</v>
      </c>
      <c r="C1094" s="3">
        <v>353795</v>
      </c>
      <c r="D1094" s="3">
        <v>50417</v>
      </c>
      <c r="E1094" s="3" t="s">
        <v>23</v>
      </c>
    </row>
    <row r="1095" spans="1:5">
      <c r="A1095" s="3" t="s">
        <v>1116</v>
      </c>
      <c r="B1095" s="3" t="s">
        <v>22</v>
      </c>
      <c r="C1095" s="3">
        <v>440150</v>
      </c>
      <c r="D1095" s="3">
        <v>28747</v>
      </c>
      <c r="E1095" s="3" t="s">
        <v>23</v>
      </c>
    </row>
    <row r="1096" spans="1:5">
      <c r="A1096" s="3" t="s">
        <v>1117</v>
      </c>
      <c r="B1096" s="3" t="s">
        <v>22</v>
      </c>
      <c r="C1096" s="3">
        <v>368867</v>
      </c>
      <c r="D1096" s="3">
        <v>45191</v>
      </c>
      <c r="E1096" s="3" t="s">
        <v>23</v>
      </c>
    </row>
    <row r="1097" spans="1:5">
      <c r="A1097" s="3" t="s">
        <v>1118</v>
      </c>
      <c r="B1097" s="3" t="s">
        <v>22</v>
      </c>
      <c r="C1097" s="3">
        <v>467120</v>
      </c>
      <c r="D1097" s="3">
        <v>51437</v>
      </c>
      <c r="E1097" s="3" t="s">
        <v>23</v>
      </c>
    </row>
    <row r="1098" spans="1:5">
      <c r="A1098" s="3" t="s">
        <v>1119</v>
      </c>
      <c r="B1098" s="3" t="s">
        <v>22</v>
      </c>
      <c r="C1098" s="3">
        <v>370710</v>
      </c>
      <c r="D1098" s="3">
        <v>52256</v>
      </c>
      <c r="E1098" s="3" t="s">
        <v>23</v>
      </c>
    </row>
    <row r="1099" spans="1:5">
      <c r="A1099" s="3" t="s">
        <v>1120</v>
      </c>
      <c r="B1099" s="3" t="s">
        <v>22</v>
      </c>
      <c r="C1099" s="3">
        <v>275116</v>
      </c>
      <c r="D1099" s="3">
        <v>24643</v>
      </c>
      <c r="E1099" s="3" t="s">
        <v>23</v>
      </c>
    </row>
    <row r="1100" spans="1:5">
      <c r="A1100" s="3" t="s">
        <v>1121</v>
      </c>
      <c r="B1100" s="3" t="s">
        <v>22</v>
      </c>
      <c r="C1100" s="3">
        <v>195556</v>
      </c>
      <c r="D1100" s="3">
        <v>52102</v>
      </c>
      <c r="E1100" s="3" t="s">
        <v>23</v>
      </c>
    </row>
    <row r="1101" spans="1:5">
      <c r="A1101" s="3" t="s">
        <v>1122</v>
      </c>
      <c r="B1101" s="3" t="s">
        <v>22</v>
      </c>
      <c r="C1101" s="3">
        <v>438519</v>
      </c>
      <c r="D1101" s="3">
        <v>38921</v>
      </c>
      <c r="E1101" s="3" t="s">
        <v>23</v>
      </c>
    </row>
    <row r="1102" spans="1:5">
      <c r="A1102" s="3" t="s">
        <v>1123</v>
      </c>
      <c r="B1102" s="3" t="s">
        <v>22</v>
      </c>
      <c r="C1102" s="3">
        <v>467372</v>
      </c>
      <c r="D1102" s="3">
        <v>19848</v>
      </c>
      <c r="E1102" s="3" t="s">
        <v>23</v>
      </c>
    </row>
    <row r="1103" spans="1:5">
      <c r="A1103" s="3" t="s">
        <v>1124</v>
      </c>
      <c r="B1103" s="3" t="s">
        <v>22</v>
      </c>
      <c r="C1103" s="3">
        <v>367931</v>
      </c>
      <c r="D1103" s="3">
        <v>32692</v>
      </c>
      <c r="E1103" s="3" t="s">
        <v>23</v>
      </c>
    </row>
    <row r="1104" spans="1:5">
      <c r="A1104" s="3" t="s">
        <v>1125</v>
      </c>
      <c r="B1104" s="3" t="s">
        <v>22</v>
      </c>
      <c r="C1104" s="3">
        <v>552958</v>
      </c>
      <c r="D1104" s="3">
        <v>76475</v>
      </c>
      <c r="E1104" s="3" t="s">
        <v>23</v>
      </c>
    </row>
    <row r="1105" spans="1:5">
      <c r="A1105" s="3" t="s">
        <v>1126</v>
      </c>
      <c r="B1105" s="3" t="s">
        <v>22</v>
      </c>
      <c r="C1105" s="3">
        <v>418643</v>
      </c>
      <c r="D1105" s="3">
        <v>49557</v>
      </c>
      <c r="E1105" s="3" t="s">
        <v>23</v>
      </c>
    </row>
    <row r="1106" spans="1:5">
      <c r="A1106" s="3" t="s">
        <v>1127</v>
      </c>
      <c r="B1106" s="3" t="s">
        <v>22</v>
      </c>
      <c r="C1106" s="3">
        <v>368007</v>
      </c>
      <c r="D1106" s="3">
        <v>44661</v>
      </c>
      <c r="E1106" s="3" t="s">
        <v>23</v>
      </c>
    </row>
    <row r="1107" spans="1:5">
      <c r="A1107" s="3" t="s">
        <v>1128</v>
      </c>
      <c r="B1107" s="3" t="s">
        <v>22</v>
      </c>
      <c r="C1107" s="3">
        <v>357812</v>
      </c>
      <c r="D1107" s="3">
        <v>45560</v>
      </c>
      <c r="E1107" s="3" t="s">
        <v>23</v>
      </c>
    </row>
    <row r="1108" spans="1:5">
      <c r="A1108" s="3" t="s">
        <v>1129</v>
      </c>
      <c r="B1108" s="3" t="s">
        <v>22</v>
      </c>
      <c r="C1108" s="3">
        <v>463913</v>
      </c>
      <c r="D1108" s="3">
        <v>66039</v>
      </c>
      <c r="E1108" s="3" t="s">
        <v>23</v>
      </c>
    </row>
    <row r="1109" spans="1:5">
      <c r="A1109" s="3" t="s">
        <v>1130</v>
      </c>
      <c r="B1109" s="3" t="s">
        <v>22</v>
      </c>
      <c r="C1109" s="3">
        <v>480461</v>
      </c>
      <c r="D1109" s="3">
        <v>48885</v>
      </c>
      <c r="E1109" s="3" t="s">
        <v>23</v>
      </c>
    </row>
    <row r="1110" spans="1:5">
      <c r="A1110" s="3" t="s">
        <v>1131</v>
      </c>
      <c r="B1110" s="3" t="s">
        <v>22</v>
      </c>
      <c r="C1110" s="3">
        <v>328299</v>
      </c>
      <c r="D1110" s="3">
        <v>30651</v>
      </c>
      <c r="E1110" s="3" t="s">
        <v>23</v>
      </c>
    </row>
    <row r="1111" spans="1:5">
      <c r="A1111" s="3" t="s">
        <v>1132</v>
      </c>
      <c r="B1111" s="3" t="s">
        <v>22</v>
      </c>
      <c r="C1111" s="3">
        <v>351883</v>
      </c>
      <c r="D1111" s="3">
        <v>29783</v>
      </c>
      <c r="E1111" s="3" t="s">
        <v>23</v>
      </c>
    </row>
    <row r="1112" spans="1:5">
      <c r="A1112" s="3" t="s">
        <v>1133</v>
      </c>
      <c r="B1112" s="3" t="s">
        <v>22</v>
      </c>
      <c r="C1112" s="3">
        <v>460311</v>
      </c>
      <c r="D1112" s="3">
        <v>116892</v>
      </c>
      <c r="E1112" s="3" t="s">
        <v>23</v>
      </c>
    </row>
    <row r="1113" spans="1:5">
      <c r="A1113" s="3" t="s">
        <v>1134</v>
      </c>
      <c r="B1113" s="3" t="s">
        <v>22</v>
      </c>
      <c r="C1113" s="3">
        <v>312628</v>
      </c>
      <c r="D1113" s="3">
        <v>35983</v>
      </c>
      <c r="E1113" s="3" t="s">
        <v>23</v>
      </c>
    </row>
    <row r="1114" spans="1:5">
      <c r="A1114" s="3" t="s">
        <v>1135</v>
      </c>
      <c r="B1114" s="3" t="s">
        <v>22</v>
      </c>
      <c r="C1114" s="3">
        <v>418174</v>
      </c>
      <c r="D1114" s="3">
        <v>35256</v>
      </c>
      <c r="E1114" s="3" t="s">
        <v>23</v>
      </c>
    </row>
    <row r="1115" spans="1:5">
      <c r="A1115" s="3" t="s">
        <v>1136</v>
      </c>
      <c r="B1115" s="3" t="s">
        <v>22</v>
      </c>
      <c r="C1115" s="3">
        <v>382008</v>
      </c>
      <c r="D1115" s="3">
        <v>10984</v>
      </c>
      <c r="E1115" s="3" t="s">
        <v>23</v>
      </c>
    </row>
    <row r="1116" spans="1:5">
      <c r="A1116" s="3" t="s">
        <v>1137</v>
      </c>
      <c r="B1116" s="3" t="s">
        <v>22</v>
      </c>
      <c r="C1116" s="3">
        <v>449070</v>
      </c>
      <c r="D1116" s="3">
        <v>100698</v>
      </c>
      <c r="E1116" s="3" t="s">
        <v>23</v>
      </c>
    </row>
    <row r="1117" spans="1:5">
      <c r="A1117" s="3" t="s">
        <v>1138</v>
      </c>
      <c r="B1117" s="3" t="s">
        <v>22</v>
      </c>
      <c r="C1117" s="3">
        <v>483890</v>
      </c>
      <c r="D1117" s="3">
        <v>9317</v>
      </c>
      <c r="E1117" s="3" t="s">
        <v>23</v>
      </c>
    </row>
    <row r="1118" spans="1:5">
      <c r="A1118" s="3" t="s">
        <v>1139</v>
      </c>
      <c r="B1118" s="3" t="s">
        <v>22</v>
      </c>
      <c r="C1118" s="3">
        <v>419154</v>
      </c>
      <c r="D1118" s="3">
        <v>33559</v>
      </c>
      <c r="E1118" s="3" t="s">
        <v>23</v>
      </c>
    </row>
    <row r="1119" spans="1:5">
      <c r="A1119" s="3" t="s">
        <v>1140</v>
      </c>
      <c r="B1119" s="3" t="s">
        <v>22</v>
      </c>
      <c r="C1119" s="3">
        <v>540552</v>
      </c>
      <c r="D1119" s="3">
        <v>252271</v>
      </c>
      <c r="E1119" s="3" t="s">
        <v>23</v>
      </c>
    </row>
    <row r="1120" spans="1:5">
      <c r="A1120" s="3" t="s">
        <v>1141</v>
      </c>
      <c r="B1120" s="3" t="s">
        <v>22</v>
      </c>
      <c r="C1120" s="3">
        <v>319498</v>
      </c>
      <c r="D1120" s="3">
        <v>152311</v>
      </c>
      <c r="E1120" s="3" t="s">
        <v>23</v>
      </c>
    </row>
    <row r="1121" spans="1:5">
      <c r="A1121" s="3" t="s">
        <v>1142</v>
      </c>
      <c r="B1121" s="3" t="s">
        <v>22</v>
      </c>
      <c r="C1121" s="3">
        <v>687294</v>
      </c>
      <c r="D1121" s="3">
        <v>326273</v>
      </c>
      <c r="E1121" s="3" t="s">
        <v>23</v>
      </c>
    </row>
    <row r="1122" spans="1:5">
      <c r="A1122" s="3" t="s">
        <v>1143</v>
      </c>
      <c r="B1122" s="3" t="s">
        <v>22</v>
      </c>
      <c r="C1122" s="3">
        <v>627958</v>
      </c>
      <c r="D1122" s="3">
        <v>2347</v>
      </c>
      <c r="E1122" s="3" t="s">
        <v>23</v>
      </c>
    </row>
    <row r="1123" spans="1:5">
      <c r="A1123" s="3" t="s">
        <v>1144</v>
      </c>
      <c r="B1123" s="3" t="s">
        <v>22</v>
      </c>
      <c r="C1123" s="3">
        <v>359086</v>
      </c>
      <c r="D1123" s="3">
        <v>146769</v>
      </c>
      <c r="E1123" s="3" t="s">
        <v>23</v>
      </c>
    </row>
    <row r="1124" spans="1:5">
      <c r="A1124" s="3" t="s">
        <v>1145</v>
      </c>
      <c r="B1124" s="3" t="s">
        <v>22</v>
      </c>
      <c r="C1124" s="3">
        <v>350468</v>
      </c>
      <c r="D1124" s="3">
        <v>161630</v>
      </c>
      <c r="E1124" s="3" t="s">
        <v>23</v>
      </c>
    </row>
    <row r="1125" spans="1:5">
      <c r="A1125" s="3" t="s">
        <v>1146</v>
      </c>
      <c r="B1125" s="3" t="s">
        <v>22</v>
      </c>
      <c r="C1125" s="3">
        <v>444486</v>
      </c>
      <c r="D1125" s="3">
        <v>10845</v>
      </c>
      <c r="E1125" s="3" t="s">
        <v>23</v>
      </c>
    </row>
    <row r="1126" spans="1:5">
      <c r="A1126" s="3" t="s">
        <v>1147</v>
      </c>
      <c r="B1126" s="3" t="s">
        <v>22</v>
      </c>
      <c r="C1126" s="3">
        <v>365071</v>
      </c>
      <c r="D1126" s="3">
        <v>35789</v>
      </c>
      <c r="E1126" s="3" t="s">
        <v>23</v>
      </c>
    </row>
    <row r="1127" spans="1:5">
      <c r="A1127" s="3" t="s">
        <v>1148</v>
      </c>
      <c r="B1127" s="3" t="s">
        <v>22</v>
      </c>
      <c r="C1127" s="3">
        <v>384674</v>
      </c>
      <c r="D1127" s="3">
        <v>169030</v>
      </c>
      <c r="E1127" s="3" t="s">
        <v>23</v>
      </c>
    </row>
    <row r="1128" spans="1:5">
      <c r="A1128" s="3" t="s">
        <v>1149</v>
      </c>
      <c r="B1128" s="3" t="s">
        <v>22</v>
      </c>
      <c r="C1128" s="3">
        <v>622059</v>
      </c>
      <c r="D1128" s="3">
        <v>276241</v>
      </c>
      <c r="E1128" s="3" t="s">
        <v>23</v>
      </c>
    </row>
    <row r="1129" spans="1:5">
      <c r="A1129" s="3" t="s">
        <v>1150</v>
      </c>
      <c r="B1129" s="3" t="s">
        <v>22</v>
      </c>
      <c r="C1129" s="3">
        <v>209991</v>
      </c>
      <c r="D1129" s="3">
        <v>83755</v>
      </c>
      <c r="E1129" s="3" t="s">
        <v>23</v>
      </c>
    </row>
    <row r="1130" spans="1:5">
      <c r="A1130" s="3" t="s">
        <v>1151</v>
      </c>
      <c r="B1130" s="3" t="s">
        <v>22</v>
      </c>
      <c r="C1130" s="3">
        <v>414261</v>
      </c>
      <c r="D1130" s="3">
        <v>102616</v>
      </c>
      <c r="E1130" s="3" t="s">
        <v>23</v>
      </c>
    </row>
    <row r="1131" spans="1:5">
      <c r="A1131" s="3" t="s">
        <v>1152</v>
      </c>
      <c r="B1131" s="3" t="s">
        <v>22</v>
      </c>
      <c r="C1131" s="3">
        <v>177560</v>
      </c>
      <c r="D1131" s="3">
        <v>93353</v>
      </c>
      <c r="E1131" s="3" t="s">
        <v>23</v>
      </c>
    </row>
    <row r="1132" spans="1:5">
      <c r="A1132" s="3" t="s">
        <v>1153</v>
      </c>
      <c r="B1132" s="3" t="s">
        <v>22</v>
      </c>
      <c r="C1132" s="3">
        <v>340312</v>
      </c>
      <c r="D1132" s="3">
        <v>1420</v>
      </c>
      <c r="E1132" s="3" t="s">
        <v>23</v>
      </c>
    </row>
    <row r="1133" spans="1:5">
      <c r="A1133" s="3" t="s">
        <v>1154</v>
      </c>
      <c r="B1133" s="3" t="s">
        <v>22</v>
      </c>
      <c r="C1133" s="3">
        <v>681026</v>
      </c>
      <c r="D1133" s="3">
        <v>127073</v>
      </c>
      <c r="E1133" s="3" t="s">
        <v>23</v>
      </c>
    </row>
    <row r="1134" spans="1:5">
      <c r="A1134" s="3" t="s">
        <v>1155</v>
      </c>
      <c r="B1134" s="3" t="s">
        <v>22</v>
      </c>
      <c r="C1134" s="3">
        <v>149628</v>
      </c>
      <c r="D1134" s="3">
        <v>69231</v>
      </c>
      <c r="E1134" s="3" t="s">
        <v>23</v>
      </c>
    </row>
    <row r="1135" spans="1:5">
      <c r="A1135" s="3" t="s">
        <v>1156</v>
      </c>
      <c r="B1135" s="3" t="s">
        <v>22</v>
      </c>
      <c r="C1135" s="3">
        <v>566887</v>
      </c>
      <c r="D1135" s="3">
        <v>287382</v>
      </c>
      <c r="E1135" s="3" t="s">
        <v>23</v>
      </c>
    </row>
    <row r="1136" spans="1:5">
      <c r="A1136" s="3" t="s">
        <v>1157</v>
      </c>
      <c r="B1136" s="3" t="s">
        <v>22</v>
      </c>
      <c r="C1136" s="3">
        <v>349739</v>
      </c>
      <c r="D1136" s="3">
        <v>89767</v>
      </c>
      <c r="E1136" s="3" t="s">
        <v>23</v>
      </c>
    </row>
    <row r="1137" spans="1:5">
      <c r="A1137" s="3" t="s">
        <v>1158</v>
      </c>
      <c r="B1137" s="3" t="s">
        <v>22</v>
      </c>
      <c r="C1137" s="3">
        <v>323134</v>
      </c>
      <c r="D1137" s="3">
        <v>334</v>
      </c>
      <c r="E1137" s="3" t="s">
        <v>23</v>
      </c>
    </row>
    <row r="1138" spans="1:5">
      <c r="A1138" s="3" t="s">
        <v>1159</v>
      </c>
      <c r="B1138" s="3" t="s">
        <v>22</v>
      </c>
      <c r="C1138" s="3">
        <v>355081</v>
      </c>
      <c r="D1138" s="3">
        <v>145808</v>
      </c>
      <c r="E1138" s="3" t="s">
        <v>23</v>
      </c>
    </row>
    <row r="1139" spans="1:5">
      <c r="A1139" s="3" t="s">
        <v>1160</v>
      </c>
      <c r="B1139" s="3" t="s">
        <v>22</v>
      </c>
      <c r="C1139" s="3">
        <v>519580</v>
      </c>
      <c r="D1139" s="3">
        <v>234882</v>
      </c>
      <c r="E1139" s="3" t="s">
        <v>23</v>
      </c>
    </row>
    <row r="1140" spans="1:5">
      <c r="A1140" s="3" t="s">
        <v>1161</v>
      </c>
      <c r="B1140" s="3" t="s">
        <v>22</v>
      </c>
      <c r="C1140" s="3">
        <v>320834</v>
      </c>
      <c r="D1140" s="3">
        <v>165549</v>
      </c>
      <c r="E1140" s="3" t="s">
        <v>23</v>
      </c>
    </row>
    <row r="1141" spans="1:5">
      <c r="A1141" s="3" t="s">
        <v>1162</v>
      </c>
      <c r="B1141" s="3" t="s">
        <v>22</v>
      </c>
      <c r="C1141" s="3">
        <v>600979</v>
      </c>
      <c r="D1141" s="3">
        <v>3881</v>
      </c>
      <c r="E1141" s="3" t="s">
        <v>23</v>
      </c>
    </row>
    <row r="1142" spans="1:5">
      <c r="A1142" s="3" t="s">
        <v>1163</v>
      </c>
      <c r="B1142" s="3" t="s">
        <v>22</v>
      </c>
      <c r="C1142" s="3">
        <v>612068</v>
      </c>
      <c r="D1142" s="3">
        <v>265499</v>
      </c>
      <c r="E1142" s="3" t="s">
        <v>23</v>
      </c>
    </row>
    <row r="1143" spans="1:5">
      <c r="A1143" s="3" t="s">
        <v>1164</v>
      </c>
      <c r="B1143" s="3" t="s">
        <v>22</v>
      </c>
      <c r="C1143" s="3">
        <v>472324</v>
      </c>
      <c r="D1143" s="3">
        <v>80681</v>
      </c>
      <c r="E1143" s="3" t="s">
        <v>23</v>
      </c>
    </row>
    <row r="1144" spans="1:5">
      <c r="A1144" s="3" t="s">
        <v>1165</v>
      </c>
      <c r="B1144" s="3" t="s">
        <v>22</v>
      </c>
      <c r="C1144" s="3">
        <v>690960</v>
      </c>
      <c r="D1144" s="3">
        <v>332039</v>
      </c>
      <c r="E1144" s="3" t="s">
        <v>23</v>
      </c>
    </row>
    <row r="1145" spans="1:5">
      <c r="A1145" s="3" t="s">
        <v>1166</v>
      </c>
      <c r="B1145" s="3" t="s">
        <v>22</v>
      </c>
      <c r="C1145" s="3">
        <v>462709</v>
      </c>
      <c r="D1145" s="3">
        <v>255047</v>
      </c>
      <c r="E1145" s="3" t="s">
        <v>23</v>
      </c>
    </row>
    <row r="1146" spans="1:5">
      <c r="A1146" s="3" t="s">
        <v>1167</v>
      </c>
      <c r="B1146" s="3" t="s">
        <v>22</v>
      </c>
      <c r="C1146" s="3">
        <v>400003</v>
      </c>
      <c r="D1146" s="3">
        <v>174551</v>
      </c>
      <c r="E1146" s="3" t="s">
        <v>23</v>
      </c>
    </row>
    <row r="1147" spans="1:5">
      <c r="A1147" s="3" t="s">
        <v>1168</v>
      </c>
      <c r="B1147" s="3" t="s">
        <v>22</v>
      </c>
      <c r="C1147" s="3">
        <v>113213</v>
      </c>
      <c r="D1147" s="3">
        <v>68616</v>
      </c>
      <c r="E1147" s="3" t="s">
        <v>23</v>
      </c>
    </row>
    <row r="1148" spans="1:5">
      <c r="A1148" s="3" t="s">
        <v>1169</v>
      </c>
      <c r="B1148" s="3" t="s">
        <v>22</v>
      </c>
      <c r="C1148" s="3">
        <v>663380</v>
      </c>
      <c r="D1148" s="3">
        <v>144975</v>
      </c>
      <c r="E1148" s="3" t="s">
        <v>23</v>
      </c>
    </row>
    <row r="1149" spans="1:5">
      <c r="A1149" s="3" t="s">
        <v>1170</v>
      </c>
      <c r="B1149" s="3" t="s">
        <v>22</v>
      </c>
      <c r="C1149" s="3">
        <v>713250</v>
      </c>
      <c r="D1149" s="3">
        <v>211130</v>
      </c>
      <c r="E1149" s="3" t="s">
        <v>23</v>
      </c>
    </row>
    <row r="1150" spans="1:5">
      <c r="A1150" s="3" t="s">
        <v>1171</v>
      </c>
      <c r="B1150" s="3" t="s">
        <v>22</v>
      </c>
      <c r="C1150" s="3">
        <v>894387</v>
      </c>
      <c r="D1150" s="3">
        <v>298304</v>
      </c>
      <c r="E1150" s="3" t="s">
        <v>23</v>
      </c>
    </row>
    <row r="1151" spans="1:5">
      <c r="A1151" s="3" t="s">
        <v>1172</v>
      </c>
      <c r="B1151" s="3" t="s">
        <v>22</v>
      </c>
      <c r="C1151" s="3">
        <v>0</v>
      </c>
      <c r="D1151" s="3">
        <v>0</v>
      </c>
      <c r="E1151" s="3" t="s">
        <v>1173</v>
      </c>
    </row>
    <row r="1152" spans="1:5">
      <c r="A1152" s="3" t="s">
        <v>1174</v>
      </c>
      <c r="B1152" s="3" t="s">
        <v>22</v>
      </c>
      <c r="C1152" s="3">
        <v>654587</v>
      </c>
      <c r="D1152" s="3">
        <v>63849</v>
      </c>
      <c r="E1152" s="3" t="s">
        <v>23</v>
      </c>
    </row>
    <row r="1153" spans="1:5">
      <c r="A1153" s="3" t="s">
        <v>1175</v>
      </c>
      <c r="B1153" s="3" t="s">
        <v>22</v>
      </c>
      <c r="C1153" s="3">
        <v>257005</v>
      </c>
      <c r="D1153" s="3">
        <v>46518</v>
      </c>
      <c r="E1153" s="3" t="s">
        <v>23</v>
      </c>
    </row>
    <row r="1154" spans="1:5">
      <c r="A1154" s="3" t="s">
        <v>1176</v>
      </c>
      <c r="B1154" s="3" t="s">
        <v>22</v>
      </c>
      <c r="C1154" s="3">
        <v>618371</v>
      </c>
      <c r="D1154" s="3">
        <v>175137</v>
      </c>
      <c r="E1154" s="3" t="s">
        <v>23</v>
      </c>
    </row>
    <row r="1155" spans="1:5">
      <c r="A1155" s="3" t="s">
        <v>1177</v>
      </c>
      <c r="B1155" s="3" t="s">
        <v>22</v>
      </c>
      <c r="C1155" s="3">
        <v>530062</v>
      </c>
      <c r="D1155" s="3">
        <v>262686</v>
      </c>
      <c r="E1155" s="3" t="s">
        <v>23</v>
      </c>
    </row>
    <row r="1156" spans="1:5">
      <c r="A1156" s="3" t="s">
        <v>1178</v>
      </c>
      <c r="B1156" s="3" t="s">
        <v>22</v>
      </c>
      <c r="C1156" s="3">
        <v>472489</v>
      </c>
      <c r="D1156" s="3">
        <v>201035</v>
      </c>
      <c r="E1156" s="3" t="s">
        <v>23</v>
      </c>
    </row>
    <row r="1157" spans="1:5">
      <c r="A1157" s="3" t="s">
        <v>1179</v>
      </c>
      <c r="B1157" s="3" t="s">
        <v>22</v>
      </c>
      <c r="C1157" s="3">
        <v>0</v>
      </c>
      <c r="D1157" s="3">
        <v>0</v>
      </c>
      <c r="E1157" s="3" t="s">
        <v>1173</v>
      </c>
    </row>
    <row r="1158" spans="1:5">
      <c r="A1158" s="3" t="s">
        <v>1180</v>
      </c>
      <c r="B1158" s="3" t="s">
        <v>22</v>
      </c>
      <c r="C1158" s="3">
        <v>560014</v>
      </c>
      <c r="D1158" s="3">
        <v>171180</v>
      </c>
      <c r="E1158" s="3" t="s">
        <v>23</v>
      </c>
    </row>
    <row r="1159" spans="1:5">
      <c r="A1159" s="3" t="s">
        <v>1181</v>
      </c>
      <c r="B1159" s="3" t="s">
        <v>22</v>
      </c>
      <c r="C1159" s="3">
        <v>588066</v>
      </c>
      <c r="D1159" s="3">
        <v>284748</v>
      </c>
      <c r="E1159" s="3" t="s">
        <v>23</v>
      </c>
    </row>
    <row r="1160" spans="1:5">
      <c r="A1160" s="3" t="s">
        <v>1182</v>
      </c>
      <c r="B1160" s="3" t="s">
        <v>22</v>
      </c>
      <c r="C1160" s="3">
        <v>594344</v>
      </c>
      <c r="D1160" s="3">
        <v>221110</v>
      </c>
      <c r="E1160" s="3" t="s">
        <v>23</v>
      </c>
    </row>
    <row r="1161" spans="1:5">
      <c r="A1161" s="3" t="s">
        <v>1183</v>
      </c>
      <c r="B1161" s="3" t="s">
        <v>22</v>
      </c>
      <c r="C1161" s="3">
        <v>887907</v>
      </c>
      <c r="D1161" s="3">
        <v>380768</v>
      </c>
      <c r="E1161" s="3" t="s">
        <v>23</v>
      </c>
    </row>
    <row r="1162" spans="1:5">
      <c r="A1162" s="3" t="s">
        <v>1184</v>
      </c>
      <c r="B1162" s="3" t="s">
        <v>22</v>
      </c>
      <c r="C1162" s="3">
        <v>266933</v>
      </c>
      <c r="D1162" s="3">
        <v>139592</v>
      </c>
      <c r="E1162" s="3" t="s">
        <v>23</v>
      </c>
    </row>
    <row r="1163" spans="1:5">
      <c r="A1163" s="3" t="s">
        <v>1185</v>
      </c>
      <c r="B1163" s="3" t="s">
        <v>22</v>
      </c>
      <c r="C1163" s="3">
        <v>547933</v>
      </c>
      <c r="D1163" s="3">
        <v>307788</v>
      </c>
      <c r="E1163" s="3" t="s">
        <v>23</v>
      </c>
    </row>
    <row r="1164" spans="1:5">
      <c r="A1164" s="3" t="s">
        <v>1186</v>
      </c>
      <c r="B1164" s="3" t="s">
        <v>22</v>
      </c>
      <c r="C1164" s="3">
        <v>842602</v>
      </c>
      <c r="D1164" s="3">
        <v>403224</v>
      </c>
      <c r="E1164" s="3" t="s">
        <v>23</v>
      </c>
    </row>
    <row r="1165" spans="1:5">
      <c r="A1165" s="3" t="s">
        <v>1187</v>
      </c>
      <c r="B1165" s="3" t="s">
        <v>22</v>
      </c>
      <c r="C1165" s="3">
        <v>832460</v>
      </c>
      <c r="D1165" s="3">
        <v>334373</v>
      </c>
      <c r="E1165" s="3" t="s">
        <v>23</v>
      </c>
    </row>
    <row r="1166" spans="1:5">
      <c r="A1166" s="3" t="s">
        <v>1188</v>
      </c>
      <c r="B1166" s="3" t="s">
        <v>22</v>
      </c>
      <c r="C1166" s="3">
        <v>499879</v>
      </c>
      <c r="D1166" s="3">
        <v>93173</v>
      </c>
      <c r="E1166" s="3" t="s">
        <v>23</v>
      </c>
    </row>
    <row r="1167" spans="1:5">
      <c r="A1167" s="3" t="s">
        <v>1189</v>
      </c>
      <c r="B1167" s="3" t="s">
        <v>22</v>
      </c>
      <c r="C1167" s="3">
        <v>656873</v>
      </c>
      <c r="D1167" s="3">
        <v>244313</v>
      </c>
      <c r="E1167" s="3" t="s">
        <v>23</v>
      </c>
    </row>
    <row r="1168" spans="1:5">
      <c r="A1168" s="3" t="s">
        <v>1190</v>
      </c>
      <c r="B1168" s="3" t="s">
        <v>22</v>
      </c>
      <c r="C1168" s="3">
        <v>347102</v>
      </c>
      <c r="D1168" s="3">
        <v>138608</v>
      </c>
      <c r="E1168" s="3" t="s">
        <v>23</v>
      </c>
    </row>
    <row r="1169" spans="1:5">
      <c r="A1169" s="3" t="s">
        <v>1191</v>
      </c>
      <c r="B1169" s="3" t="s">
        <v>22</v>
      </c>
      <c r="C1169" s="3">
        <v>384779</v>
      </c>
      <c r="D1169" s="3">
        <v>198367</v>
      </c>
      <c r="E1169" s="3" t="s">
        <v>23</v>
      </c>
    </row>
    <row r="1170" spans="1:5">
      <c r="A1170" s="3" t="s">
        <v>1192</v>
      </c>
      <c r="B1170" s="3" t="s">
        <v>22</v>
      </c>
      <c r="C1170" s="3">
        <v>427068</v>
      </c>
      <c r="D1170" s="3">
        <v>78716</v>
      </c>
      <c r="E1170" s="3" t="s">
        <v>23</v>
      </c>
    </row>
    <row r="1171" spans="1:5">
      <c r="A1171" s="3" t="s">
        <v>1193</v>
      </c>
      <c r="B1171" s="3" t="s">
        <v>22</v>
      </c>
      <c r="C1171" s="3">
        <v>1001588</v>
      </c>
      <c r="D1171" s="3">
        <v>328651</v>
      </c>
      <c r="E1171" s="3" t="s">
        <v>23</v>
      </c>
    </row>
    <row r="1172" spans="1:5">
      <c r="A1172" s="3" t="s">
        <v>1194</v>
      </c>
      <c r="B1172" s="3" t="s">
        <v>22</v>
      </c>
      <c r="C1172" s="3">
        <v>466352</v>
      </c>
      <c r="D1172" s="3">
        <v>150446</v>
      </c>
      <c r="E1172" s="3" t="s">
        <v>23</v>
      </c>
    </row>
    <row r="1173" spans="1:5">
      <c r="A1173" s="3" t="s">
        <v>1195</v>
      </c>
      <c r="B1173" s="3" t="s">
        <v>22</v>
      </c>
      <c r="C1173" s="3">
        <v>584626</v>
      </c>
      <c r="D1173" s="3">
        <v>38325</v>
      </c>
      <c r="E1173" s="3" t="s">
        <v>23</v>
      </c>
    </row>
    <row r="1174" spans="1:5">
      <c r="A1174" s="3" t="s">
        <v>1196</v>
      </c>
      <c r="B1174" s="3" t="s">
        <v>22</v>
      </c>
      <c r="C1174" s="3">
        <v>200432</v>
      </c>
      <c r="D1174" s="3">
        <v>86329</v>
      </c>
      <c r="E1174" s="3" t="s">
        <v>23</v>
      </c>
    </row>
    <row r="1175" spans="1:5">
      <c r="A1175" s="3" t="s">
        <v>1197</v>
      </c>
      <c r="B1175" s="3" t="s">
        <v>22</v>
      </c>
      <c r="C1175" s="3">
        <v>458928</v>
      </c>
      <c r="D1175" s="3">
        <v>143171</v>
      </c>
      <c r="E1175" s="3" t="s">
        <v>23</v>
      </c>
    </row>
    <row r="1176" spans="1:5">
      <c r="A1176" s="3" t="s">
        <v>1198</v>
      </c>
      <c r="B1176" s="3" t="s">
        <v>22</v>
      </c>
      <c r="C1176" s="3">
        <v>516628</v>
      </c>
      <c r="D1176" s="3">
        <v>1474</v>
      </c>
      <c r="E1176" s="3" t="s">
        <v>23</v>
      </c>
    </row>
    <row r="1177" spans="1:5">
      <c r="A1177" s="3" t="s">
        <v>1199</v>
      </c>
      <c r="B1177" s="3" t="s">
        <v>22</v>
      </c>
      <c r="C1177" s="3">
        <v>421854</v>
      </c>
      <c r="D1177" s="3">
        <v>2387</v>
      </c>
      <c r="E1177" s="3" t="s">
        <v>23</v>
      </c>
    </row>
    <row r="1178" spans="1:5">
      <c r="A1178" s="3" t="s">
        <v>1200</v>
      </c>
      <c r="B1178" s="3" t="s">
        <v>22</v>
      </c>
      <c r="C1178" s="3">
        <v>433696</v>
      </c>
      <c r="D1178" s="3">
        <v>195875</v>
      </c>
      <c r="E1178" s="3" t="s">
        <v>23</v>
      </c>
    </row>
    <row r="1179" spans="1:5">
      <c r="A1179" s="3" t="s">
        <v>1201</v>
      </c>
      <c r="B1179" s="3" t="s">
        <v>22</v>
      </c>
      <c r="C1179" s="3">
        <v>716304</v>
      </c>
      <c r="D1179" s="3">
        <v>319115</v>
      </c>
      <c r="E1179" s="3" t="s">
        <v>23</v>
      </c>
    </row>
    <row r="1180" spans="1:5">
      <c r="A1180" s="3" t="s">
        <v>1202</v>
      </c>
      <c r="B1180" s="3" t="s">
        <v>22</v>
      </c>
      <c r="C1180" s="3">
        <v>523211</v>
      </c>
      <c r="D1180" s="3">
        <v>80163</v>
      </c>
      <c r="E1180" s="3" t="s">
        <v>23</v>
      </c>
    </row>
    <row r="1181" spans="1:5">
      <c r="A1181" s="3" t="s">
        <v>1203</v>
      </c>
      <c r="B1181" s="3" t="s">
        <v>22</v>
      </c>
      <c r="C1181" s="3">
        <v>854451</v>
      </c>
      <c r="D1181" s="3">
        <v>381322</v>
      </c>
      <c r="E1181" s="3" t="s">
        <v>23</v>
      </c>
    </row>
    <row r="1182" spans="1:5">
      <c r="A1182" s="3" t="s">
        <v>1204</v>
      </c>
      <c r="B1182" s="3" t="s">
        <v>22</v>
      </c>
      <c r="C1182" s="3">
        <v>917983</v>
      </c>
      <c r="D1182" s="3">
        <v>390280</v>
      </c>
      <c r="E1182" s="3" t="s">
        <v>23</v>
      </c>
    </row>
    <row r="1183" spans="1:5">
      <c r="A1183" s="3" t="s">
        <v>1205</v>
      </c>
      <c r="B1183" s="3" t="s">
        <v>22</v>
      </c>
      <c r="C1183" s="3">
        <v>520395</v>
      </c>
      <c r="D1183" s="3">
        <v>11194</v>
      </c>
      <c r="E1183" s="3" t="s">
        <v>23</v>
      </c>
    </row>
    <row r="1184" spans="1:5">
      <c r="A1184" s="3" t="s">
        <v>1206</v>
      </c>
      <c r="B1184" s="3" t="s">
        <v>22</v>
      </c>
      <c r="C1184" s="3">
        <v>384501</v>
      </c>
      <c r="D1184" s="3">
        <v>47836</v>
      </c>
      <c r="E1184" s="3" t="s">
        <v>23</v>
      </c>
    </row>
    <row r="1185" spans="1:5">
      <c r="A1185" s="3" t="s">
        <v>1207</v>
      </c>
      <c r="B1185" s="3" t="s">
        <v>22</v>
      </c>
      <c r="C1185" s="3">
        <v>461319</v>
      </c>
      <c r="D1185" s="3">
        <v>248778</v>
      </c>
      <c r="E1185" s="3" t="s">
        <v>23</v>
      </c>
    </row>
    <row r="1186" spans="1:5">
      <c r="A1186" s="3" t="s">
        <v>1208</v>
      </c>
      <c r="B1186" s="3" t="s">
        <v>22</v>
      </c>
      <c r="C1186" s="3">
        <v>634375</v>
      </c>
      <c r="D1186" s="3">
        <v>326435</v>
      </c>
      <c r="E1186" s="3" t="s">
        <v>23</v>
      </c>
    </row>
    <row r="1187" spans="1:5">
      <c r="A1187" s="3" t="s">
        <v>1209</v>
      </c>
      <c r="B1187" s="3" t="s">
        <v>22</v>
      </c>
      <c r="C1187" s="3">
        <v>593692</v>
      </c>
      <c r="D1187" s="3">
        <v>180820</v>
      </c>
      <c r="E1187" s="3" t="s">
        <v>23</v>
      </c>
    </row>
    <row r="1188" spans="1:5">
      <c r="A1188" s="3" t="s">
        <v>1210</v>
      </c>
      <c r="B1188" s="3" t="s">
        <v>22</v>
      </c>
      <c r="C1188" s="3">
        <v>706163</v>
      </c>
      <c r="D1188" s="3">
        <v>349274</v>
      </c>
      <c r="E1188" s="3" t="s">
        <v>23</v>
      </c>
    </row>
    <row r="1189" spans="1:5">
      <c r="A1189" s="3" t="s">
        <v>1211</v>
      </c>
      <c r="B1189" s="3" t="s">
        <v>22</v>
      </c>
      <c r="C1189" s="3">
        <v>697559</v>
      </c>
      <c r="D1189" s="3">
        <v>270086</v>
      </c>
      <c r="E1189" s="3" t="s">
        <v>23</v>
      </c>
    </row>
    <row r="1190" spans="1:5">
      <c r="A1190" s="3" t="s">
        <v>1212</v>
      </c>
      <c r="B1190" s="3" t="s">
        <v>22</v>
      </c>
      <c r="C1190" s="3">
        <v>529900</v>
      </c>
      <c r="D1190" s="3">
        <v>219519</v>
      </c>
      <c r="E1190" s="3" t="s">
        <v>23</v>
      </c>
    </row>
    <row r="1191" spans="1:5">
      <c r="A1191" s="3" t="s">
        <v>1213</v>
      </c>
      <c r="B1191" s="3" t="s">
        <v>22</v>
      </c>
      <c r="C1191" s="3">
        <v>421884</v>
      </c>
      <c r="D1191" s="3">
        <v>204846</v>
      </c>
      <c r="E1191" s="3" t="s">
        <v>23</v>
      </c>
    </row>
    <row r="1192" spans="1:5">
      <c r="A1192" s="3" t="s">
        <v>1214</v>
      </c>
      <c r="B1192" s="3" t="s">
        <v>22</v>
      </c>
      <c r="C1192" s="3">
        <v>574676</v>
      </c>
      <c r="D1192" s="3">
        <v>270029</v>
      </c>
      <c r="E1192" s="3" t="s">
        <v>23</v>
      </c>
    </row>
    <row r="1193" spans="1:5">
      <c r="A1193" s="3" t="s">
        <v>1215</v>
      </c>
      <c r="B1193" s="3" t="s">
        <v>22</v>
      </c>
      <c r="C1193" s="3">
        <v>139068</v>
      </c>
      <c r="D1193" s="3">
        <v>61286</v>
      </c>
      <c r="E1193" s="3" t="s">
        <v>23</v>
      </c>
    </row>
    <row r="1194" spans="1:5">
      <c r="A1194" s="3" t="s">
        <v>1216</v>
      </c>
      <c r="B1194" s="3" t="s">
        <v>22</v>
      </c>
      <c r="C1194" s="3">
        <v>597687</v>
      </c>
      <c r="D1194" s="3">
        <v>276476</v>
      </c>
      <c r="E1194" s="3" t="s">
        <v>23</v>
      </c>
    </row>
    <row r="1195" spans="1:5">
      <c r="A1195" s="3" t="s">
        <v>1217</v>
      </c>
      <c r="B1195" s="3" t="s">
        <v>22</v>
      </c>
      <c r="C1195" s="3">
        <v>668915</v>
      </c>
      <c r="D1195" s="3">
        <v>144470</v>
      </c>
      <c r="E1195" s="3" t="s">
        <v>23</v>
      </c>
    </row>
    <row r="1196" spans="1:5">
      <c r="A1196" s="3" t="s">
        <v>1218</v>
      </c>
      <c r="B1196" s="3" t="s">
        <v>22</v>
      </c>
      <c r="C1196" s="3">
        <v>550634</v>
      </c>
      <c r="D1196" s="3">
        <v>246413</v>
      </c>
      <c r="E1196" s="3" t="s">
        <v>23</v>
      </c>
    </row>
    <row r="1197" spans="1:5">
      <c r="A1197" s="3" t="s">
        <v>1219</v>
      </c>
      <c r="B1197" s="3" t="s">
        <v>22</v>
      </c>
      <c r="C1197" s="3">
        <v>704022</v>
      </c>
      <c r="D1197" s="3">
        <v>325215</v>
      </c>
      <c r="E1197" s="3" t="s">
        <v>23</v>
      </c>
    </row>
    <row r="1198" spans="1:5">
      <c r="A1198" s="3" t="s">
        <v>1220</v>
      </c>
      <c r="B1198" s="3" t="s">
        <v>22</v>
      </c>
      <c r="C1198" s="3">
        <v>701505</v>
      </c>
      <c r="D1198" s="3">
        <v>177239</v>
      </c>
      <c r="E1198" s="3" t="s">
        <v>23</v>
      </c>
    </row>
    <row r="1199" spans="1:5">
      <c r="A1199" s="3" t="s">
        <v>1221</v>
      </c>
      <c r="B1199" s="3" t="s">
        <v>22</v>
      </c>
      <c r="C1199" s="3">
        <v>308887</v>
      </c>
      <c r="D1199" s="3">
        <v>80526</v>
      </c>
      <c r="E1199" s="3" t="s">
        <v>23</v>
      </c>
    </row>
    <row r="1200" spans="1:5">
      <c r="A1200" s="3" t="s">
        <v>1222</v>
      </c>
      <c r="B1200" s="3" t="s">
        <v>22</v>
      </c>
      <c r="C1200" s="3">
        <v>447811</v>
      </c>
      <c r="D1200" s="3">
        <v>201308</v>
      </c>
      <c r="E1200" s="3" t="s">
        <v>23</v>
      </c>
    </row>
    <row r="1201" spans="1:5">
      <c r="A1201" s="3" t="s">
        <v>1223</v>
      </c>
      <c r="B1201" s="3" t="s">
        <v>22</v>
      </c>
      <c r="C1201" s="3">
        <v>471548</v>
      </c>
      <c r="D1201" s="3">
        <v>18197</v>
      </c>
      <c r="E1201" s="3" t="s">
        <v>23</v>
      </c>
    </row>
    <row r="1202" spans="1:5">
      <c r="A1202" s="3" t="s">
        <v>1224</v>
      </c>
      <c r="B1202" s="3" t="s">
        <v>22</v>
      </c>
      <c r="C1202" s="3">
        <v>735676</v>
      </c>
      <c r="D1202" s="3">
        <v>303277</v>
      </c>
      <c r="E1202" s="3" t="s">
        <v>23</v>
      </c>
    </row>
    <row r="1203" spans="1:5">
      <c r="A1203" s="3" t="s">
        <v>1225</v>
      </c>
      <c r="B1203" s="3" t="s">
        <v>22</v>
      </c>
      <c r="C1203" s="3">
        <v>440273</v>
      </c>
      <c r="D1203" s="3">
        <v>112633</v>
      </c>
      <c r="E1203" s="3" t="s">
        <v>23</v>
      </c>
    </row>
    <row r="1204" spans="1:5">
      <c r="A1204" s="3" t="s">
        <v>1226</v>
      </c>
      <c r="B1204" s="3" t="s">
        <v>22</v>
      </c>
      <c r="C1204" s="3">
        <v>646087</v>
      </c>
      <c r="D1204" s="3">
        <v>38069</v>
      </c>
      <c r="E1204" s="3" t="s">
        <v>23</v>
      </c>
    </row>
    <row r="1205" spans="1:5">
      <c r="A1205" s="3" t="s">
        <v>1227</v>
      </c>
      <c r="B1205" s="3" t="s">
        <v>22</v>
      </c>
      <c r="C1205" s="3">
        <v>358074</v>
      </c>
      <c r="D1205" s="3">
        <v>148157</v>
      </c>
      <c r="E1205" s="3" t="s">
        <v>23</v>
      </c>
    </row>
    <row r="1206" spans="1:5">
      <c r="A1206" s="3" t="s">
        <v>1228</v>
      </c>
      <c r="B1206" s="3" t="s">
        <v>22</v>
      </c>
      <c r="C1206" s="3">
        <v>652890</v>
      </c>
      <c r="D1206" s="3">
        <v>52664</v>
      </c>
      <c r="E1206" s="3" t="s">
        <v>23</v>
      </c>
    </row>
    <row r="1207" spans="1:5">
      <c r="A1207" s="3" t="s">
        <v>1229</v>
      </c>
      <c r="B1207" s="3" t="s">
        <v>22</v>
      </c>
      <c r="C1207" s="3">
        <v>639485</v>
      </c>
      <c r="D1207" s="3">
        <v>13388</v>
      </c>
      <c r="E1207" s="3" t="s">
        <v>23</v>
      </c>
    </row>
    <row r="1208" spans="1:5">
      <c r="A1208" s="3" t="s">
        <v>1230</v>
      </c>
      <c r="B1208" s="3" t="s">
        <v>22</v>
      </c>
      <c r="C1208" s="3">
        <v>448273</v>
      </c>
      <c r="D1208" s="3">
        <v>9937</v>
      </c>
      <c r="E1208" s="3" t="s">
        <v>23</v>
      </c>
    </row>
    <row r="1209" spans="1:5">
      <c r="A1209" s="3" t="s">
        <v>1231</v>
      </c>
      <c r="B1209" s="3" t="s">
        <v>22</v>
      </c>
      <c r="C1209" s="3">
        <v>341160</v>
      </c>
      <c r="D1209" s="3">
        <v>196686</v>
      </c>
      <c r="E1209" s="3" t="s">
        <v>23</v>
      </c>
    </row>
    <row r="1210" spans="1:5">
      <c r="A1210" s="3" t="s">
        <v>1232</v>
      </c>
      <c r="B1210" s="3" t="s">
        <v>22</v>
      </c>
      <c r="C1210" s="3">
        <v>555605</v>
      </c>
      <c r="D1210" s="3">
        <v>122007</v>
      </c>
      <c r="E1210" s="3" t="s">
        <v>23</v>
      </c>
    </row>
    <row r="1211" spans="1:5">
      <c r="A1211" s="3" t="s">
        <v>1233</v>
      </c>
      <c r="B1211" s="3" t="s">
        <v>22</v>
      </c>
      <c r="C1211" s="3">
        <v>569971</v>
      </c>
      <c r="D1211" s="3">
        <v>20655</v>
      </c>
      <c r="E1211" s="3" t="s">
        <v>23</v>
      </c>
    </row>
    <row r="1212" spans="1:5">
      <c r="A1212" s="3" t="s">
        <v>1234</v>
      </c>
      <c r="B1212" s="3" t="s">
        <v>22</v>
      </c>
      <c r="C1212" s="3">
        <v>413085</v>
      </c>
      <c r="D1212" s="3">
        <v>225999</v>
      </c>
      <c r="E1212" s="3" t="s">
        <v>23</v>
      </c>
    </row>
    <row r="1213" spans="1:5">
      <c r="A1213" s="3" t="s">
        <v>1235</v>
      </c>
      <c r="B1213" s="3" t="s">
        <v>22</v>
      </c>
      <c r="C1213" s="3">
        <v>390857</v>
      </c>
      <c r="D1213" s="3">
        <v>176887</v>
      </c>
      <c r="E1213" s="3" t="s">
        <v>23</v>
      </c>
    </row>
    <row r="1214" spans="1:5">
      <c r="A1214" s="3" t="s">
        <v>1236</v>
      </c>
      <c r="B1214" s="3" t="s">
        <v>22</v>
      </c>
      <c r="C1214" s="3">
        <v>769706</v>
      </c>
      <c r="D1214" s="3">
        <v>187062</v>
      </c>
      <c r="E1214" s="3" t="s">
        <v>23</v>
      </c>
    </row>
    <row r="1215" spans="1:5">
      <c r="A1215" s="3" t="s">
        <v>1237</v>
      </c>
      <c r="B1215" s="3" t="s">
        <v>22</v>
      </c>
      <c r="C1215" s="3">
        <v>602059</v>
      </c>
      <c r="D1215" s="3">
        <v>77933</v>
      </c>
      <c r="E1215" s="3" t="s">
        <v>23</v>
      </c>
    </row>
    <row r="1216" spans="1:5">
      <c r="A1216" s="3" t="s">
        <v>1238</v>
      </c>
      <c r="B1216" s="3" t="s">
        <v>22</v>
      </c>
      <c r="C1216" s="3">
        <v>343809</v>
      </c>
      <c r="D1216" s="3">
        <v>175395</v>
      </c>
      <c r="E1216" s="3" t="s">
        <v>23</v>
      </c>
    </row>
    <row r="1217" spans="1:5">
      <c r="A1217" s="3" t="s">
        <v>1239</v>
      </c>
      <c r="B1217" s="3" t="s">
        <v>22</v>
      </c>
      <c r="C1217" s="3">
        <v>294038</v>
      </c>
      <c r="D1217" s="3">
        <v>123775</v>
      </c>
      <c r="E1217" s="3" t="s">
        <v>23</v>
      </c>
    </row>
    <row r="1218" spans="1:5">
      <c r="A1218" s="3" t="s">
        <v>1240</v>
      </c>
      <c r="B1218" s="3" t="s">
        <v>22</v>
      </c>
      <c r="C1218" s="3">
        <v>388369</v>
      </c>
      <c r="D1218" s="3">
        <v>18236</v>
      </c>
      <c r="E1218" s="3" t="s">
        <v>23</v>
      </c>
    </row>
    <row r="1219" spans="1:5">
      <c r="A1219" s="3" t="s">
        <v>1241</v>
      </c>
      <c r="B1219" s="3" t="s">
        <v>22</v>
      </c>
      <c r="C1219" s="3">
        <v>484664</v>
      </c>
      <c r="D1219" s="3">
        <v>87307</v>
      </c>
      <c r="E1219" s="3" t="s">
        <v>23</v>
      </c>
    </row>
    <row r="1220" spans="1:5">
      <c r="A1220" s="3" t="s">
        <v>1242</v>
      </c>
      <c r="B1220" s="3" t="s">
        <v>22</v>
      </c>
      <c r="C1220" s="3">
        <v>342598</v>
      </c>
      <c r="D1220" s="3">
        <v>176507</v>
      </c>
      <c r="E1220" s="3" t="s">
        <v>23</v>
      </c>
    </row>
    <row r="1221" spans="1:5">
      <c r="A1221" s="3" t="s">
        <v>1243</v>
      </c>
      <c r="B1221" s="3" t="s">
        <v>22</v>
      </c>
      <c r="C1221" s="3">
        <v>594768</v>
      </c>
      <c r="D1221" s="3">
        <v>271008</v>
      </c>
      <c r="E1221" s="3" t="s">
        <v>23</v>
      </c>
    </row>
    <row r="1222" spans="1:5">
      <c r="A1222" s="3" t="s">
        <v>1244</v>
      </c>
      <c r="B1222" s="3" t="s">
        <v>22</v>
      </c>
      <c r="C1222" s="3">
        <v>257794</v>
      </c>
      <c r="D1222" s="3">
        <v>111778</v>
      </c>
      <c r="E1222" s="3" t="s">
        <v>23</v>
      </c>
    </row>
    <row r="1223" spans="1:5">
      <c r="A1223" s="3" t="s">
        <v>1245</v>
      </c>
      <c r="B1223" s="3" t="s">
        <v>22</v>
      </c>
      <c r="C1223" s="3">
        <v>471359</v>
      </c>
      <c r="D1223" s="3">
        <v>230728</v>
      </c>
      <c r="E1223" s="3" t="s">
        <v>23</v>
      </c>
    </row>
    <row r="1224" spans="1:5">
      <c r="A1224" s="3" t="s">
        <v>1246</v>
      </c>
      <c r="B1224" s="3" t="s">
        <v>22</v>
      </c>
      <c r="C1224" s="3">
        <v>69101</v>
      </c>
      <c r="D1224" s="3">
        <v>25278</v>
      </c>
      <c r="E1224" s="3" t="s">
        <v>23</v>
      </c>
    </row>
    <row r="1225" spans="1:5">
      <c r="A1225" s="3" t="s">
        <v>1247</v>
      </c>
      <c r="B1225" s="3" t="s">
        <v>22</v>
      </c>
      <c r="C1225" s="3">
        <v>388450</v>
      </c>
      <c r="D1225" s="3">
        <v>745</v>
      </c>
      <c r="E1225" s="3" t="s">
        <v>23</v>
      </c>
    </row>
    <row r="1226" spans="1:5">
      <c r="A1226" s="3" t="s">
        <v>1248</v>
      </c>
      <c r="B1226" s="3" t="s">
        <v>22</v>
      </c>
      <c r="C1226" s="3">
        <v>722778</v>
      </c>
      <c r="D1226" s="3">
        <v>292810</v>
      </c>
      <c r="E1226" s="3" t="s">
        <v>23</v>
      </c>
    </row>
    <row r="1227" spans="1:5">
      <c r="A1227" s="3" t="s">
        <v>1249</v>
      </c>
      <c r="B1227" s="3" t="s">
        <v>22</v>
      </c>
      <c r="C1227" s="3">
        <v>434877</v>
      </c>
      <c r="D1227" s="3">
        <v>194348</v>
      </c>
      <c r="E1227" s="3" t="s">
        <v>23</v>
      </c>
    </row>
    <row r="1228" spans="1:5">
      <c r="A1228" s="3" t="s">
        <v>1250</v>
      </c>
      <c r="B1228" s="3" t="s">
        <v>22</v>
      </c>
      <c r="C1228" s="3">
        <v>383537</v>
      </c>
      <c r="D1228" s="3">
        <v>196342</v>
      </c>
      <c r="E1228" s="3" t="s">
        <v>23</v>
      </c>
    </row>
    <row r="1229" spans="1:5">
      <c r="A1229" s="3" t="s">
        <v>1251</v>
      </c>
      <c r="B1229" s="3" t="s">
        <v>22</v>
      </c>
      <c r="C1229" s="3">
        <v>322263</v>
      </c>
      <c r="D1229" s="3">
        <v>186316</v>
      </c>
      <c r="E1229" s="3" t="s">
        <v>23</v>
      </c>
    </row>
    <row r="1230" spans="1:5">
      <c r="A1230" s="3" t="s">
        <v>1252</v>
      </c>
      <c r="B1230" s="3" t="s">
        <v>22</v>
      </c>
      <c r="C1230" s="3">
        <v>765634</v>
      </c>
      <c r="D1230" s="3">
        <v>1759</v>
      </c>
      <c r="E1230" s="3" t="s">
        <v>23</v>
      </c>
    </row>
    <row r="1231" spans="1:5">
      <c r="A1231" s="3" t="s">
        <v>1253</v>
      </c>
      <c r="B1231" s="3" t="s">
        <v>22</v>
      </c>
      <c r="C1231" s="3">
        <v>321414</v>
      </c>
      <c r="D1231" s="3">
        <v>180468</v>
      </c>
      <c r="E1231" s="3" t="s">
        <v>23</v>
      </c>
    </row>
    <row r="1232" spans="1:5">
      <c r="A1232" s="3" t="s">
        <v>1254</v>
      </c>
      <c r="B1232" s="3" t="s">
        <v>22</v>
      </c>
      <c r="C1232" s="3">
        <v>521227</v>
      </c>
      <c r="D1232" s="3">
        <v>273685</v>
      </c>
      <c r="E1232" s="3" t="s">
        <v>23</v>
      </c>
    </row>
    <row r="1233" spans="1:5">
      <c r="A1233" s="3" t="s">
        <v>1255</v>
      </c>
      <c r="B1233" s="3" t="s">
        <v>22</v>
      </c>
      <c r="C1233" s="3">
        <v>194806</v>
      </c>
      <c r="D1233" s="3">
        <v>92329</v>
      </c>
      <c r="E1233" s="3" t="s">
        <v>23</v>
      </c>
    </row>
    <row r="1234" spans="1:5">
      <c r="A1234" s="3" t="s">
        <v>1256</v>
      </c>
      <c r="B1234" s="3" t="s">
        <v>22</v>
      </c>
      <c r="C1234" s="3">
        <v>628600</v>
      </c>
      <c r="D1234" s="3">
        <v>141232</v>
      </c>
      <c r="E1234" s="3" t="s">
        <v>23</v>
      </c>
    </row>
    <row r="1235" spans="1:5">
      <c r="A1235" s="3" t="s">
        <v>1257</v>
      </c>
      <c r="B1235" s="3" t="s">
        <v>22</v>
      </c>
      <c r="C1235" s="3">
        <v>489338</v>
      </c>
      <c r="D1235" s="3">
        <v>240086</v>
      </c>
      <c r="E1235" s="3" t="s">
        <v>23</v>
      </c>
    </row>
    <row r="1236" spans="1:5">
      <c r="A1236" s="3" t="s">
        <v>1258</v>
      </c>
      <c r="B1236" s="3" t="s">
        <v>22</v>
      </c>
      <c r="C1236" s="3">
        <v>872765</v>
      </c>
      <c r="D1236" s="3">
        <v>426762</v>
      </c>
      <c r="E1236" s="3" t="s">
        <v>23</v>
      </c>
    </row>
    <row r="1237" spans="1:5">
      <c r="A1237" s="3" t="s">
        <v>1259</v>
      </c>
      <c r="B1237" s="3" t="s">
        <v>22</v>
      </c>
      <c r="C1237" s="3">
        <v>710313</v>
      </c>
      <c r="D1237" s="3">
        <v>275977</v>
      </c>
      <c r="E1237" s="3" t="s">
        <v>23</v>
      </c>
    </row>
    <row r="1238" spans="1:5">
      <c r="A1238" s="3" t="s">
        <v>1260</v>
      </c>
      <c r="B1238" s="3" t="s">
        <v>22</v>
      </c>
      <c r="C1238" s="3">
        <v>495194</v>
      </c>
      <c r="D1238" s="3">
        <v>256619</v>
      </c>
      <c r="E1238" s="3" t="s">
        <v>23</v>
      </c>
    </row>
    <row r="1239" spans="1:5">
      <c r="A1239" s="3" t="s">
        <v>1261</v>
      </c>
      <c r="B1239" s="3" t="s">
        <v>22</v>
      </c>
      <c r="C1239" s="3">
        <v>355732</v>
      </c>
      <c r="D1239" s="3">
        <v>168583</v>
      </c>
      <c r="E1239" s="3" t="s">
        <v>23</v>
      </c>
    </row>
    <row r="1240" spans="1:5">
      <c r="A1240" s="3" t="s">
        <v>1262</v>
      </c>
      <c r="B1240" s="3" t="s">
        <v>22</v>
      </c>
      <c r="C1240" s="3">
        <v>140560</v>
      </c>
      <c r="D1240" s="3">
        <v>66103</v>
      </c>
      <c r="E1240" s="3" t="s">
        <v>23</v>
      </c>
    </row>
    <row r="1241" spans="1:5">
      <c r="A1241" s="3" t="s">
        <v>1263</v>
      </c>
      <c r="B1241" s="3" t="s">
        <v>22</v>
      </c>
      <c r="C1241" s="3">
        <v>543809</v>
      </c>
      <c r="D1241" s="3">
        <v>6243</v>
      </c>
      <c r="E1241" s="3" t="s">
        <v>23</v>
      </c>
    </row>
    <row r="1242" spans="1:5">
      <c r="A1242" s="3" t="s">
        <v>1264</v>
      </c>
      <c r="B1242" s="3" t="s">
        <v>22</v>
      </c>
      <c r="C1242" s="3">
        <v>796677</v>
      </c>
      <c r="D1242" s="3">
        <v>432733</v>
      </c>
      <c r="E1242" s="3" t="s">
        <v>23</v>
      </c>
    </row>
    <row r="1243" spans="1:5">
      <c r="A1243" s="3" t="s">
        <v>1265</v>
      </c>
      <c r="B1243" s="3" t="s">
        <v>22</v>
      </c>
      <c r="C1243" s="3">
        <v>619144</v>
      </c>
      <c r="D1243" s="3">
        <v>370148</v>
      </c>
      <c r="E1243" s="3" t="s">
        <v>23</v>
      </c>
    </row>
    <row r="1244" spans="1:5">
      <c r="A1244" s="3" t="s">
        <v>1266</v>
      </c>
      <c r="B1244" s="3" t="s">
        <v>22</v>
      </c>
      <c r="C1244" s="3">
        <v>544372</v>
      </c>
      <c r="D1244" s="3">
        <v>303732</v>
      </c>
      <c r="E1244" s="3" t="s">
        <v>23</v>
      </c>
    </row>
    <row r="1245" spans="1:5">
      <c r="A1245" s="3" t="s">
        <v>1267</v>
      </c>
      <c r="B1245" s="3" t="s">
        <v>22</v>
      </c>
      <c r="C1245" s="3">
        <v>670149</v>
      </c>
      <c r="D1245" s="3">
        <v>302007</v>
      </c>
      <c r="E1245" s="3" t="s">
        <v>23</v>
      </c>
    </row>
    <row r="1246" spans="1:5">
      <c r="A1246" s="3" t="s">
        <v>1268</v>
      </c>
      <c r="B1246" s="3" t="s">
        <v>22</v>
      </c>
      <c r="C1246" s="3">
        <v>470769</v>
      </c>
      <c r="D1246" s="3">
        <v>112082</v>
      </c>
      <c r="E1246" s="3" t="s">
        <v>23</v>
      </c>
    </row>
    <row r="1247" spans="1:5">
      <c r="A1247" s="3" t="s">
        <v>1269</v>
      </c>
      <c r="B1247" s="3" t="s">
        <v>22</v>
      </c>
      <c r="C1247" s="3">
        <v>480516</v>
      </c>
      <c r="D1247" s="3">
        <v>79792</v>
      </c>
      <c r="E1247" s="3" t="s">
        <v>23</v>
      </c>
    </row>
    <row r="1248" spans="1:5">
      <c r="A1248" s="3" t="s">
        <v>1270</v>
      </c>
      <c r="B1248" s="3" t="s">
        <v>22</v>
      </c>
      <c r="C1248" s="3">
        <v>636513</v>
      </c>
      <c r="D1248" s="3">
        <v>331166</v>
      </c>
      <c r="E1248" s="3" t="s">
        <v>23</v>
      </c>
    </row>
    <row r="1249" spans="1:5">
      <c r="A1249" s="3" t="s">
        <v>1271</v>
      </c>
      <c r="B1249" s="3" t="s">
        <v>22</v>
      </c>
      <c r="C1249" s="3">
        <v>107131</v>
      </c>
      <c r="D1249" s="3">
        <v>2558</v>
      </c>
      <c r="E1249" s="3" t="s">
        <v>23</v>
      </c>
    </row>
    <row r="1250" spans="1:5">
      <c r="A1250" s="3" t="s">
        <v>1272</v>
      </c>
      <c r="B1250" s="3" t="s">
        <v>22</v>
      </c>
      <c r="C1250" s="3">
        <v>626756</v>
      </c>
      <c r="D1250" s="3">
        <v>98670</v>
      </c>
      <c r="E1250" s="3" t="s">
        <v>23</v>
      </c>
    </row>
    <row r="1251" spans="1:5">
      <c r="A1251" s="3" t="s">
        <v>1273</v>
      </c>
      <c r="B1251" s="3" t="s">
        <v>22</v>
      </c>
      <c r="C1251" s="3">
        <v>294932</v>
      </c>
      <c r="D1251" s="3">
        <v>63724</v>
      </c>
      <c r="E1251" s="3" t="s">
        <v>23</v>
      </c>
    </row>
    <row r="1252" spans="1:5">
      <c r="A1252" s="3" t="s">
        <v>1274</v>
      </c>
      <c r="B1252" s="3" t="s">
        <v>22</v>
      </c>
      <c r="C1252" s="3">
        <v>591060</v>
      </c>
      <c r="D1252" s="3">
        <v>305577</v>
      </c>
      <c r="E1252" s="3" t="s">
        <v>23</v>
      </c>
    </row>
    <row r="1253" spans="1:5">
      <c r="A1253" s="3" t="s">
        <v>1275</v>
      </c>
      <c r="B1253" s="3" t="s">
        <v>22</v>
      </c>
      <c r="C1253" s="3">
        <v>826011</v>
      </c>
      <c r="D1253" s="3">
        <v>465002</v>
      </c>
      <c r="E1253" s="3" t="s">
        <v>23</v>
      </c>
    </row>
    <row r="1254" spans="1:5">
      <c r="A1254" s="3" t="s">
        <v>1276</v>
      </c>
      <c r="B1254" s="3" t="s">
        <v>22</v>
      </c>
      <c r="C1254" s="3">
        <v>290419</v>
      </c>
      <c r="D1254" s="3">
        <v>144864</v>
      </c>
      <c r="E1254" s="3" t="s">
        <v>23</v>
      </c>
    </row>
    <row r="1255" spans="1:5">
      <c r="A1255" s="3" t="s">
        <v>1277</v>
      </c>
      <c r="B1255" s="3" t="s">
        <v>22</v>
      </c>
      <c r="C1255" s="3">
        <v>839395</v>
      </c>
      <c r="D1255" s="3">
        <v>455714</v>
      </c>
      <c r="E1255" s="3" t="s">
        <v>23</v>
      </c>
    </row>
    <row r="1256" spans="1:5">
      <c r="A1256" s="3" t="s">
        <v>1278</v>
      </c>
      <c r="B1256" s="3" t="s">
        <v>22</v>
      </c>
      <c r="C1256" s="3">
        <v>762974</v>
      </c>
      <c r="D1256" s="3">
        <v>361494</v>
      </c>
      <c r="E1256" s="3" t="s">
        <v>23</v>
      </c>
    </row>
    <row r="1257" spans="1:5">
      <c r="A1257" s="3" t="s">
        <v>1279</v>
      </c>
      <c r="B1257" s="3" t="s">
        <v>22</v>
      </c>
      <c r="C1257" s="3">
        <v>579923</v>
      </c>
      <c r="D1257" s="3">
        <v>297339</v>
      </c>
      <c r="E1257" s="3" t="s">
        <v>23</v>
      </c>
    </row>
    <row r="1258" spans="1:5">
      <c r="A1258" s="3" t="s">
        <v>1280</v>
      </c>
      <c r="B1258" s="3" t="s">
        <v>22</v>
      </c>
      <c r="C1258" s="3">
        <v>503886</v>
      </c>
      <c r="D1258" s="3">
        <v>30617</v>
      </c>
      <c r="E1258" s="3" t="s">
        <v>23</v>
      </c>
    </row>
    <row r="1259" spans="1:5">
      <c r="A1259" s="3" t="s">
        <v>1281</v>
      </c>
      <c r="B1259" s="3" t="s">
        <v>22</v>
      </c>
      <c r="C1259" s="3">
        <v>559494</v>
      </c>
      <c r="D1259" s="3">
        <v>110948</v>
      </c>
      <c r="E1259" s="3" t="s">
        <v>23</v>
      </c>
    </row>
    <row r="1260" spans="1:5">
      <c r="A1260" s="3" t="s">
        <v>1282</v>
      </c>
      <c r="B1260" s="3" t="s">
        <v>22</v>
      </c>
      <c r="C1260" s="3">
        <v>401357</v>
      </c>
      <c r="D1260" s="3">
        <v>139061</v>
      </c>
      <c r="E1260" s="3" t="s">
        <v>23</v>
      </c>
    </row>
    <row r="1261" spans="1:5">
      <c r="A1261" s="3" t="s">
        <v>1283</v>
      </c>
      <c r="B1261" s="3" t="s">
        <v>22</v>
      </c>
      <c r="C1261" s="3">
        <v>426383</v>
      </c>
      <c r="D1261" s="3">
        <v>239541</v>
      </c>
      <c r="E1261" s="3" t="s">
        <v>23</v>
      </c>
    </row>
    <row r="1262" spans="1:5">
      <c r="A1262" s="3" t="s">
        <v>1284</v>
      </c>
      <c r="B1262" s="3" t="s">
        <v>22</v>
      </c>
      <c r="C1262" s="3">
        <v>628999</v>
      </c>
      <c r="D1262" s="3">
        <v>176819</v>
      </c>
      <c r="E1262" s="3" t="s">
        <v>23</v>
      </c>
    </row>
    <row r="1263" spans="1:5">
      <c r="A1263" s="3" t="s">
        <v>1285</v>
      </c>
      <c r="B1263" s="3" t="s">
        <v>22</v>
      </c>
      <c r="C1263" s="3">
        <v>584205</v>
      </c>
      <c r="D1263" s="3">
        <v>244646</v>
      </c>
      <c r="E1263" s="3" t="s">
        <v>23</v>
      </c>
    </row>
    <row r="1264" spans="1:5">
      <c r="A1264" s="3" t="s">
        <v>1286</v>
      </c>
      <c r="B1264" s="3" t="s">
        <v>22</v>
      </c>
      <c r="C1264" s="3">
        <v>403117</v>
      </c>
      <c r="D1264" s="3">
        <v>69915</v>
      </c>
      <c r="E1264" s="3" t="s">
        <v>23</v>
      </c>
    </row>
    <row r="1265" spans="1:5">
      <c r="A1265" s="3" t="s">
        <v>1287</v>
      </c>
      <c r="B1265" s="3" t="s">
        <v>22</v>
      </c>
      <c r="C1265" s="3">
        <v>731828</v>
      </c>
      <c r="D1265" s="3">
        <v>316744</v>
      </c>
      <c r="E1265" s="3" t="s">
        <v>23</v>
      </c>
    </row>
    <row r="1266" spans="1:5">
      <c r="A1266" s="3" t="s">
        <v>1288</v>
      </c>
      <c r="B1266" s="3" t="s">
        <v>22</v>
      </c>
      <c r="C1266" s="3">
        <v>383201</v>
      </c>
      <c r="D1266" s="3">
        <v>174388</v>
      </c>
      <c r="E1266" s="3" t="s">
        <v>23</v>
      </c>
    </row>
    <row r="1267" spans="1:5">
      <c r="A1267" s="3" t="s">
        <v>1289</v>
      </c>
      <c r="B1267" s="3" t="s">
        <v>22</v>
      </c>
      <c r="C1267" s="3">
        <v>417286</v>
      </c>
      <c r="D1267" s="3">
        <v>124193</v>
      </c>
      <c r="E1267" s="3" t="s">
        <v>23</v>
      </c>
    </row>
    <row r="1268" spans="1:5">
      <c r="A1268" s="3" t="s">
        <v>1290</v>
      </c>
      <c r="B1268" s="3" t="s">
        <v>22</v>
      </c>
      <c r="C1268" s="3">
        <v>667678</v>
      </c>
      <c r="D1268" s="3">
        <v>4575</v>
      </c>
      <c r="E1268" s="3" t="s">
        <v>23</v>
      </c>
    </row>
    <row r="1269" spans="1:5">
      <c r="A1269" s="3" t="s">
        <v>1291</v>
      </c>
      <c r="B1269" s="3" t="s">
        <v>22</v>
      </c>
      <c r="C1269" s="3">
        <v>581531</v>
      </c>
      <c r="D1269" s="3">
        <v>7536</v>
      </c>
      <c r="E1269" s="3" t="s">
        <v>23</v>
      </c>
    </row>
    <row r="1270" spans="1:5">
      <c r="A1270" s="3" t="s">
        <v>1292</v>
      </c>
      <c r="B1270" s="3" t="s">
        <v>22</v>
      </c>
      <c r="C1270" s="3">
        <v>408350</v>
      </c>
      <c r="D1270" s="3">
        <v>224416</v>
      </c>
      <c r="E1270" s="3" t="s">
        <v>23</v>
      </c>
    </row>
    <row r="1271" spans="1:5">
      <c r="A1271" s="3" t="s">
        <v>1293</v>
      </c>
      <c r="B1271" s="3" t="s">
        <v>22</v>
      </c>
      <c r="C1271" s="3">
        <v>885198</v>
      </c>
      <c r="D1271" s="3">
        <v>472599</v>
      </c>
      <c r="E1271" s="3" t="s">
        <v>23</v>
      </c>
    </row>
    <row r="1272" spans="1:5">
      <c r="A1272" s="3" t="s">
        <v>1294</v>
      </c>
      <c r="B1272" s="3" t="s">
        <v>22</v>
      </c>
      <c r="C1272" s="3">
        <v>517487</v>
      </c>
      <c r="D1272" s="3">
        <v>261929</v>
      </c>
      <c r="E1272" s="3" t="s">
        <v>23</v>
      </c>
    </row>
    <row r="1273" spans="1:5">
      <c r="A1273" s="3" t="s">
        <v>1295</v>
      </c>
      <c r="B1273" s="3" t="s">
        <v>22</v>
      </c>
      <c r="C1273" s="3">
        <v>654410</v>
      </c>
      <c r="D1273" s="3">
        <v>335444</v>
      </c>
      <c r="E1273" s="3" t="s">
        <v>23</v>
      </c>
    </row>
    <row r="1274" spans="1:5">
      <c r="A1274" s="3" t="s">
        <v>1296</v>
      </c>
      <c r="B1274" s="3" t="s">
        <v>22</v>
      </c>
      <c r="C1274" s="3">
        <v>695730</v>
      </c>
      <c r="D1274" s="3">
        <v>373038</v>
      </c>
      <c r="E1274" s="3" t="s">
        <v>23</v>
      </c>
    </row>
    <row r="1275" spans="1:5">
      <c r="A1275" s="3" t="s">
        <v>1297</v>
      </c>
      <c r="B1275" s="3" t="s">
        <v>22</v>
      </c>
      <c r="C1275" s="3">
        <v>738798</v>
      </c>
      <c r="D1275" s="3">
        <v>11518</v>
      </c>
      <c r="E1275" s="3" t="s">
        <v>23</v>
      </c>
    </row>
    <row r="1276" spans="1:5">
      <c r="A1276" s="3" t="s">
        <v>1298</v>
      </c>
      <c r="B1276" s="3" t="s">
        <v>22</v>
      </c>
      <c r="C1276" s="3">
        <v>442619</v>
      </c>
      <c r="D1276" s="3">
        <v>26873</v>
      </c>
      <c r="E1276" s="3" t="s">
        <v>23</v>
      </c>
    </row>
    <row r="1277" spans="1:5">
      <c r="A1277" s="3" t="s">
        <v>1299</v>
      </c>
      <c r="B1277" s="3" t="s">
        <v>22</v>
      </c>
      <c r="C1277" s="3">
        <v>797309</v>
      </c>
      <c r="D1277" s="3">
        <v>163872</v>
      </c>
      <c r="E1277" s="3" t="s">
        <v>23</v>
      </c>
    </row>
    <row r="1278" spans="1:5">
      <c r="A1278" s="3" t="s">
        <v>1300</v>
      </c>
      <c r="B1278" s="3" t="s">
        <v>22</v>
      </c>
      <c r="C1278" s="3">
        <v>536497</v>
      </c>
      <c r="D1278" s="3">
        <v>308947</v>
      </c>
      <c r="E1278" s="3" t="s">
        <v>23</v>
      </c>
    </row>
    <row r="1279" spans="1:5">
      <c r="A1279" s="3" t="s">
        <v>1301</v>
      </c>
      <c r="B1279" s="3" t="s">
        <v>22</v>
      </c>
      <c r="C1279" s="3">
        <v>511283</v>
      </c>
      <c r="D1279" s="3">
        <v>210301</v>
      </c>
      <c r="E1279" s="3" t="s">
        <v>23</v>
      </c>
    </row>
    <row r="1280" spans="1:5">
      <c r="A1280" s="3" t="s">
        <v>1302</v>
      </c>
      <c r="B1280" s="3" t="s">
        <v>22</v>
      </c>
      <c r="C1280" s="3">
        <v>764993</v>
      </c>
      <c r="D1280" s="3">
        <v>394081</v>
      </c>
      <c r="E1280" s="3" t="s">
        <v>23</v>
      </c>
    </row>
    <row r="1281" spans="1:5">
      <c r="A1281" s="3" t="s">
        <v>1303</v>
      </c>
      <c r="B1281" s="3" t="s">
        <v>22</v>
      </c>
      <c r="C1281" s="3">
        <v>725510</v>
      </c>
      <c r="D1281" s="3">
        <v>356287</v>
      </c>
      <c r="E1281" s="3" t="s">
        <v>23</v>
      </c>
    </row>
    <row r="1282" spans="1:5">
      <c r="A1282" s="3" t="s">
        <v>1304</v>
      </c>
      <c r="B1282" s="3" t="s">
        <v>22</v>
      </c>
      <c r="C1282" s="3">
        <v>868999</v>
      </c>
      <c r="D1282" s="3">
        <v>436080</v>
      </c>
      <c r="E1282" s="3" t="s">
        <v>23</v>
      </c>
    </row>
    <row r="1283" spans="1:5">
      <c r="A1283" s="3" t="s">
        <v>1305</v>
      </c>
      <c r="B1283" s="3" t="s">
        <v>22</v>
      </c>
      <c r="C1283" s="3">
        <v>548205</v>
      </c>
      <c r="D1283" s="3">
        <v>279421</v>
      </c>
      <c r="E1283" s="3" t="s">
        <v>23</v>
      </c>
    </row>
    <row r="1284" spans="1:5">
      <c r="A1284" s="3" t="s">
        <v>1306</v>
      </c>
      <c r="B1284" s="3" t="s">
        <v>22</v>
      </c>
      <c r="C1284" s="3">
        <v>526914</v>
      </c>
      <c r="D1284" s="3">
        <v>288252</v>
      </c>
      <c r="E1284" s="3" t="s">
        <v>23</v>
      </c>
    </row>
    <row r="1285" spans="1:5">
      <c r="A1285" s="3" t="s">
        <v>1307</v>
      </c>
      <c r="B1285" s="3" t="s">
        <v>22</v>
      </c>
      <c r="C1285" s="3">
        <v>137188</v>
      </c>
      <c r="D1285" s="3">
        <v>56325</v>
      </c>
      <c r="E1285" s="3" t="s">
        <v>23</v>
      </c>
    </row>
    <row r="1286" spans="1:5">
      <c r="A1286" s="3" t="s">
        <v>1308</v>
      </c>
      <c r="B1286" s="3" t="s">
        <v>22</v>
      </c>
      <c r="C1286" s="3">
        <v>663204</v>
      </c>
      <c r="D1286" s="3">
        <v>288383</v>
      </c>
      <c r="E1286" s="3" t="s">
        <v>23</v>
      </c>
    </row>
    <row r="1287" spans="1:5">
      <c r="A1287" s="3" t="s">
        <v>1309</v>
      </c>
      <c r="B1287" s="3" t="s">
        <v>22</v>
      </c>
      <c r="C1287" s="3">
        <v>749959</v>
      </c>
      <c r="D1287" s="3">
        <v>197095</v>
      </c>
      <c r="E1287" s="3" t="s">
        <v>23</v>
      </c>
    </row>
    <row r="1288" spans="1:5">
      <c r="A1288" s="3" t="s">
        <v>1310</v>
      </c>
      <c r="B1288" s="3" t="s">
        <v>22</v>
      </c>
      <c r="C1288" s="3">
        <v>666913</v>
      </c>
      <c r="D1288" s="3">
        <v>283892</v>
      </c>
      <c r="E1288" s="3" t="s">
        <v>23</v>
      </c>
    </row>
    <row r="1289" spans="1:5">
      <c r="A1289" s="3" t="s">
        <v>1311</v>
      </c>
      <c r="B1289" s="3" t="s">
        <v>22</v>
      </c>
      <c r="C1289" s="3">
        <v>548933</v>
      </c>
      <c r="D1289" s="3">
        <v>327098</v>
      </c>
      <c r="E1289" s="3" t="s">
        <v>23</v>
      </c>
    </row>
    <row r="1290" spans="1:5">
      <c r="A1290" s="3" t="s">
        <v>1312</v>
      </c>
      <c r="B1290" s="3" t="s">
        <v>22</v>
      </c>
      <c r="C1290" s="3">
        <v>715212</v>
      </c>
      <c r="D1290" s="3">
        <v>131956</v>
      </c>
      <c r="E1290" s="3" t="s">
        <v>23</v>
      </c>
    </row>
    <row r="1291" spans="1:5">
      <c r="A1291" s="3" t="s">
        <v>1313</v>
      </c>
      <c r="B1291" s="3" t="s">
        <v>22</v>
      </c>
      <c r="C1291" s="3">
        <v>326528</v>
      </c>
      <c r="D1291" s="3">
        <v>93368</v>
      </c>
      <c r="E1291" s="3" t="s">
        <v>23</v>
      </c>
    </row>
    <row r="1292" spans="1:5">
      <c r="A1292" s="3" t="s">
        <v>1314</v>
      </c>
      <c r="B1292" s="3" t="s">
        <v>22</v>
      </c>
      <c r="C1292" s="3">
        <v>493274</v>
      </c>
      <c r="D1292" s="3">
        <v>252391</v>
      </c>
      <c r="E1292" s="3" t="s">
        <v>23</v>
      </c>
    </row>
    <row r="1293" spans="1:5">
      <c r="A1293" s="3" t="s">
        <v>1315</v>
      </c>
      <c r="B1293" s="3" t="s">
        <v>22</v>
      </c>
      <c r="C1293" s="3">
        <v>513080</v>
      </c>
      <c r="D1293" s="3">
        <v>7199</v>
      </c>
      <c r="E1293" s="3" t="s">
        <v>23</v>
      </c>
    </row>
    <row r="1294" spans="1:5">
      <c r="A1294" s="3" t="s">
        <v>1316</v>
      </c>
      <c r="B1294" s="3" t="s">
        <v>22</v>
      </c>
      <c r="C1294" s="3">
        <v>871024</v>
      </c>
      <c r="D1294" s="3">
        <v>37031</v>
      </c>
      <c r="E1294" s="3" t="s">
        <v>23</v>
      </c>
    </row>
    <row r="1295" spans="1:5">
      <c r="A1295" s="3" t="s">
        <v>1317</v>
      </c>
      <c r="B1295" s="3" t="s">
        <v>22</v>
      </c>
      <c r="C1295" s="3">
        <v>441755</v>
      </c>
      <c r="D1295" s="3">
        <v>174463</v>
      </c>
      <c r="E1295" s="3" t="s">
        <v>23</v>
      </c>
    </row>
    <row r="1296" spans="1:5">
      <c r="A1296" s="3" t="s">
        <v>1318</v>
      </c>
      <c r="B1296" s="3" t="s">
        <v>22</v>
      </c>
      <c r="C1296" s="3">
        <v>663228</v>
      </c>
      <c r="D1296" s="3">
        <v>363210</v>
      </c>
      <c r="E1296" s="3" t="s">
        <v>23</v>
      </c>
    </row>
    <row r="1297" spans="1:5">
      <c r="A1297" s="3" t="s">
        <v>1319</v>
      </c>
      <c r="B1297" s="3" t="s">
        <v>22</v>
      </c>
      <c r="C1297" s="3">
        <v>322593</v>
      </c>
      <c r="D1297" s="3">
        <v>116626</v>
      </c>
      <c r="E1297" s="3" t="s">
        <v>23</v>
      </c>
    </row>
    <row r="1298" spans="1:5">
      <c r="A1298" s="3" t="s">
        <v>1320</v>
      </c>
      <c r="B1298" s="3" t="s">
        <v>22</v>
      </c>
      <c r="C1298" s="3">
        <v>460762</v>
      </c>
      <c r="D1298" s="3">
        <v>159245</v>
      </c>
      <c r="E1298" s="3" t="s">
        <v>23</v>
      </c>
    </row>
    <row r="1299" spans="1:5">
      <c r="A1299" s="3" t="s">
        <v>1321</v>
      </c>
      <c r="B1299" s="3" t="s">
        <v>22</v>
      </c>
      <c r="C1299" s="3">
        <v>457006</v>
      </c>
      <c r="D1299" s="3">
        <v>8837</v>
      </c>
      <c r="E1299" s="3" t="s">
        <v>23</v>
      </c>
    </row>
    <row r="1300" spans="1:5">
      <c r="A1300" s="3" t="s">
        <v>1322</v>
      </c>
      <c r="B1300" s="3" t="s">
        <v>22</v>
      </c>
      <c r="C1300" s="3">
        <v>579694</v>
      </c>
      <c r="D1300" s="3">
        <v>5105</v>
      </c>
      <c r="E1300" s="3" t="s">
        <v>23</v>
      </c>
    </row>
    <row r="1301" spans="1:5">
      <c r="A1301" s="3" t="s">
        <v>1323</v>
      </c>
      <c r="B1301" s="3" t="s">
        <v>22</v>
      </c>
      <c r="C1301" s="3">
        <v>401424</v>
      </c>
      <c r="D1301" s="3">
        <v>207750</v>
      </c>
      <c r="E1301" s="3" t="s">
        <v>23</v>
      </c>
    </row>
    <row r="1302" spans="1:5">
      <c r="A1302" s="3" t="s">
        <v>1324</v>
      </c>
      <c r="B1302" s="3" t="s">
        <v>22</v>
      </c>
      <c r="C1302" s="3">
        <v>855952</v>
      </c>
      <c r="D1302" s="3">
        <v>131791</v>
      </c>
      <c r="E1302" s="3" t="s">
        <v>23</v>
      </c>
    </row>
    <row r="1303" spans="1:5">
      <c r="A1303" s="3" t="s">
        <v>1325</v>
      </c>
      <c r="B1303" s="3" t="s">
        <v>22</v>
      </c>
      <c r="C1303" s="3">
        <v>291867</v>
      </c>
      <c r="D1303" s="3">
        <v>45645</v>
      </c>
      <c r="E1303" s="3" t="s">
        <v>23</v>
      </c>
    </row>
    <row r="1304" spans="1:5">
      <c r="A1304" s="3" t="s">
        <v>1326</v>
      </c>
      <c r="B1304" s="3" t="s">
        <v>22</v>
      </c>
      <c r="C1304" s="3">
        <v>421678</v>
      </c>
      <c r="D1304" s="3">
        <v>136848</v>
      </c>
      <c r="E1304" s="3" t="s">
        <v>23</v>
      </c>
    </row>
    <row r="1305" spans="1:5">
      <c r="A1305" s="3" t="s">
        <v>1327</v>
      </c>
      <c r="B1305" s="3" t="s">
        <v>22</v>
      </c>
      <c r="C1305" s="3">
        <v>209068</v>
      </c>
      <c r="D1305" s="3">
        <v>91935</v>
      </c>
      <c r="E1305" s="3" t="s">
        <v>23</v>
      </c>
    </row>
    <row r="1306" spans="1:5">
      <c r="A1306" s="3" t="s">
        <v>1328</v>
      </c>
      <c r="B1306" s="3" t="s">
        <v>22</v>
      </c>
      <c r="C1306" s="3">
        <v>516479</v>
      </c>
      <c r="D1306" s="3">
        <v>165466</v>
      </c>
      <c r="E1306" s="3" t="s">
        <v>23</v>
      </c>
    </row>
    <row r="1307" spans="1:5">
      <c r="A1307" s="3" t="s">
        <v>1329</v>
      </c>
      <c r="B1307" s="3" t="s">
        <v>22</v>
      </c>
      <c r="C1307" s="3">
        <v>351187</v>
      </c>
      <c r="D1307" s="3">
        <v>58109</v>
      </c>
      <c r="E1307" s="3" t="s">
        <v>23</v>
      </c>
    </row>
    <row r="1308" spans="1:5">
      <c r="A1308" s="3" t="s">
        <v>1330</v>
      </c>
      <c r="B1308" s="3" t="s">
        <v>22</v>
      </c>
      <c r="C1308" s="3">
        <v>377442</v>
      </c>
      <c r="D1308" s="3">
        <v>158493</v>
      </c>
      <c r="E1308" s="3" t="s">
        <v>23</v>
      </c>
    </row>
    <row r="1309" spans="1:5">
      <c r="A1309" s="3" t="s">
        <v>1331</v>
      </c>
      <c r="B1309" s="3" t="s">
        <v>22</v>
      </c>
      <c r="C1309" s="3">
        <v>335348</v>
      </c>
      <c r="D1309" s="3">
        <v>130815</v>
      </c>
      <c r="E1309" s="3" t="s">
        <v>23</v>
      </c>
    </row>
    <row r="1310" spans="1:5">
      <c r="A1310" s="3" t="s">
        <v>1332</v>
      </c>
      <c r="B1310" s="3" t="s">
        <v>22</v>
      </c>
      <c r="C1310" s="3">
        <v>266611</v>
      </c>
      <c r="D1310" s="3">
        <v>17753</v>
      </c>
      <c r="E1310" s="3" t="s">
        <v>23</v>
      </c>
    </row>
    <row r="1311" spans="1:5">
      <c r="A1311" s="3" t="s">
        <v>1333</v>
      </c>
      <c r="B1311" s="3" t="s">
        <v>22</v>
      </c>
      <c r="C1311" s="3">
        <v>276206</v>
      </c>
      <c r="D1311" s="3">
        <v>1405</v>
      </c>
      <c r="E1311" s="3" t="s">
        <v>23</v>
      </c>
    </row>
    <row r="1312" spans="1:5">
      <c r="A1312" s="3" t="s">
        <v>1334</v>
      </c>
      <c r="B1312" s="3" t="s">
        <v>22</v>
      </c>
      <c r="C1312" s="3">
        <v>311389</v>
      </c>
      <c r="D1312" s="3">
        <v>124085</v>
      </c>
      <c r="E1312" s="3" t="s">
        <v>23</v>
      </c>
    </row>
    <row r="1313" spans="1:5">
      <c r="A1313" s="3" t="s">
        <v>1335</v>
      </c>
      <c r="B1313" s="3" t="s">
        <v>22</v>
      </c>
      <c r="C1313" s="3">
        <v>401311</v>
      </c>
      <c r="D1313" s="3">
        <v>139808</v>
      </c>
      <c r="E1313" s="3" t="s">
        <v>23</v>
      </c>
    </row>
    <row r="1314" spans="1:5">
      <c r="A1314" s="3" t="s">
        <v>1336</v>
      </c>
      <c r="B1314" s="3" t="s">
        <v>22</v>
      </c>
      <c r="C1314" s="3">
        <v>157455</v>
      </c>
      <c r="D1314" s="3">
        <v>75288</v>
      </c>
      <c r="E1314" s="3" t="s">
        <v>23</v>
      </c>
    </row>
    <row r="1315" spans="1:5">
      <c r="A1315" s="3" t="s">
        <v>1337</v>
      </c>
      <c r="B1315" s="3" t="s">
        <v>22</v>
      </c>
      <c r="C1315" s="3">
        <v>293480</v>
      </c>
      <c r="D1315" s="3">
        <v>43636</v>
      </c>
      <c r="E1315" s="3" t="s">
        <v>23</v>
      </c>
    </row>
    <row r="1316" spans="1:5">
      <c r="A1316" s="3" t="s">
        <v>1338</v>
      </c>
      <c r="B1316" s="3" t="s">
        <v>22</v>
      </c>
      <c r="C1316" s="3">
        <v>105457</v>
      </c>
      <c r="D1316" s="3">
        <v>45197</v>
      </c>
      <c r="E1316" s="3" t="s">
        <v>23</v>
      </c>
    </row>
    <row r="1317" spans="1:5">
      <c r="A1317" s="3" t="s">
        <v>1339</v>
      </c>
      <c r="B1317" s="3" t="s">
        <v>22</v>
      </c>
      <c r="C1317" s="3">
        <v>247400</v>
      </c>
      <c r="D1317" s="3">
        <v>656</v>
      </c>
      <c r="E1317" s="3" t="s">
        <v>23</v>
      </c>
    </row>
    <row r="1318" spans="1:5">
      <c r="A1318" s="3" t="s">
        <v>1340</v>
      </c>
      <c r="B1318" s="3" t="s">
        <v>22</v>
      </c>
      <c r="C1318" s="3">
        <v>340117</v>
      </c>
      <c r="D1318" s="3">
        <v>53061</v>
      </c>
      <c r="E1318" s="3" t="s">
        <v>23</v>
      </c>
    </row>
    <row r="1319" spans="1:5">
      <c r="A1319" s="3" t="s">
        <v>1341</v>
      </c>
      <c r="B1319" s="3" t="s">
        <v>22</v>
      </c>
      <c r="C1319" s="3">
        <v>348258</v>
      </c>
      <c r="D1319" s="3">
        <v>158561</v>
      </c>
      <c r="E1319" s="3" t="s">
        <v>23</v>
      </c>
    </row>
    <row r="1320" spans="1:5">
      <c r="A1320" s="3" t="s">
        <v>1342</v>
      </c>
      <c r="B1320" s="3" t="s">
        <v>22</v>
      </c>
      <c r="C1320" s="3">
        <v>369843</v>
      </c>
      <c r="D1320" s="3">
        <v>156244</v>
      </c>
      <c r="E1320" s="3" t="s">
        <v>23</v>
      </c>
    </row>
    <row r="1321" spans="1:5">
      <c r="A1321" s="3" t="s">
        <v>1343</v>
      </c>
      <c r="B1321" s="3" t="s">
        <v>22</v>
      </c>
      <c r="C1321" s="3">
        <v>334942</v>
      </c>
      <c r="D1321" s="3">
        <v>99207</v>
      </c>
      <c r="E1321" s="3" t="s">
        <v>23</v>
      </c>
    </row>
    <row r="1322" spans="1:5">
      <c r="A1322" s="3" t="s">
        <v>1344</v>
      </c>
      <c r="B1322" s="3" t="s">
        <v>22</v>
      </c>
      <c r="C1322" s="3">
        <v>245208</v>
      </c>
      <c r="D1322" s="3">
        <v>258</v>
      </c>
      <c r="E1322" s="3" t="s">
        <v>23</v>
      </c>
    </row>
    <row r="1323" spans="1:5">
      <c r="A1323" s="3" t="s">
        <v>1345</v>
      </c>
      <c r="B1323" s="3" t="s">
        <v>22</v>
      </c>
      <c r="C1323" s="3">
        <v>252496</v>
      </c>
      <c r="D1323" s="3">
        <v>106682</v>
      </c>
      <c r="E1323" s="3" t="s">
        <v>23</v>
      </c>
    </row>
    <row r="1324" spans="1:5">
      <c r="A1324" s="3" t="s">
        <v>1346</v>
      </c>
      <c r="B1324" s="3" t="s">
        <v>22</v>
      </c>
      <c r="C1324" s="3">
        <v>481156</v>
      </c>
      <c r="D1324" s="3">
        <v>220230</v>
      </c>
      <c r="E1324" s="3" t="s">
        <v>23</v>
      </c>
    </row>
    <row r="1325" spans="1:5">
      <c r="A1325" s="3" t="s">
        <v>1347</v>
      </c>
      <c r="B1325" s="3" t="s">
        <v>22</v>
      </c>
      <c r="C1325" s="3">
        <v>334791</v>
      </c>
      <c r="D1325" s="3">
        <v>141348</v>
      </c>
      <c r="E1325" s="3" t="s">
        <v>23</v>
      </c>
    </row>
    <row r="1326" spans="1:5">
      <c r="A1326" s="3" t="s">
        <v>1348</v>
      </c>
      <c r="B1326" s="3" t="s">
        <v>22</v>
      </c>
      <c r="C1326" s="3">
        <v>273650</v>
      </c>
      <c r="D1326" s="3">
        <v>3974</v>
      </c>
      <c r="E1326" s="3" t="s">
        <v>23</v>
      </c>
    </row>
    <row r="1327" spans="1:5">
      <c r="A1327" s="3" t="s">
        <v>1349</v>
      </c>
      <c r="B1327" s="3" t="s">
        <v>22</v>
      </c>
      <c r="C1327" s="3">
        <v>470083</v>
      </c>
      <c r="D1327" s="3">
        <v>182044</v>
      </c>
      <c r="E1327" s="3" t="s">
        <v>23</v>
      </c>
    </row>
    <row r="1328" spans="1:5">
      <c r="A1328" s="3" t="s">
        <v>1350</v>
      </c>
      <c r="B1328" s="3" t="s">
        <v>22</v>
      </c>
      <c r="C1328" s="3">
        <v>442048</v>
      </c>
      <c r="D1328" s="3">
        <v>154964</v>
      </c>
      <c r="E1328" s="3" t="s">
        <v>23</v>
      </c>
    </row>
    <row r="1329" spans="1:5">
      <c r="A1329" s="3" t="s">
        <v>1351</v>
      </c>
      <c r="B1329" s="3" t="s">
        <v>22</v>
      </c>
      <c r="C1329" s="3">
        <v>487242</v>
      </c>
      <c r="D1329" s="3">
        <v>114455</v>
      </c>
      <c r="E1329" s="3" t="s">
        <v>23</v>
      </c>
    </row>
    <row r="1330" spans="1:5">
      <c r="A1330" s="3" t="s">
        <v>1352</v>
      </c>
      <c r="B1330" s="3" t="s">
        <v>22</v>
      </c>
      <c r="C1330" s="3">
        <v>446837</v>
      </c>
      <c r="D1330" s="3">
        <v>198686</v>
      </c>
      <c r="E1330" s="3" t="s">
        <v>23</v>
      </c>
    </row>
    <row r="1331" spans="1:5">
      <c r="A1331" s="3" t="s">
        <v>1353</v>
      </c>
      <c r="B1331" s="3" t="s">
        <v>22</v>
      </c>
      <c r="C1331" s="3">
        <v>308785</v>
      </c>
      <c r="D1331" s="3">
        <v>140584</v>
      </c>
      <c r="E1331" s="3" t="s">
        <v>23</v>
      </c>
    </row>
    <row r="1332" spans="1:5">
      <c r="A1332" s="3" t="s">
        <v>1354</v>
      </c>
      <c r="B1332" s="3" t="s">
        <v>22</v>
      </c>
      <c r="C1332" s="3">
        <v>184662</v>
      </c>
      <c r="D1332" s="3">
        <v>85958</v>
      </c>
      <c r="E1332" s="3" t="s">
        <v>23</v>
      </c>
    </row>
    <row r="1333" spans="1:5">
      <c r="A1333" s="3" t="s">
        <v>1355</v>
      </c>
      <c r="B1333" s="3" t="s">
        <v>22</v>
      </c>
      <c r="C1333" s="3">
        <v>643646</v>
      </c>
      <c r="D1333" s="3">
        <v>199032</v>
      </c>
      <c r="E1333" s="3" t="s">
        <v>23</v>
      </c>
    </row>
    <row r="1334" spans="1:5">
      <c r="A1334" s="3" t="s">
        <v>1356</v>
      </c>
      <c r="B1334" s="3" t="s">
        <v>22</v>
      </c>
      <c r="C1334" s="3">
        <v>215009</v>
      </c>
      <c r="D1334" s="3">
        <v>58251</v>
      </c>
      <c r="E1334" s="3" t="s">
        <v>23</v>
      </c>
    </row>
    <row r="1335" spans="1:5">
      <c r="A1335" s="3" t="s">
        <v>1357</v>
      </c>
      <c r="B1335" s="3" t="s">
        <v>22</v>
      </c>
      <c r="C1335" s="3">
        <v>544111</v>
      </c>
      <c r="D1335" s="3">
        <v>28276</v>
      </c>
      <c r="E1335" s="3" t="s">
        <v>23</v>
      </c>
    </row>
    <row r="1336" spans="1:5">
      <c r="A1336" s="3" t="s">
        <v>1358</v>
      </c>
      <c r="B1336" s="3" t="s">
        <v>22</v>
      </c>
      <c r="C1336" s="3">
        <v>461148</v>
      </c>
      <c r="D1336" s="3">
        <v>18702</v>
      </c>
      <c r="E1336" s="3" t="s">
        <v>23</v>
      </c>
    </row>
    <row r="1337" spans="1:5">
      <c r="A1337" s="3" t="s">
        <v>1359</v>
      </c>
      <c r="B1337" s="3" t="s">
        <v>22</v>
      </c>
      <c r="C1337" s="3">
        <v>535721</v>
      </c>
      <c r="D1337" s="3">
        <v>226380</v>
      </c>
      <c r="E1337" s="3" t="s">
        <v>23</v>
      </c>
    </row>
    <row r="1338" spans="1:5">
      <c r="A1338" s="3" t="s">
        <v>1360</v>
      </c>
      <c r="B1338" s="3" t="s">
        <v>22</v>
      </c>
      <c r="C1338" s="3">
        <v>265308</v>
      </c>
      <c r="D1338" s="3">
        <v>44978</v>
      </c>
      <c r="E1338" s="3" t="s">
        <v>23</v>
      </c>
    </row>
    <row r="1339" spans="1:5">
      <c r="A1339" s="3" t="s">
        <v>1361</v>
      </c>
      <c r="B1339" s="3" t="s">
        <v>22</v>
      </c>
      <c r="C1339" s="3">
        <v>403337</v>
      </c>
      <c r="D1339" s="3">
        <v>185252</v>
      </c>
      <c r="E1339" s="3" t="s">
        <v>23</v>
      </c>
    </row>
    <row r="1340" spans="1:5">
      <c r="A1340" s="3" t="s">
        <v>1362</v>
      </c>
      <c r="B1340" s="3" t="s">
        <v>22</v>
      </c>
      <c r="C1340" s="3">
        <v>472598</v>
      </c>
      <c r="D1340" s="3">
        <v>116194</v>
      </c>
      <c r="E1340" s="3" t="s">
        <v>23</v>
      </c>
    </row>
    <row r="1341" spans="1:5">
      <c r="A1341" s="3" t="s">
        <v>1363</v>
      </c>
      <c r="B1341" s="3" t="s">
        <v>22</v>
      </c>
      <c r="C1341" s="3">
        <v>392782</v>
      </c>
      <c r="D1341" s="3">
        <v>147986</v>
      </c>
      <c r="E1341" s="3" t="s">
        <v>23</v>
      </c>
    </row>
    <row r="1342" spans="1:5">
      <c r="A1342" s="3" t="s">
        <v>1364</v>
      </c>
      <c r="B1342" s="3" t="s">
        <v>22</v>
      </c>
      <c r="C1342" s="3">
        <v>617547</v>
      </c>
      <c r="D1342" s="3">
        <v>134558</v>
      </c>
      <c r="E1342" s="3" t="s">
        <v>23</v>
      </c>
    </row>
    <row r="1343" spans="1:5">
      <c r="A1343" s="3" t="s">
        <v>1365</v>
      </c>
      <c r="B1343" s="3" t="s">
        <v>22</v>
      </c>
      <c r="C1343" s="3">
        <v>351007</v>
      </c>
      <c r="D1343" s="3">
        <v>48771</v>
      </c>
      <c r="E1343" s="3" t="s">
        <v>23</v>
      </c>
    </row>
    <row r="1344" spans="1:5">
      <c r="A1344" s="3" t="s">
        <v>1366</v>
      </c>
      <c r="B1344" s="3" t="s">
        <v>22</v>
      </c>
      <c r="C1344" s="3">
        <v>340805</v>
      </c>
      <c r="D1344" s="3">
        <v>42161</v>
      </c>
      <c r="E1344" s="3" t="s">
        <v>23</v>
      </c>
    </row>
    <row r="1345" spans="1:5">
      <c r="A1345" s="3" t="s">
        <v>1367</v>
      </c>
      <c r="B1345" s="3" t="s">
        <v>22</v>
      </c>
      <c r="C1345" s="3">
        <v>296332</v>
      </c>
      <c r="D1345" s="3">
        <v>64971</v>
      </c>
      <c r="E1345" s="3" t="s">
        <v>23</v>
      </c>
    </row>
    <row r="1346" spans="1:5">
      <c r="A1346" s="3" t="s">
        <v>1368</v>
      </c>
      <c r="B1346" s="3" t="s">
        <v>22</v>
      </c>
      <c r="C1346" s="3">
        <v>523032</v>
      </c>
      <c r="D1346" s="3">
        <v>222992</v>
      </c>
      <c r="E1346" s="3" t="s">
        <v>23</v>
      </c>
    </row>
    <row r="1347" spans="1:5">
      <c r="A1347" s="3" t="s">
        <v>1369</v>
      </c>
      <c r="B1347" s="3" t="s">
        <v>22</v>
      </c>
      <c r="C1347" s="3">
        <v>207484</v>
      </c>
      <c r="D1347" s="3">
        <v>54639</v>
      </c>
      <c r="E1347" s="3" t="s">
        <v>23</v>
      </c>
    </row>
    <row r="1348" spans="1:5">
      <c r="A1348" s="3" t="s">
        <v>1370</v>
      </c>
      <c r="B1348" s="3" t="s">
        <v>22</v>
      </c>
      <c r="C1348" s="3">
        <v>499533</v>
      </c>
      <c r="D1348" s="3">
        <v>82449</v>
      </c>
      <c r="E1348" s="3" t="s">
        <v>23</v>
      </c>
    </row>
    <row r="1349" spans="1:5">
      <c r="A1349" s="3" t="s">
        <v>1371</v>
      </c>
      <c r="B1349" s="3" t="s">
        <v>22</v>
      </c>
      <c r="C1349" s="3">
        <v>558799</v>
      </c>
      <c r="D1349" s="3">
        <v>167481</v>
      </c>
      <c r="E1349" s="3" t="s">
        <v>23</v>
      </c>
    </row>
    <row r="1350" spans="1:5">
      <c r="A1350" s="3" t="s">
        <v>1372</v>
      </c>
      <c r="B1350" s="3" t="s">
        <v>22</v>
      </c>
      <c r="C1350" s="3">
        <v>346916</v>
      </c>
      <c r="D1350" s="3">
        <v>67075</v>
      </c>
      <c r="E1350" s="3" t="s">
        <v>23</v>
      </c>
    </row>
    <row r="1351" spans="1:5">
      <c r="A1351" s="3" t="s">
        <v>1373</v>
      </c>
      <c r="B1351" s="3" t="s">
        <v>22</v>
      </c>
      <c r="C1351" s="3">
        <v>563486</v>
      </c>
      <c r="D1351" s="3">
        <v>177325</v>
      </c>
      <c r="E1351" s="3" t="s">
        <v>23</v>
      </c>
    </row>
    <row r="1352" spans="1:5">
      <c r="A1352" s="3" t="s">
        <v>1374</v>
      </c>
      <c r="B1352" s="3" t="s">
        <v>22</v>
      </c>
      <c r="C1352" s="3">
        <v>437184</v>
      </c>
      <c r="D1352" s="3">
        <v>35297</v>
      </c>
      <c r="E1352" s="3" t="s">
        <v>23</v>
      </c>
    </row>
    <row r="1353" spans="1:5">
      <c r="A1353" s="3" t="s">
        <v>1375</v>
      </c>
      <c r="B1353" s="3" t="s">
        <v>22</v>
      </c>
      <c r="C1353" s="3">
        <v>317500</v>
      </c>
      <c r="D1353" s="3">
        <v>111624</v>
      </c>
      <c r="E1353" s="3" t="s">
        <v>23</v>
      </c>
    </row>
    <row r="1354" spans="1:5">
      <c r="A1354" s="3" t="s">
        <v>1376</v>
      </c>
      <c r="B1354" s="3" t="s">
        <v>22</v>
      </c>
      <c r="C1354" s="3">
        <v>329070</v>
      </c>
      <c r="D1354" s="3">
        <v>143049</v>
      </c>
      <c r="E1354" s="3" t="s">
        <v>23</v>
      </c>
    </row>
    <row r="1355" spans="1:5">
      <c r="A1355" s="3" t="s">
        <v>1377</v>
      </c>
      <c r="B1355" s="3" t="s">
        <v>22</v>
      </c>
      <c r="C1355" s="3">
        <v>295601</v>
      </c>
      <c r="D1355" s="3">
        <v>71699</v>
      </c>
      <c r="E1355" s="3" t="s">
        <v>23</v>
      </c>
    </row>
    <row r="1356" spans="1:5">
      <c r="A1356" s="3" t="s">
        <v>1378</v>
      </c>
      <c r="B1356" s="3" t="s">
        <v>22</v>
      </c>
      <c r="C1356" s="3">
        <v>328831</v>
      </c>
      <c r="D1356" s="3">
        <v>62705</v>
      </c>
      <c r="E1356" s="3" t="s">
        <v>23</v>
      </c>
    </row>
    <row r="1357" spans="1:5">
      <c r="A1357" s="3" t="s">
        <v>1379</v>
      </c>
      <c r="B1357" s="3" t="s">
        <v>22</v>
      </c>
      <c r="C1357" s="3">
        <v>325415</v>
      </c>
      <c r="D1357" s="3">
        <v>58413</v>
      </c>
      <c r="E1357" s="3" t="s">
        <v>23</v>
      </c>
    </row>
    <row r="1358" spans="1:5">
      <c r="A1358" s="3" t="s">
        <v>1380</v>
      </c>
      <c r="B1358" s="3" t="s">
        <v>22</v>
      </c>
      <c r="C1358" s="3">
        <v>464767</v>
      </c>
      <c r="D1358" s="3">
        <v>69099</v>
      </c>
      <c r="E1358" s="3" t="s">
        <v>23</v>
      </c>
    </row>
    <row r="1359" spans="1:5">
      <c r="A1359" s="3" t="s">
        <v>1381</v>
      </c>
      <c r="B1359" s="3" t="s">
        <v>22</v>
      </c>
      <c r="C1359" s="3">
        <v>411240</v>
      </c>
      <c r="D1359" s="3">
        <v>106457</v>
      </c>
      <c r="E1359" s="3" t="s">
        <v>23</v>
      </c>
    </row>
    <row r="1360" spans="1:5">
      <c r="A1360" s="3" t="s">
        <v>1382</v>
      </c>
      <c r="B1360" s="3" t="s">
        <v>22</v>
      </c>
      <c r="C1360" s="3">
        <v>324059</v>
      </c>
      <c r="D1360" s="3">
        <v>91696</v>
      </c>
      <c r="E1360" s="3" t="s">
        <v>23</v>
      </c>
    </row>
    <row r="1361" spans="1:5">
      <c r="A1361" s="3" t="s">
        <v>1383</v>
      </c>
      <c r="B1361" s="3" t="s">
        <v>22</v>
      </c>
      <c r="C1361" s="3">
        <v>325191</v>
      </c>
      <c r="D1361" s="3">
        <v>2956</v>
      </c>
      <c r="E1361" s="3" t="s">
        <v>23</v>
      </c>
    </row>
    <row r="1362" spans="1:5">
      <c r="A1362" s="3" t="s">
        <v>1384</v>
      </c>
      <c r="B1362" s="3" t="s">
        <v>22</v>
      </c>
      <c r="C1362" s="3">
        <v>376958</v>
      </c>
      <c r="D1362" s="3">
        <v>1179</v>
      </c>
      <c r="E1362" s="3" t="s">
        <v>23</v>
      </c>
    </row>
    <row r="1363" spans="1:5">
      <c r="A1363" s="3" t="s">
        <v>1385</v>
      </c>
      <c r="B1363" s="3" t="s">
        <v>22</v>
      </c>
      <c r="C1363" s="3">
        <v>422295</v>
      </c>
      <c r="D1363" s="3">
        <v>144131</v>
      </c>
      <c r="E1363" s="3" t="s">
        <v>23</v>
      </c>
    </row>
    <row r="1364" spans="1:5">
      <c r="A1364" s="3" t="s">
        <v>1386</v>
      </c>
      <c r="B1364" s="3" t="s">
        <v>22</v>
      </c>
      <c r="C1364" s="3">
        <v>426052</v>
      </c>
      <c r="D1364" s="3">
        <v>71311</v>
      </c>
      <c r="E1364" s="3" t="s">
        <v>23</v>
      </c>
    </row>
    <row r="1365" spans="1:5">
      <c r="A1365" s="3" t="s">
        <v>1387</v>
      </c>
      <c r="B1365" s="3" t="s">
        <v>22</v>
      </c>
      <c r="C1365" s="3">
        <v>558995</v>
      </c>
      <c r="D1365" s="3">
        <v>195788</v>
      </c>
      <c r="E1365" s="3" t="s">
        <v>23</v>
      </c>
    </row>
    <row r="1366" spans="1:5">
      <c r="A1366" s="3" t="s">
        <v>1388</v>
      </c>
      <c r="B1366" s="3" t="s">
        <v>22</v>
      </c>
      <c r="C1366" s="3">
        <v>517486</v>
      </c>
      <c r="D1366" s="3">
        <v>3762</v>
      </c>
      <c r="E1366" s="3" t="s">
        <v>23</v>
      </c>
    </row>
    <row r="1367" spans="1:5">
      <c r="A1367" s="3" t="s">
        <v>1389</v>
      </c>
      <c r="B1367" s="3" t="s">
        <v>22</v>
      </c>
      <c r="C1367" s="3">
        <v>639957</v>
      </c>
      <c r="D1367" s="3">
        <v>244757</v>
      </c>
      <c r="E1367" s="3" t="s">
        <v>23</v>
      </c>
    </row>
    <row r="1368" spans="1:5">
      <c r="A1368" s="3" t="s">
        <v>1390</v>
      </c>
      <c r="B1368" s="3" t="s">
        <v>22</v>
      </c>
      <c r="C1368" s="3">
        <v>409126</v>
      </c>
      <c r="D1368" s="3">
        <v>31827</v>
      </c>
      <c r="E1368" s="3" t="s">
        <v>23</v>
      </c>
    </row>
    <row r="1369" spans="1:5">
      <c r="A1369" s="3" t="s">
        <v>1391</v>
      </c>
      <c r="B1369" s="3" t="s">
        <v>22</v>
      </c>
      <c r="C1369" s="3">
        <v>284672</v>
      </c>
      <c r="D1369" s="3">
        <v>4186</v>
      </c>
      <c r="E1369" s="3" t="s">
        <v>23</v>
      </c>
    </row>
    <row r="1370" spans="1:5">
      <c r="A1370" s="3" t="s">
        <v>1392</v>
      </c>
      <c r="B1370" s="3" t="s">
        <v>22</v>
      </c>
      <c r="C1370" s="3">
        <v>547993</v>
      </c>
      <c r="D1370" s="3">
        <v>181005</v>
      </c>
      <c r="E1370" s="3" t="s">
        <v>23</v>
      </c>
    </row>
    <row r="1371" spans="1:5">
      <c r="A1371" s="3" t="s">
        <v>1393</v>
      </c>
      <c r="B1371" s="3" t="s">
        <v>22</v>
      </c>
      <c r="C1371" s="3">
        <v>450453</v>
      </c>
      <c r="D1371" s="3">
        <v>145812</v>
      </c>
      <c r="E1371" s="3" t="s">
        <v>23</v>
      </c>
    </row>
    <row r="1372" spans="1:5">
      <c r="A1372" s="3" t="s">
        <v>1394</v>
      </c>
      <c r="B1372" s="3" t="s">
        <v>22</v>
      </c>
      <c r="C1372" s="3">
        <v>330890</v>
      </c>
      <c r="D1372" s="3">
        <v>73371</v>
      </c>
      <c r="E1372" s="3" t="s">
        <v>23</v>
      </c>
    </row>
    <row r="1373" spans="1:5">
      <c r="A1373" s="3" t="s">
        <v>1395</v>
      </c>
      <c r="B1373" s="3" t="s">
        <v>22</v>
      </c>
      <c r="C1373" s="3">
        <v>449301</v>
      </c>
      <c r="D1373" s="3">
        <v>149926</v>
      </c>
      <c r="E1373" s="3" t="s">
        <v>23</v>
      </c>
    </row>
    <row r="1374" spans="1:5">
      <c r="A1374" s="3" t="s">
        <v>1396</v>
      </c>
      <c r="B1374" s="3" t="s">
        <v>22</v>
      </c>
      <c r="C1374" s="3">
        <v>348972</v>
      </c>
      <c r="D1374" s="3">
        <v>63409</v>
      </c>
      <c r="E1374" s="3" t="s">
        <v>23</v>
      </c>
    </row>
    <row r="1375" spans="1:5">
      <c r="A1375" s="3" t="s">
        <v>1397</v>
      </c>
      <c r="B1375" s="3" t="s">
        <v>22</v>
      </c>
      <c r="C1375" s="3">
        <v>385907</v>
      </c>
      <c r="D1375" s="3">
        <v>79870</v>
      </c>
      <c r="E1375" s="3" t="s">
        <v>23</v>
      </c>
    </row>
    <row r="1376" spans="1:5">
      <c r="A1376" s="3" t="s">
        <v>1398</v>
      </c>
      <c r="B1376" s="3" t="s">
        <v>22</v>
      </c>
      <c r="C1376" s="3">
        <v>348213</v>
      </c>
      <c r="D1376" s="3">
        <v>131600</v>
      </c>
      <c r="E1376" s="3" t="s">
        <v>23</v>
      </c>
    </row>
    <row r="1377" spans="1:5">
      <c r="A1377" s="3" t="s">
        <v>1399</v>
      </c>
      <c r="B1377" s="3" t="s">
        <v>22</v>
      </c>
      <c r="C1377" s="3">
        <v>370466</v>
      </c>
      <c r="D1377" s="3">
        <v>98878</v>
      </c>
      <c r="E1377" s="3" t="s">
        <v>23</v>
      </c>
    </row>
    <row r="1378" spans="1:5">
      <c r="A1378" s="3" t="s">
        <v>1400</v>
      </c>
      <c r="B1378" s="3" t="s">
        <v>22</v>
      </c>
      <c r="C1378" s="3">
        <v>97184</v>
      </c>
      <c r="D1378" s="3">
        <v>37074</v>
      </c>
      <c r="E1378" s="3" t="s">
        <v>23</v>
      </c>
    </row>
    <row r="1379" spans="1:5">
      <c r="A1379" s="3" t="s">
        <v>1401</v>
      </c>
      <c r="B1379" s="3" t="s">
        <v>22</v>
      </c>
      <c r="C1379" s="3">
        <v>575758</v>
      </c>
      <c r="D1379" s="3">
        <v>194786</v>
      </c>
      <c r="E1379" s="3" t="s">
        <v>23</v>
      </c>
    </row>
    <row r="1380" spans="1:5">
      <c r="A1380" s="3" t="s">
        <v>1402</v>
      </c>
      <c r="B1380" s="3" t="s">
        <v>22</v>
      </c>
      <c r="C1380" s="3">
        <v>562231</v>
      </c>
      <c r="D1380" s="3">
        <v>137480</v>
      </c>
      <c r="E1380" s="3" t="s">
        <v>23</v>
      </c>
    </row>
    <row r="1381" spans="1:5">
      <c r="A1381" s="3" t="s">
        <v>1403</v>
      </c>
      <c r="B1381" s="3" t="s">
        <v>22</v>
      </c>
      <c r="C1381" s="3">
        <v>508395</v>
      </c>
      <c r="D1381" s="3">
        <v>26771</v>
      </c>
      <c r="E1381" s="3" t="s">
        <v>23</v>
      </c>
    </row>
    <row r="1382" spans="1:5">
      <c r="A1382" s="3" t="s">
        <v>1404</v>
      </c>
      <c r="B1382" s="3" t="s">
        <v>22</v>
      </c>
      <c r="C1382" s="3">
        <v>511784</v>
      </c>
      <c r="D1382" s="3">
        <v>122343</v>
      </c>
      <c r="E1382" s="3" t="s">
        <v>23</v>
      </c>
    </row>
    <row r="1383" spans="1:5">
      <c r="A1383" s="3" t="s">
        <v>1405</v>
      </c>
      <c r="B1383" s="3" t="s">
        <v>22</v>
      </c>
      <c r="C1383" s="3">
        <v>613111</v>
      </c>
      <c r="D1383" s="3">
        <v>273547</v>
      </c>
      <c r="E1383" s="3" t="s">
        <v>23</v>
      </c>
    </row>
    <row r="1384" spans="1:5">
      <c r="A1384" s="3" t="s">
        <v>1406</v>
      </c>
      <c r="B1384" s="3" t="s">
        <v>22</v>
      </c>
      <c r="C1384" s="3">
        <v>261571</v>
      </c>
      <c r="D1384" s="3">
        <v>60367</v>
      </c>
      <c r="E1384" s="3" t="s">
        <v>23</v>
      </c>
    </row>
    <row r="1385" spans="1:5">
      <c r="A1385" s="3" t="s">
        <v>1407</v>
      </c>
      <c r="B1385" s="3" t="s">
        <v>22</v>
      </c>
      <c r="C1385" s="3">
        <v>291495</v>
      </c>
      <c r="D1385" s="3">
        <v>135778</v>
      </c>
      <c r="E1385" s="3" t="s">
        <v>23</v>
      </c>
    </row>
    <row r="1386" spans="1:5">
      <c r="A1386" s="3" t="s">
        <v>1408</v>
      </c>
      <c r="B1386" s="3" t="s">
        <v>22</v>
      </c>
      <c r="C1386" s="3">
        <v>347874</v>
      </c>
      <c r="D1386" s="3">
        <v>67185</v>
      </c>
      <c r="E1386" s="3" t="s">
        <v>23</v>
      </c>
    </row>
    <row r="1387" spans="1:5">
      <c r="A1387" s="3" t="s">
        <v>1409</v>
      </c>
      <c r="B1387" s="3" t="s">
        <v>22</v>
      </c>
      <c r="C1387" s="3">
        <v>499604</v>
      </c>
      <c r="D1387" s="3">
        <v>190955</v>
      </c>
      <c r="E1387" s="3" t="s">
        <v>23</v>
      </c>
    </row>
    <row r="1388" spans="1:5">
      <c r="A1388" s="3" t="s">
        <v>1410</v>
      </c>
      <c r="B1388" s="3" t="s">
        <v>22</v>
      </c>
      <c r="C1388" s="3">
        <v>348777</v>
      </c>
      <c r="D1388" s="3">
        <v>89281</v>
      </c>
      <c r="E1388" s="3" t="s">
        <v>23</v>
      </c>
    </row>
    <row r="1389" spans="1:5">
      <c r="A1389" s="3" t="s">
        <v>1411</v>
      </c>
      <c r="B1389" s="3" t="s">
        <v>22</v>
      </c>
      <c r="C1389" s="3">
        <v>332328</v>
      </c>
      <c r="D1389" s="3">
        <v>11557</v>
      </c>
      <c r="E1389" s="3" t="s">
        <v>23</v>
      </c>
    </row>
    <row r="1390" spans="1:5">
      <c r="A1390" s="3" t="s">
        <v>1412</v>
      </c>
      <c r="B1390" s="3" t="s">
        <v>22</v>
      </c>
      <c r="C1390" s="3">
        <v>258766</v>
      </c>
      <c r="D1390" s="3">
        <v>96546</v>
      </c>
      <c r="E1390" s="3" t="s">
        <v>23</v>
      </c>
    </row>
    <row r="1391" spans="1:5">
      <c r="A1391" s="3" t="s">
        <v>1413</v>
      </c>
      <c r="B1391" s="3" t="s">
        <v>22</v>
      </c>
      <c r="C1391" s="3">
        <v>371148</v>
      </c>
      <c r="D1391" s="3">
        <v>77908</v>
      </c>
      <c r="E1391" s="3" t="s">
        <v>23</v>
      </c>
    </row>
    <row r="1392" spans="1:5">
      <c r="A1392" s="3" t="s">
        <v>1414</v>
      </c>
      <c r="B1392" s="3" t="s">
        <v>22</v>
      </c>
      <c r="C1392" s="3">
        <v>434887</v>
      </c>
      <c r="D1392" s="3">
        <v>93317</v>
      </c>
      <c r="E1392" s="3" t="s">
        <v>23</v>
      </c>
    </row>
    <row r="1393" spans="1:5">
      <c r="A1393" s="3" t="s">
        <v>1415</v>
      </c>
      <c r="B1393" s="3" t="s">
        <v>22</v>
      </c>
      <c r="C1393" s="3">
        <v>275738</v>
      </c>
      <c r="D1393" s="3">
        <v>1113</v>
      </c>
      <c r="E1393" s="3" t="s">
        <v>23</v>
      </c>
    </row>
    <row r="1394" spans="1:5">
      <c r="A1394" s="3" t="s">
        <v>1416</v>
      </c>
      <c r="B1394" s="3" t="s">
        <v>22</v>
      </c>
      <c r="C1394" s="3">
        <v>328998</v>
      </c>
      <c r="D1394" s="3">
        <v>126680</v>
      </c>
      <c r="E1394" s="3" t="s">
        <v>23</v>
      </c>
    </row>
    <row r="1395" spans="1:5">
      <c r="A1395" s="3" t="s">
        <v>1417</v>
      </c>
      <c r="B1395" s="3" t="s">
        <v>22</v>
      </c>
      <c r="C1395" s="3">
        <v>412598</v>
      </c>
      <c r="D1395" s="3">
        <v>74901</v>
      </c>
      <c r="E1395" s="3" t="s">
        <v>23</v>
      </c>
    </row>
    <row r="1396" spans="1:5">
      <c r="A1396" s="3" t="s">
        <v>1418</v>
      </c>
      <c r="B1396" s="3" t="s">
        <v>22</v>
      </c>
      <c r="C1396" s="3">
        <v>437678</v>
      </c>
      <c r="D1396" s="3">
        <v>42176</v>
      </c>
      <c r="E1396" s="3" t="s">
        <v>23</v>
      </c>
    </row>
    <row r="1397" spans="1:5">
      <c r="A1397" s="3" t="s">
        <v>1419</v>
      </c>
      <c r="B1397" s="3" t="s">
        <v>22</v>
      </c>
      <c r="C1397" s="3">
        <v>597773</v>
      </c>
      <c r="D1397" s="3">
        <v>266235</v>
      </c>
      <c r="E1397" s="3" t="s">
        <v>23</v>
      </c>
    </row>
    <row r="1398" spans="1:5">
      <c r="A1398" s="3" t="s">
        <v>1420</v>
      </c>
      <c r="B1398" s="3" t="s">
        <v>22</v>
      </c>
      <c r="C1398" s="3">
        <v>359469</v>
      </c>
      <c r="D1398" s="3">
        <v>140974</v>
      </c>
      <c r="E1398" s="3" t="s">
        <v>23</v>
      </c>
    </row>
    <row r="1399" spans="1:5">
      <c r="A1399" s="3" t="s">
        <v>1421</v>
      </c>
      <c r="B1399" s="3" t="s">
        <v>22</v>
      </c>
      <c r="C1399" s="3">
        <v>769291</v>
      </c>
      <c r="D1399" s="3">
        <v>332881</v>
      </c>
      <c r="E1399" s="3" t="s">
        <v>23</v>
      </c>
    </row>
    <row r="1400" spans="1:5">
      <c r="A1400" s="3" t="s">
        <v>1422</v>
      </c>
      <c r="B1400" s="3" t="s">
        <v>22</v>
      </c>
      <c r="C1400" s="3">
        <v>627958</v>
      </c>
      <c r="D1400" s="3">
        <v>2347</v>
      </c>
      <c r="E1400" s="3" t="s">
        <v>23</v>
      </c>
    </row>
    <row r="1401" spans="1:5">
      <c r="A1401" s="3" t="s">
        <v>1423</v>
      </c>
      <c r="B1401" s="3" t="s">
        <v>22</v>
      </c>
      <c r="C1401" s="3">
        <v>389163</v>
      </c>
      <c r="D1401" s="3">
        <v>199506</v>
      </c>
      <c r="E1401" s="3" t="s">
        <v>23</v>
      </c>
    </row>
    <row r="1402" spans="1:5">
      <c r="A1402" s="3" t="s">
        <v>1424</v>
      </c>
      <c r="B1402" s="3" t="s">
        <v>22</v>
      </c>
      <c r="C1402" s="3">
        <v>442338</v>
      </c>
      <c r="D1402" s="3">
        <v>184589</v>
      </c>
      <c r="E1402" s="3" t="s">
        <v>23</v>
      </c>
    </row>
    <row r="1403" spans="1:5">
      <c r="A1403" s="3" t="s">
        <v>1425</v>
      </c>
      <c r="B1403" s="3" t="s">
        <v>22</v>
      </c>
      <c r="C1403" s="3">
        <v>449725</v>
      </c>
      <c r="D1403" s="3">
        <v>12446</v>
      </c>
      <c r="E1403" s="3" t="s">
        <v>23</v>
      </c>
    </row>
    <row r="1404" spans="1:5">
      <c r="A1404" s="3" t="s">
        <v>1426</v>
      </c>
      <c r="B1404" s="3" t="s">
        <v>22</v>
      </c>
      <c r="C1404" s="3">
        <v>412255</v>
      </c>
      <c r="D1404" s="3">
        <v>39596</v>
      </c>
      <c r="E1404" s="3" t="s">
        <v>23</v>
      </c>
    </row>
    <row r="1405" spans="1:5">
      <c r="A1405" s="3" t="s">
        <v>1427</v>
      </c>
      <c r="B1405" s="3" t="s">
        <v>22</v>
      </c>
      <c r="C1405" s="3">
        <v>432444</v>
      </c>
      <c r="D1405" s="3">
        <v>195180</v>
      </c>
      <c r="E1405" s="3" t="s">
        <v>23</v>
      </c>
    </row>
    <row r="1406" spans="1:5">
      <c r="A1406" s="3" t="s">
        <v>1428</v>
      </c>
      <c r="B1406" s="3" t="s">
        <v>22</v>
      </c>
      <c r="C1406" s="3">
        <v>638400</v>
      </c>
      <c r="D1406" s="3">
        <v>229481</v>
      </c>
      <c r="E1406" s="3" t="s">
        <v>23</v>
      </c>
    </row>
    <row r="1407" spans="1:5">
      <c r="A1407" s="3" t="s">
        <v>1429</v>
      </c>
      <c r="B1407" s="3" t="s">
        <v>22</v>
      </c>
      <c r="C1407" s="3">
        <v>199145</v>
      </c>
      <c r="D1407" s="3">
        <v>75878</v>
      </c>
      <c r="E1407" s="3" t="s">
        <v>23</v>
      </c>
    </row>
    <row r="1408" spans="1:5">
      <c r="A1408" s="3" t="s">
        <v>1430</v>
      </c>
      <c r="B1408" s="3" t="s">
        <v>22</v>
      </c>
      <c r="C1408" s="3">
        <v>390663</v>
      </c>
      <c r="D1408" s="3">
        <v>109154</v>
      </c>
      <c r="E1408" s="3" t="s">
        <v>23</v>
      </c>
    </row>
    <row r="1409" spans="1:5">
      <c r="A1409" s="3" t="s">
        <v>1431</v>
      </c>
      <c r="B1409" s="3" t="s">
        <v>22</v>
      </c>
      <c r="C1409" s="3">
        <v>286323</v>
      </c>
      <c r="D1409" s="3">
        <v>119786</v>
      </c>
      <c r="E1409" s="3" t="s">
        <v>23</v>
      </c>
    </row>
    <row r="1410" spans="1:5">
      <c r="A1410" s="3" t="s">
        <v>1432</v>
      </c>
      <c r="B1410" s="3" t="s">
        <v>22</v>
      </c>
      <c r="C1410" s="3">
        <v>340312</v>
      </c>
      <c r="D1410" s="3">
        <v>1420</v>
      </c>
      <c r="E1410" s="3" t="s">
        <v>23</v>
      </c>
    </row>
    <row r="1411" spans="1:5">
      <c r="A1411" s="3" t="s">
        <v>1433</v>
      </c>
      <c r="B1411" s="3" t="s">
        <v>22</v>
      </c>
      <c r="C1411" s="3">
        <v>479270</v>
      </c>
      <c r="D1411" s="3">
        <v>11725</v>
      </c>
      <c r="E1411" s="3" t="s">
        <v>23</v>
      </c>
    </row>
    <row r="1412" spans="1:5">
      <c r="A1412" s="3" t="s">
        <v>1434</v>
      </c>
      <c r="B1412" s="3" t="s">
        <v>22</v>
      </c>
      <c r="C1412" s="3">
        <v>347416</v>
      </c>
      <c r="D1412" s="3">
        <v>141603</v>
      </c>
      <c r="E1412" s="3" t="s">
        <v>23</v>
      </c>
    </row>
    <row r="1413" spans="1:5">
      <c r="A1413" s="3" t="s">
        <v>1435</v>
      </c>
      <c r="B1413" s="3" t="s">
        <v>22</v>
      </c>
      <c r="C1413" s="3">
        <v>613599</v>
      </c>
      <c r="D1413" s="3">
        <v>251048</v>
      </c>
      <c r="E1413" s="3" t="s">
        <v>23</v>
      </c>
    </row>
    <row r="1414" spans="1:5">
      <c r="A1414" s="3" t="s">
        <v>1436</v>
      </c>
      <c r="B1414" s="3" t="s">
        <v>22</v>
      </c>
      <c r="C1414" s="3">
        <v>341622</v>
      </c>
      <c r="D1414" s="3">
        <v>76413</v>
      </c>
      <c r="E1414" s="3" t="s">
        <v>23</v>
      </c>
    </row>
    <row r="1415" spans="1:5">
      <c r="A1415" s="3" t="s">
        <v>1437</v>
      </c>
      <c r="B1415" s="3" t="s">
        <v>22</v>
      </c>
      <c r="C1415" s="3">
        <v>323134</v>
      </c>
      <c r="D1415" s="3">
        <v>334</v>
      </c>
      <c r="E1415" s="3" t="s">
        <v>23</v>
      </c>
    </row>
    <row r="1416" spans="1:5">
      <c r="A1416" s="3" t="s">
        <v>1438</v>
      </c>
      <c r="B1416" s="3" t="s">
        <v>22</v>
      </c>
      <c r="C1416" s="3">
        <v>376616</v>
      </c>
      <c r="D1416" s="3">
        <v>169672</v>
      </c>
      <c r="E1416" s="3" t="s">
        <v>23</v>
      </c>
    </row>
    <row r="1417" spans="1:5">
      <c r="A1417" s="3" t="s">
        <v>1439</v>
      </c>
      <c r="B1417" s="3" t="s">
        <v>22</v>
      </c>
      <c r="C1417" s="3">
        <v>554306</v>
      </c>
      <c r="D1417" s="3">
        <v>173145</v>
      </c>
      <c r="E1417" s="3" t="s">
        <v>23</v>
      </c>
    </row>
    <row r="1418" spans="1:5">
      <c r="A1418" s="3" t="s">
        <v>1440</v>
      </c>
      <c r="B1418" s="3" t="s">
        <v>22</v>
      </c>
      <c r="C1418" s="3">
        <v>504949</v>
      </c>
      <c r="D1418" s="3">
        <v>188105</v>
      </c>
      <c r="E1418" s="3" t="s">
        <v>23</v>
      </c>
    </row>
    <row r="1419" spans="1:5">
      <c r="A1419" s="3" t="s">
        <v>1441</v>
      </c>
      <c r="B1419" s="3" t="s">
        <v>22</v>
      </c>
      <c r="C1419" s="3">
        <v>600979</v>
      </c>
      <c r="D1419" s="3">
        <v>3881</v>
      </c>
      <c r="E1419" s="3" t="s">
        <v>23</v>
      </c>
    </row>
    <row r="1420" spans="1:5">
      <c r="A1420" s="3" t="s">
        <v>1442</v>
      </c>
      <c r="B1420" s="3" t="s">
        <v>22</v>
      </c>
      <c r="C1420" s="3">
        <v>676087</v>
      </c>
      <c r="D1420" s="3">
        <v>299812</v>
      </c>
      <c r="E1420" s="3" t="s">
        <v>23</v>
      </c>
    </row>
    <row r="1421" spans="1:5">
      <c r="A1421" s="3" t="s">
        <v>1443</v>
      </c>
      <c r="B1421" s="3" t="s">
        <v>22</v>
      </c>
      <c r="C1421" s="3">
        <v>469694</v>
      </c>
      <c r="D1421" s="3">
        <v>6526</v>
      </c>
      <c r="E1421" s="3" t="s">
        <v>23</v>
      </c>
    </row>
    <row r="1422" spans="1:5">
      <c r="A1422" s="3" t="s">
        <v>1444</v>
      </c>
      <c r="B1422" s="3" t="s">
        <v>22</v>
      </c>
      <c r="C1422" s="3">
        <v>728487</v>
      </c>
      <c r="D1422" s="3">
        <v>229872</v>
      </c>
      <c r="E1422" s="3" t="s">
        <v>23</v>
      </c>
    </row>
    <row r="1423" spans="1:5">
      <c r="A1423" s="3" t="s">
        <v>1445</v>
      </c>
      <c r="B1423" s="3" t="s">
        <v>22</v>
      </c>
      <c r="C1423" s="3">
        <v>514117</v>
      </c>
      <c r="D1423" s="3">
        <v>192028</v>
      </c>
      <c r="E1423" s="3" t="s">
        <v>23</v>
      </c>
    </row>
    <row r="1424" spans="1:5">
      <c r="A1424" s="3" t="s">
        <v>1446</v>
      </c>
      <c r="B1424" s="3" t="s">
        <v>22</v>
      </c>
      <c r="C1424" s="3">
        <v>401281</v>
      </c>
      <c r="D1424" s="3">
        <v>154916</v>
      </c>
      <c r="E1424" s="3" t="s">
        <v>23</v>
      </c>
    </row>
    <row r="1425" spans="1:5">
      <c r="A1425" s="3" t="s">
        <v>1447</v>
      </c>
      <c r="B1425" s="3" t="s">
        <v>22</v>
      </c>
      <c r="C1425" s="3">
        <v>266342</v>
      </c>
      <c r="D1425" s="3">
        <v>127118</v>
      </c>
      <c r="E1425" s="3" t="s">
        <v>23</v>
      </c>
    </row>
    <row r="1426" spans="1:5">
      <c r="A1426" s="3" t="s">
        <v>1448</v>
      </c>
      <c r="B1426" s="3" t="s">
        <v>22</v>
      </c>
      <c r="C1426" s="3">
        <v>473639</v>
      </c>
      <c r="D1426" s="3">
        <v>8177</v>
      </c>
      <c r="E1426" s="3" t="s">
        <v>23</v>
      </c>
    </row>
    <row r="1427" spans="1:5">
      <c r="A1427" s="3" t="s">
        <v>1449</v>
      </c>
      <c r="B1427" s="3" t="s">
        <v>22</v>
      </c>
      <c r="C1427" s="3">
        <v>583588</v>
      </c>
      <c r="D1427" s="3">
        <v>137942</v>
      </c>
      <c r="E1427" s="3" t="s">
        <v>23</v>
      </c>
    </row>
    <row r="1428" spans="1:5">
      <c r="A1428" s="3" t="s">
        <v>1450</v>
      </c>
      <c r="B1428" s="3" t="s">
        <v>22</v>
      </c>
      <c r="C1428" s="3">
        <v>658354</v>
      </c>
      <c r="D1428" s="3">
        <v>77501</v>
      </c>
      <c r="E1428" s="3" t="s">
        <v>23</v>
      </c>
    </row>
    <row r="1429" spans="1:5">
      <c r="A1429" s="3" t="s">
        <v>1451</v>
      </c>
      <c r="B1429" s="3" t="s">
        <v>22</v>
      </c>
      <c r="C1429" s="3">
        <v>982697</v>
      </c>
      <c r="D1429" s="3">
        <v>231782</v>
      </c>
      <c r="E1429" s="3" t="s">
        <v>23</v>
      </c>
    </row>
    <row r="1430" spans="1:5">
      <c r="A1430" s="3" t="s">
        <v>1452</v>
      </c>
      <c r="B1430" s="3" t="s">
        <v>22</v>
      </c>
      <c r="C1430" s="3">
        <v>630665</v>
      </c>
      <c r="D1430" s="3">
        <v>43307</v>
      </c>
      <c r="E1430" s="3" t="s">
        <v>23</v>
      </c>
    </row>
    <row r="1431" spans="1:5">
      <c r="A1431" s="3" t="s">
        <v>1453</v>
      </c>
      <c r="B1431" s="3" t="s">
        <v>22</v>
      </c>
      <c r="C1431" s="3">
        <v>365584</v>
      </c>
      <c r="D1431" s="3">
        <v>91416</v>
      </c>
      <c r="E1431" s="3" t="s">
        <v>23</v>
      </c>
    </row>
    <row r="1432" spans="1:5">
      <c r="A1432" s="3" t="s">
        <v>1454</v>
      </c>
      <c r="B1432" s="3" t="s">
        <v>22</v>
      </c>
      <c r="C1432" s="3">
        <v>786442</v>
      </c>
      <c r="D1432" s="3">
        <v>192745</v>
      </c>
      <c r="E1432" s="3" t="s">
        <v>23</v>
      </c>
    </row>
    <row r="1433" spans="1:5">
      <c r="A1433" s="3" t="s">
        <v>1455</v>
      </c>
      <c r="B1433" s="3" t="s">
        <v>22</v>
      </c>
      <c r="C1433" s="3">
        <v>538413</v>
      </c>
      <c r="D1433" s="3">
        <v>84823</v>
      </c>
      <c r="E1433" s="3" t="s">
        <v>23</v>
      </c>
    </row>
    <row r="1434" spans="1:5">
      <c r="A1434" s="3" t="s">
        <v>1456</v>
      </c>
      <c r="B1434" s="3" t="s">
        <v>22</v>
      </c>
      <c r="C1434" s="3">
        <v>579376</v>
      </c>
      <c r="D1434" s="3">
        <v>148244</v>
      </c>
      <c r="E1434" s="3" t="s">
        <v>23</v>
      </c>
    </row>
    <row r="1435" spans="1:5">
      <c r="A1435" s="3" t="s">
        <v>1457</v>
      </c>
      <c r="B1435" s="3" t="s">
        <v>22</v>
      </c>
      <c r="C1435" s="3">
        <v>937556</v>
      </c>
      <c r="D1435" s="3">
        <v>358941</v>
      </c>
      <c r="E1435" s="3" t="s">
        <v>23</v>
      </c>
    </row>
    <row r="1436" spans="1:5">
      <c r="A1436" s="3" t="s">
        <v>1458</v>
      </c>
      <c r="B1436" s="3" t="s">
        <v>22</v>
      </c>
      <c r="C1436" s="3">
        <v>686612</v>
      </c>
      <c r="D1436" s="3">
        <v>138715</v>
      </c>
      <c r="E1436" s="3" t="s">
        <v>23</v>
      </c>
    </row>
    <row r="1437" spans="1:5">
      <c r="A1437" s="3" t="s">
        <v>1459</v>
      </c>
      <c r="B1437" s="3" t="s">
        <v>22</v>
      </c>
      <c r="C1437" s="3">
        <v>624876</v>
      </c>
      <c r="D1437" s="3">
        <v>178248</v>
      </c>
      <c r="E1437" s="3" t="s">
        <v>23</v>
      </c>
    </row>
    <row r="1438" spans="1:5">
      <c r="A1438" s="3" t="s">
        <v>1460</v>
      </c>
      <c r="B1438" s="3" t="s">
        <v>22</v>
      </c>
      <c r="C1438" s="3">
        <v>456306</v>
      </c>
      <c r="D1438" s="3">
        <v>129198</v>
      </c>
      <c r="E1438" s="3" t="s">
        <v>23</v>
      </c>
    </row>
    <row r="1439" spans="1:5">
      <c r="A1439" s="3" t="s">
        <v>1461</v>
      </c>
      <c r="B1439" s="3" t="s">
        <v>22</v>
      </c>
      <c r="C1439" s="3">
        <v>679289</v>
      </c>
      <c r="D1439" s="3">
        <v>154524</v>
      </c>
      <c r="E1439" s="3" t="s">
        <v>23</v>
      </c>
    </row>
    <row r="1440" spans="1:5">
      <c r="A1440" s="3" t="s">
        <v>1462</v>
      </c>
      <c r="B1440" s="3" t="s">
        <v>22</v>
      </c>
      <c r="C1440" s="3">
        <v>227582</v>
      </c>
      <c r="D1440" s="3">
        <v>89681</v>
      </c>
      <c r="E1440" s="3" t="s">
        <v>23</v>
      </c>
    </row>
    <row r="1441" spans="1:5">
      <c r="A1441" s="3" t="s">
        <v>1463</v>
      </c>
      <c r="B1441" s="3" t="s">
        <v>22</v>
      </c>
      <c r="C1441" s="3">
        <v>836628</v>
      </c>
      <c r="D1441" s="3">
        <v>312993</v>
      </c>
      <c r="E1441" s="3" t="s">
        <v>23</v>
      </c>
    </row>
    <row r="1442" spans="1:5">
      <c r="A1442" s="3" t="s">
        <v>1464</v>
      </c>
      <c r="B1442" s="3" t="s">
        <v>22</v>
      </c>
      <c r="C1442" s="3">
        <v>950931</v>
      </c>
      <c r="D1442" s="3">
        <v>328168</v>
      </c>
      <c r="E1442" s="3" t="s">
        <v>23</v>
      </c>
    </row>
    <row r="1443" spans="1:5">
      <c r="A1443" s="3" t="s">
        <v>1465</v>
      </c>
      <c r="B1443" s="3" t="s">
        <v>22</v>
      </c>
      <c r="C1443" s="3">
        <v>433953</v>
      </c>
      <c r="D1443" s="3">
        <v>12138</v>
      </c>
      <c r="E1443" s="3" t="s">
        <v>23</v>
      </c>
    </row>
    <row r="1444" spans="1:5">
      <c r="A1444" s="3" t="s">
        <v>1466</v>
      </c>
      <c r="B1444" s="3" t="s">
        <v>22</v>
      </c>
      <c r="C1444" s="3">
        <v>593633</v>
      </c>
      <c r="D1444" s="3">
        <v>91456</v>
      </c>
      <c r="E1444" s="3" t="s">
        <v>23</v>
      </c>
    </row>
    <row r="1445" spans="1:5">
      <c r="A1445" s="3" t="s">
        <v>1467</v>
      </c>
      <c r="B1445" s="3" t="s">
        <v>22</v>
      </c>
      <c r="C1445" s="3">
        <v>630460</v>
      </c>
      <c r="D1445" s="3">
        <v>170832</v>
      </c>
      <c r="E1445" s="3" t="s">
        <v>23</v>
      </c>
    </row>
    <row r="1446" spans="1:5">
      <c r="A1446" s="3" t="s">
        <v>1468</v>
      </c>
      <c r="B1446" s="3" t="s">
        <v>22</v>
      </c>
      <c r="C1446" s="3">
        <v>465194</v>
      </c>
      <c r="D1446" s="3">
        <v>187326</v>
      </c>
      <c r="E1446" s="3" t="s">
        <v>23</v>
      </c>
    </row>
    <row r="1447" spans="1:5">
      <c r="A1447" s="3" t="s">
        <v>1469</v>
      </c>
      <c r="B1447" s="3" t="s">
        <v>22</v>
      </c>
      <c r="C1447" s="3">
        <v>593537</v>
      </c>
      <c r="D1447" s="3">
        <v>256149</v>
      </c>
      <c r="E1447" s="3" t="s">
        <v>23</v>
      </c>
    </row>
    <row r="1448" spans="1:5">
      <c r="A1448" s="3" t="s">
        <v>1470</v>
      </c>
      <c r="B1448" s="3" t="s">
        <v>22</v>
      </c>
      <c r="C1448" s="3">
        <v>426551</v>
      </c>
      <c r="D1448" s="3">
        <v>70834</v>
      </c>
      <c r="E1448" s="3" t="s">
        <v>23</v>
      </c>
    </row>
    <row r="1449" spans="1:5">
      <c r="A1449" s="3" t="s">
        <v>1471</v>
      </c>
      <c r="B1449" s="3" t="s">
        <v>22</v>
      </c>
      <c r="C1449" s="3">
        <v>930687</v>
      </c>
      <c r="D1449" s="3">
        <v>108730</v>
      </c>
      <c r="E1449" s="3" t="s">
        <v>23</v>
      </c>
    </row>
    <row r="1450" spans="1:5">
      <c r="A1450" s="3" t="s">
        <v>1472</v>
      </c>
      <c r="B1450" s="3" t="s">
        <v>22</v>
      </c>
      <c r="C1450" s="3">
        <v>551349</v>
      </c>
      <c r="D1450" s="3">
        <v>145034</v>
      </c>
      <c r="E1450" s="3" t="s">
        <v>23</v>
      </c>
    </row>
    <row r="1451" spans="1:5">
      <c r="A1451" s="3" t="s">
        <v>1473</v>
      </c>
      <c r="B1451" s="3" t="s">
        <v>22</v>
      </c>
      <c r="C1451" s="3">
        <v>681360</v>
      </c>
      <c r="D1451" s="3">
        <v>140810</v>
      </c>
      <c r="E1451" s="3" t="s">
        <v>23</v>
      </c>
    </row>
    <row r="1452" spans="1:5">
      <c r="A1452" s="3" t="s">
        <v>1474</v>
      </c>
      <c r="B1452" s="3" t="s">
        <v>22</v>
      </c>
      <c r="C1452" s="3">
        <v>540322</v>
      </c>
      <c r="D1452" s="3">
        <v>215469</v>
      </c>
      <c r="E1452" s="3" t="s">
        <v>23</v>
      </c>
    </row>
    <row r="1453" spans="1:5">
      <c r="A1453" s="3" t="s">
        <v>1475</v>
      </c>
      <c r="B1453" s="3" t="s">
        <v>22</v>
      </c>
      <c r="C1453" s="3">
        <v>495278</v>
      </c>
      <c r="D1453" s="3">
        <v>112783</v>
      </c>
      <c r="E1453" s="3" t="s">
        <v>23</v>
      </c>
    </row>
    <row r="1454" spans="1:5">
      <c r="A1454" s="3" t="s">
        <v>1476</v>
      </c>
      <c r="B1454" s="3" t="s">
        <v>22</v>
      </c>
      <c r="C1454" s="3">
        <v>516628</v>
      </c>
      <c r="D1454" s="3">
        <v>1474</v>
      </c>
      <c r="E1454" s="3" t="s">
        <v>23</v>
      </c>
    </row>
    <row r="1455" spans="1:5">
      <c r="A1455" s="3" t="s">
        <v>1477</v>
      </c>
      <c r="B1455" s="3" t="s">
        <v>22</v>
      </c>
      <c r="C1455" s="3">
        <v>421854</v>
      </c>
      <c r="D1455" s="3">
        <v>2387</v>
      </c>
      <c r="E1455" s="3" t="s">
        <v>23</v>
      </c>
    </row>
    <row r="1456" spans="1:5">
      <c r="A1456" s="3" t="s">
        <v>1478</v>
      </c>
      <c r="B1456" s="3" t="s">
        <v>22</v>
      </c>
      <c r="C1456" s="3">
        <v>343061</v>
      </c>
      <c r="D1456" s="3">
        <v>143620</v>
      </c>
      <c r="E1456" s="3" t="s">
        <v>23</v>
      </c>
    </row>
    <row r="1457" spans="1:5">
      <c r="A1457" s="3" t="s">
        <v>1479</v>
      </c>
      <c r="B1457" s="3" t="s">
        <v>22</v>
      </c>
      <c r="C1457" s="3">
        <v>776730</v>
      </c>
      <c r="D1457" s="3">
        <v>149202</v>
      </c>
      <c r="E1457" s="3" t="s">
        <v>23</v>
      </c>
    </row>
    <row r="1458" spans="1:5">
      <c r="A1458" s="3" t="s">
        <v>1480</v>
      </c>
      <c r="B1458" s="3" t="s">
        <v>22</v>
      </c>
      <c r="C1458" s="3">
        <v>527580</v>
      </c>
      <c r="D1458" s="3">
        <v>113450</v>
      </c>
      <c r="E1458" s="3" t="s">
        <v>23</v>
      </c>
    </row>
    <row r="1459" spans="1:5">
      <c r="A1459" s="3" t="s">
        <v>1481</v>
      </c>
      <c r="B1459" s="3" t="s">
        <v>22</v>
      </c>
      <c r="C1459" s="3">
        <v>952265</v>
      </c>
      <c r="D1459" s="3">
        <v>302289</v>
      </c>
      <c r="E1459" s="3" t="s">
        <v>23</v>
      </c>
    </row>
    <row r="1460" spans="1:5">
      <c r="A1460" s="3" t="s">
        <v>1482</v>
      </c>
      <c r="B1460" s="3" t="s">
        <v>22</v>
      </c>
      <c r="C1460" s="3">
        <v>908774</v>
      </c>
      <c r="D1460" s="3">
        <v>146917</v>
      </c>
      <c r="E1460" s="3" t="s">
        <v>23</v>
      </c>
    </row>
    <row r="1461" spans="1:5">
      <c r="A1461" s="3" t="s">
        <v>1483</v>
      </c>
      <c r="B1461" s="3" t="s">
        <v>22</v>
      </c>
      <c r="C1461" s="3">
        <v>568132</v>
      </c>
      <c r="D1461" s="3">
        <v>28109</v>
      </c>
      <c r="E1461" s="3" t="s">
        <v>23</v>
      </c>
    </row>
    <row r="1462" spans="1:5">
      <c r="A1462" s="3" t="s">
        <v>1484</v>
      </c>
      <c r="B1462" s="3" t="s">
        <v>22</v>
      </c>
      <c r="C1462" s="3">
        <v>353722</v>
      </c>
      <c r="D1462" s="3">
        <v>25844</v>
      </c>
      <c r="E1462" s="3" t="s">
        <v>23</v>
      </c>
    </row>
    <row r="1463" spans="1:5">
      <c r="A1463" s="3" t="s">
        <v>1485</v>
      </c>
      <c r="B1463" s="3" t="s">
        <v>22</v>
      </c>
      <c r="C1463" s="3">
        <v>681290</v>
      </c>
      <c r="D1463" s="3">
        <v>190954</v>
      </c>
      <c r="E1463" s="3" t="s">
        <v>23</v>
      </c>
    </row>
    <row r="1464" spans="1:5">
      <c r="A1464" s="3" t="s">
        <v>1486</v>
      </c>
      <c r="B1464" s="3" t="s">
        <v>22</v>
      </c>
      <c r="C1464" s="3">
        <v>416018</v>
      </c>
      <c r="D1464" s="3">
        <v>60178</v>
      </c>
      <c r="E1464" s="3" t="s">
        <v>23</v>
      </c>
    </row>
    <row r="1465" spans="1:5">
      <c r="A1465" s="3" t="s">
        <v>1487</v>
      </c>
      <c r="B1465" s="3" t="s">
        <v>22</v>
      </c>
      <c r="C1465" s="3">
        <v>636767</v>
      </c>
      <c r="D1465" s="3">
        <v>224687</v>
      </c>
      <c r="E1465" s="3" t="s">
        <v>23</v>
      </c>
    </row>
    <row r="1466" spans="1:5">
      <c r="A1466" s="3" t="s">
        <v>1488</v>
      </c>
      <c r="B1466" s="3" t="s">
        <v>22</v>
      </c>
      <c r="C1466" s="3">
        <v>676251</v>
      </c>
      <c r="D1466" s="3">
        <v>87867</v>
      </c>
      <c r="E1466" s="3" t="s">
        <v>23</v>
      </c>
    </row>
    <row r="1467" spans="1:5">
      <c r="A1467" s="3" t="s">
        <v>1489</v>
      </c>
      <c r="B1467" s="3" t="s">
        <v>22</v>
      </c>
      <c r="C1467" s="3">
        <v>613639</v>
      </c>
      <c r="D1467" s="3">
        <v>129315</v>
      </c>
      <c r="E1467" s="3" t="s">
        <v>23</v>
      </c>
    </row>
    <row r="1468" spans="1:5">
      <c r="A1468" s="3" t="s">
        <v>1490</v>
      </c>
      <c r="B1468" s="3" t="s">
        <v>22</v>
      </c>
      <c r="C1468" s="3">
        <v>520960</v>
      </c>
      <c r="D1468" s="3">
        <v>123094</v>
      </c>
      <c r="E1468" s="3" t="s">
        <v>23</v>
      </c>
    </row>
    <row r="1469" spans="1:5">
      <c r="A1469" s="3" t="s">
        <v>1491</v>
      </c>
      <c r="B1469" s="3" t="s">
        <v>22</v>
      </c>
      <c r="C1469" s="3">
        <v>363942</v>
      </c>
      <c r="D1469" s="3">
        <v>115540</v>
      </c>
      <c r="E1469" s="3" t="s">
        <v>23</v>
      </c>
    </row>
    <row r="1470" spans="1:5">
      <c r="A1470" s="3" t="s">
        <v>1492</v>
      </c>
      <c r="B1470" s="3" t="s">
        <v>22</v>
      </c>
      <c r="C1470" s="3">
        <v>605177</v>
      </c>
      <c r="D1470" s="3">
        <v>238235</v>
      </c>
      <c r="E1470" s="3" t="s">
        <v>23</v>
      </c>
    </row>
    <row r="1471" spans="1:5">
      <c r="A1471" s="3" t="s">
        <v>1493</v>
      </c>
      <c r="B1471" s="3" t="s">
        <v>22</v>
      </c>
      <c r="C1471" s="3">
        <v>248195</v>
      </c>
      <c r="D1471" s="3">
        <v>107738</v>
      </c>
      <c r="E1471" s="3" t="s">
        <v>23</v>
      </c>
    </row>
    <row r="1472" spans="1:5">
      <c r="A1472" s="3" t="s">
        <v>1494</v>
      </c>
      <c r="B1472" s="3" t="s">
        <v>22</v>
      </c>
      <c r="C1472" s="3">
        <v>710360</v>
      </c>
      <c r="D1472" s="3">
        <v>292612</v>
      </c>
      <c r="E1472" s="3" t="s">
        <v>23</v>
      </c>
    </row>
    <row r="1473" spans="1:5">
      <c r="A1473" s="3" t="s">
        <v>1495</v>
      </c>
      <c r="B1473" s="3" t="s">
        <v>22</v>
      </c>
      <c r="C1473" s="3">
        <v>689354</v>
      </c>
      <c r="D1473" s="3">
        <v>165853</v>
      </c>
      <c r="E1473" s="3" t="s">
        <v>23</v>
      </c>
    </row>
    <row r="1474" spans="1:5">
      <c r="A1474" s="3" t="s">
        <v>1496</v>
      </c>
      <c r="B1474" s="3" t="s">
        <v>22</v>
      </c>
      <c r="C1474" s="3">
        <v>643612</v>
      </c>
      <c r="D1474" s="3">
        <v>232332</v>
      </c>
      <c r="E1474" s="3" t="s">
        <v>23</v>
      </c>
    </row>
    <row r="1475" spans="1:5">
      <c r="A1475" s="3" t="s">
        <v>1497</v>
      </c>
      <c r="B1475" s="3" t="s">
        <v>22</v>
      </c>
      <c r="C1475" s="3">
        <v>513005</v>
      </c>
      <c r="D1475" s="3">
        <v>98157</v>
      </c>
      <c r="E1475" s="3" t="s">
        <v>23</v>
      </c>
    </row>
    <row r="1476" spans="1:5">
      <c r="A1476" s="3" t="s">
        <v>1498</v>
      </c>
      <c r="B1476" s="3" t="s">
        <v>22</v>
      </c>
      <c r="C1476" s="3">
        <v>849369</v>
      </c>
      <c r="D1476" s="3">
        <v>156490</v>
      </c>
      <c r="E1476" s="3" t="s">
        <v>23</v>
      </c>
    </row>
    <row r="1477" spans="1:5">
      <c r="A1477" s="3" t="s">
        <v>1499</v>
      </c>
      <c r="B1477" s="3" t="s">
        <v>22</v>
      </c>
      <c r="C1477" s="3">
        <v>398718</v>
      </c>
      <c r="D1477" s="3">
        <v>119190</v>
      </c>
      <c r="E1477" s="3" t="s">
        <v>23</v>
      </c>
    </row>
    <row r="1478" spans="1:5">
      <c r="A1478" s="3" t="s">
        <v>1500</v>
      </c>
      <c r="B1478" s="3" t="s">
        <v>22</v>
      </c>
      <c r="C1478" s="3">
        <v>602190</v>
      </c>
      <c r="D1478" s="3">
        <v>235202</v>
      </c>
      <c r="E1478" s="3" t="s">
        <v>23</v>
      </c>
    </row>
    <row r="1479" spans="1:5">
      <c r="A1479" s="3" t="s">
        <v>1501</v>
      </c>
      <c r="B1479" s="3" t="s">
        <v>22</v>
      </c>
      <c r="C1479" s="3">
        <v>695089</v>
      </c>
      <c r="D1479" s="3">
        <v>40399</v>
      </c>
      <c r="E1479" s="3" t="s">
        <v>23</v>
      </c>
    </row>
    <row r="1480" spans="1:5">
      <c r="A1480" s="3" t="s">
        <v>1502</v>
      </c>
      <c r="B1480" s="3" t="s">
        <v>22</v>
      </c>
      <c r="C1480" s="3">
        <v>824943</v>
      </c>
      <c r="D1480" s="3">
        <v>334550</v>
      </c>
      <c r="E1480" s="3" t="s">
        <v>23</v>
      </c>
    </row>
    <row r="1481" spans="1:5">
      <c r="A1481" s="3" t="s">
        <v>1503</v>
      </c>
      <c r="B1481" s="3" t="s">
        <v>22</v>
      </c>
      <c r="C1481" s="3">
        <v>556771</v>
      </c>
      <c r="D1481" s="3">
        <v>161629</v>
      </c>
      <c r="E1481" s="3" t="s">
        <v>23</v>
      </c>
    </row>
    <row r="1482" spans="1:5">
      <c r="A1482" s="3" t="s">
        <v>1504</v>
      </c>
      <c r="B1482" s="3" t="s">
        <v>22</v>
      </c>
      <c r="C1482" s="3">
        <v>434246</v>
      </c>
      <c r="D1482" s="3">
        <v>10952</v>
      </c>
      <c r="E1482" s="3" t="s">
        <v>23</v>
      </c>
    </row>
    <row r="1483" spans="1:5">
      <c r="A1483" s="3" t="s">
        <v>1505</v>
      </c>
      <c r="B1483" s="3" t="s">
        <v>22</v>
      </c>
      <c r="C1483" s="3">
        <v>489323</v>
      </c>
      <c r="D1483" s="3">
        <v>161415</v>
      </c>
      <c r="E1483" s="3" t="s">
        <v>23</v>
      </c>
    </row>
    <row r="1484" spans="1:5">
      <c r="A1484" s="3" t="s">
        <v>1506</v>
      </c>
      <c r="B1484" s="3" t="s">
        <v>22</v>
      </c>
      <c r="C1484" s="3">
        <v>654796</v>
      </c>
      <c r="D1484" s="3">
        <v>41983</v>
      </c>
      <c r="E1484" s="3" t="s">
        <v>23</v>
      </c>
    </row>
    <row r="1485" spans="1:5">
      <c r="A1485" s="3" t="s">
        <v>1507</v>
      </c>
      <c r="B1485" s="3" t="s">
        <v>22</v>
      </c>
      <c r="C1485" s="3">
        <v>516420</v>
      </c>
      <c r="D1485" s="3">
        <v>53568</v>
      </c>
      <c r="E1485" s="3" t="s">
        <v>23</v>
      </c>
    </row>
    <row r="1486" spans="1:5">
      <c r="A1486" s="3" t="s">
        <v>1508</v>
      </c>
      <c r="B1486" s="3" t="s">
        <v>22</v>
      </c>
      <c r="C1486" s="3">
        <v>480559</v>
      </c>
      <c r="D1486" s="3">
        <v>26661</v>
      </c>
      <c r="E1486" s="3" t="s">
        <v>23</v>
      </c>
    </row>
    <row r="1487" spans="1:5">
      <c r="A1487" s="3" t="s">
        <v>1509</v>
      </c>
      <c r="B1487" s="3" t="s">
        <v>22</v>
      </c>
      <c r="C1487" s="3">
        <v>502027</v>
      </c>
      <c r="D1487" s="3">
        <v>206600</v>
      </c>
      <c r="E1487" s="3" t="s">
        <v>23</v>
      </c>
    </row>
    <row r="1488" spans="1:5">
      <c r="A1488" s="3" t="s">
        <v>1510</v>
      </c>
      <c r="B1488" s="3" t="s">
        <v>22</v>
      </c>
      <c r="C1488" s="3">
        <v>683445</v>
      </c>
      <c r="D1488" s="3">
        <v>190455</v>
      </c>
      <c r="E1488" s="3" t="s">
        <v>23</v>
      </c>
    </row>
    <row r="1489" spans="1:5">
      <c r="A1489" s="3" t="s">
        <v>1511</v>
      </c>
      <c r="B1489" s="3" t="s">
        <v>22</v>
      </c>
      <c r="C1489" s="3">
        <v>560689</v>
      </c>
      <c r="D1489" s="3">
        <v>8844</v>
      </c>
      <c r="E1489" s="3" t="s">
        <v>23</v>
      </c>
    </row>
    <row r="1490" spans="1:5">
      <c r="A1490" s="3" t="s">
        <v>1512</v>
      </c>
      <c r="B1490" s="3" t="s">
        <v>22</v>
      </c>
      <c r="C1490" s="3">
        <v>687649</v>
      </c>
      <c r="D1490" s="3">
        <v>278839</v>
      </c>
      <c r="E1490" s="3" t="s">
        <v>23</v>
      </c>
    </row>
    <row r="1491" spans="1:5">
      <c r="A1491" s="3" t="s">
        <v>1513</v>
      </c>
      <c r="B1491" s="3" t="s">
        <v>22</v>
      </c>
      <c r="C1491" s="3">
        <v>243114</v>
      </c>
      <c r="D1491" s="3">
        <v>97131</v>
      </c>
      <c r="E1491" s="3" t="s">
        <v>23</v>
      </c>
    </row>
    <row r="1492" spans="1:5">
      <c r="A1492" s="3" t="s">
        <v>1514</v>
      </c>
      <c r="B1492" s="3" t="s">
        <v>22</v>
      </c>
      <c r="C1492" s="3">
        <v>768711</v>
      </c>
      <c r="D1492" s="3">
        <v>108750</v>
      </c>
      <c r="E1492" s="3" t="s">
        <v>23</v>
      </c>
    </row>
    <row r="1493" spans="1:5">
      <c r="A1493" s="3" t="s">
        <v>1515</v>
      </c>
      <c r="B1493" s="3" t="s">
        <v>22</v>
      </c>
      <c r="C1493" s="3">
        <v>103755</v>
      </c>
      <c r="D1493" s="3">
        <v>36533</v>
      </c>
      <c r="E1493" s="3" t="s">
        <v>23</v>
      </c>
    </row>
    <row r="1494" spans="1:5">
      <c r="A1494" s="3" t="s">
        <v>1516</v>
      </c>
      <c r="B1494" s="3" t="s">
        <v>22</v>
      </c>
      <c r="C1494" s="3">
        <v>460752</v>
      </c>
      <c r="D1494" s="3">
        <v>200630</v>
      </c>
      <c r="E1494" s="3" t="s">
        <v>23</v>
      </c>
    </row>
    <row r="1495" spans="1:5">
      <c r="A1495" s="3" t="s">
        <v>1517</v>
      </c>
      <c r="B1495" s="3" t="s">
        <v>22</v>
      </c>
      <c r="C1495" s="3">
        <v>486078</v>
      </c>
      <c r="D1495" s="3">
        <v>213304</v>
      </c>
      <c r="E1495" s="3" t="s">
        <v>23</v>
      </c>
    </row>
    <row r="1496" spans="1:5">
      <c r="A1496" s="3" t="s">
        <v>1518</v>
      </c>
      <c r="B1496" s="3" t="s">
        <v>22</v>
      </c>
      <c r="C1496" s="3">
        <v>388573</v>
      </c>
      <c r="D1496" s="3">
        <v>13564</v>
      </c>
      <c r="E1496" s="3" t="s">
        <v>23</v>
      </c>
    </row>
    <row r="1497" spans="1:5">
      <c r="A1497" s="3" t="s">
        <v>1519</v>
      </c>
      <c r="B1497" s="3" t="s">
        <v>22</v>
      </c>
      <c r="C1497" s="3">
        <v>448946</v>
      </c>
      <c r="D1497" s="3">
        <v>30873</v>
      </c>
      <c r="E1497" s="3" t="s">
        <v>23</v>
      </c>
    </row>
    <row r="1498" spans="1:5">
      <c r="A1498" s="3" t="s">
        <v>1520</v>
      </c>
      <c r="B1498" s="3" t="s">
        <v>22</v>
      </c>
      <c r="C1498" s="3">
        <v>492197</v>
      </c>
      <c r="D1498" s="3">
        <v>249481</v>
      </c>
      <c r="E1498" s="3" t="s">
        <v>23</v>
      </c>
    </row>
    <row r="1499" spans="1:5">
      <c r="A1499" s="3" t="s">
        <v>1521</v>
      </c>
      <c r="B1499" s="3" t="s">
        <v>22</v>
      </c>
      <c r="C1499" s="3">
        <v>703969</v>
      </c>
      <c r="D1499" s="3">
        <v>300449</v>
      </c>
      <c r="E1499" s="3" t="s">
        <v>23</v>
      </c>
    </row>
    <row r="1500" spans="1:5">
      <c r="A1500" s="3" t="s">
        <v>1522</v>
      </c>
      <c r="B1500" s="3" t="s">
        <v>22</v>
      </c>
      <c r="C1500" s="3">
        <v>91037</v>
      </c>
      <c r="D1500" s="3">
        <v>33567</v>
      </c>
      <c r="E1500" s="3" t="s">
        <v>23</v>
      </c>
    </row>
    <row r="1501" spans="1:5">
      <c r="A1501" s="3" t="s">
        <v>1523</v>
      </c>
      <c r="B1501" s="3" t="s">
        <v>22</v>
      </c>
      <c r="C1501" s="3">
        <v>514293</v>
      </c>
      <c r="D1501" s="3">
        <v>218954</v>
      </c>
      <c r="E1501" s="3" t="s">
        <v>23</v>
      </c>
    </row>
    <row r="1502" spans="1:5">
      <c r="A1502" s="3" t="s">
        <v>1524</v>
      </c>
      <c r="B1502" s="3" t="s">
        <v>22</v>
      </c>
      <c r="C1502" s="3">
        <v>273855</v>
      </c>
      <c r="D1502" s="3">
        <v>144416</v>
      </c>
      <c r="E1502" s="3" t="s">
        <v>23</v>
      </c>
    </row>
    <row r="1503" spans="1:5">
      <c r="A1503" s="3" t="s">
        <v>1525</v>
      </c>
      <c r="B1503" s="3" t="s">
        <v>22</v>
      </c>
      <c r="C1503" s="3">
        <v>388450</v>
      </c>
      <c r="D1503" s="3">
        <v>745</v>
      </c>
      <c r="E1503" s="3" t="s">
        <v>23</v>
      </c>
    </row>
    <row r="1504" spans="1:5">
      <c r="A1504" s="3" t="s">
        <v>1526</v>
      </c>
      <c r="B1504" s="3" t="s">
        <v>22</v>
      </c>
      <c r="C1504" s="3">
        <v>805165</v>
      </c>
      <c r="D1504" s="3">
        <v>151925</v>
      </c>
      <c r="E1504" s="3" t="s">
        <v>23</v>
      </c>
    </row>
    <row r="1505" spans="1:5">
      <c r="A1505" s="3" t="s">
        <v>1527</v>
      </c>
      <c r="B1505" s="3" t="s">
        <v>22</v>
      </c>
      <c r="C1505" s="3">
        <v>358849</v>
      </c>
      <c r="D1505" s="3">
        <v>151915</v>
      </c>
      <c r="E1505" s="3" t="s">
        <v>23</v>
      </c>
    </row>
    <row r="1506" spans="1:5">
      <c r="A1506" s="3" t="s">
        <v>1528</v>
      </c>
      <c r="B1506" s="3" t="s">
        <v>22</v>
      </c>
      <c r="C1506" s="3">
        <v>621132</v>
      </c>
      <c r="D1506" s="3">
        <v>295403</v>
      </c>
      <c r="E1506" s="3" t="s">
        <v>23</v>
      </c>
    </row>
    <row r="1507" spans="1:5">
      <c r="A1507" s="3" t="s">
        <v>1529</v>
      </c>
      <c r="B1507" s="3" t="s">
        <v>22</v>
      </c>
      <c r="C1507" s="3">
        <v>423569</v>
      </c>
      <c r="D1507" s="3">
        <v>204384</v>
      </c>
      <c r="E1507" s="3" t="s">
        <v>23</v>
      </c>
    </row>
    <row r="1508" spans="1:5">
      <c r="A1508" s="3" t="s">
        <v>1530</v>
      </c>
      <c r="B1508" s="3" t="s">
        <v>22</v>
      </c>
      <c r="C1508" s="3">
        <v>765634</v>
      </c>
      <c r="D1508" s="3">
        <v>1759</v>
      </c>
      <c r="E1508" s="3" t="s">
        <v>23</v>
      </c>
    </row>
    <row r="1509" spans="1:5">
      <c r="A1509" s="3" t="s">
        <v>1531</v>
      </c>
      <c r="B1509" s="3" t="s">
        <v>22</v>
      </c>
      <c r="C1509" s="3">
        <v>465382</v>
      </c>
      <c r="D1509" s="3">
        <v>206722</v>
      </c>
      <c r="E1509" s="3" t="s">
        <v>23</v>
      </c>
    </row>
    <row r="1510" spans="1:5">
      <c r="A1510" s="3" t="s">
        <v>1532</v>
      </c>
      <c r="B1510" s="3" t="s">
        <v>22</v>
      </c>
      <c r="C1510" s="3">
        <v>667596</v>
      </c>
      <c r="D1510" s="3">
        <v>245684</v>
      </c>
      <c r="E1510" s="3" t="s">
        <v>23</v>
      </c>
    </row>
    <row r="1511" spans="1:5">
      <c r="A1511" s="3" t="s">
        <v>1533</v>
      </c>
      <c r="B1511" s="3" t="s">
        <v>22</v>
      </c>
      <c r="C1511" s="3">
        <v>300151</v>
      </c>
      <c r="D1511" s="3">
        <v>140029</v>
      </c>
      <c r="E1511" s="3" t="s">
        <v>23</v>
      </c>
    </row>
    <row r="1512" spans="1:5">
      <c r="A1512" s="3" t="s">
        <v>1534</v>
      </c>
      <c r="B1512" s="3" t="s">
        <v>22</v>
      </c>
      <c r="C1512" s="3">
        <v>754537</v>
      </c>
      <c r="D1512" s="3">
        <v>54979</v>
      </c>
      <c r="E1512" s="3" t="s">
        <v>23</v>
      </c>
    </row>
    <row r="1513" spans="1:5">
      <c r="A1513" s="3" t="s">
        <v>1535</v>
      </c>
      <c r="B1513" s="3" t="s">
        <v>22</v>
      </c>
      <c r="C1513" s="3">
        <v>655012</v>
      </c>
      <c r="D1513" s="3">
        <v>271462</v>
      </c>
      <c r="E1513" s="3" t="s">
        <v>23</v>
      </c>
    </row>
    <row r="1514" spans="1:5">
      <c r="A1514" s="3" t="s">
        <v>1536</v>
      </c>
      <c r="B1514" s="3" t="s">
        <v>22</v>
      </c>
      <c r="C1514" s="3">
        <v>762625</v>
      </c>
      <c r="D1514" s="3">
        <v>225268</v>
      </c>
      <c r="E1514" s="3" t="s">
        <v>23</v>
      </c>
    </row>
    <row r="1515" spans="1:5">
      <c r="A1515" s="3" t="s">
        <v>1537</v>
      </c>
      <c r="B1515" s="3" t="s">
        <v>22</v>
      </c>
      <c r="C1515" s="3">
        <v>944549</v>
      </c>
      <c r="D1515" s="3">
        <v>361273</v>
      </c>
      <c r="E1515" s="3" t="s">
        <v>23</v>
      </c>
    </row>
    <row r="1516" spans="1:5">
      <c r="A1516" s="3" t="s">
        <v>1538</v>
      </c>
      <c r="B1516" s="3" t="s">
        <v>22</v>
      </c>
      <c r="C1516" s="3">
        <v>6640</v>
      </c>
      <c r="D1516" s="3">
        <v>833</v>
      </c>
      <c r="E1516" s="3" t="s">
        <v>23</v>
      </c>
    </row>
    <row r="1517" spans="1:5">
      <c r="A1517" s="3" t="s">
        <v>1539</v>
      </c>
      <c r="B1517" s="3" t="s">
        <v>22</v>
      </c>
      <c r="C1517" s="3">
        <v>438388</v>
      </c>
      <c r="D1517" s="3">
        <v>204734</v>
      </c>
      <c r="E1517" s="3" t="s">
        <v>23</v>
      </c>
    </row>
    <row r="1518" spans="1:5">
      <c r="A1518" s="3" t="s">
        <v>1540</v>
      </c>
      <c r="B1518" s="3" t="s">
        <v>22</v>
      </c>
      <c r="C1518" s="3">
        <v>282447</v>
      </c>
      <c r="D1518" s="3">
        <v>134995</v>
      </c>
      <c r="E1518" s="3" t="s">
        <v>23</v>
      </c>
    </row>
    <row r="1519" spans="1:5">
      <c r="A1519" s="3" t="s">
        <v>1541</v>
      </c>
      <c r="B1519" s="3" t="s">
        <v>22</v>
      </c>
      <c r="C1519" s="3">
        <v>543809</v>
      </c>
      <c r="D1519" s="3">
        <v>6243</v>
      </c>
      <c r="E1519" s="3" t="s">
        <v>23</v>
      </c>
    </row>
    <row r="1520" spans="1:5">
      <c r="A1520" s="3" t="s">
        <v>1542</v>
      </c>
      <c r="B1520" s="3" t="s">
        <v>22</v>
      </c>
      <c r="C1520" s="3">
        <v>638091</v>
      </c>
      <c r="D1520" s="3">
        <v>92948</v>
      </c>
      <c r="E1520" s="3" t="s">
        <v>23</v>
      </c>
    </row>
    <row r="1521" spans="1:5">
      <c r="A1521" s="3" t="s">
        <v>1543</v>
      </c>
      <c r="B1521" s="3" t="s">
        <v>22</v>
      </c>
      <c r="C1521" s="3">
        <v>991490</v>
      </c>
      <c r="D1521" s="3">
        <v>388546</v>
      </c>
      <c r="E1521" s="3" t="s">
        <v>23</v>
      </c>
    </row>
    <row r="1522" spans="1:5">
      <c r="A1522" s="3" t="s">
        <v>1544</v>
      </c>
      <c r="B1522" s="3" t="s">
        <v>22</v>
      </c>
      <c r="C1522" s="3">
        <v>924697</v>
      </c>
      <c r="D1522" s="3">
        <v>336971</v>
      </c>
      <c r="E1522" s="3" t="s">
        <v>23</v>
      </c>
    </row>
    <row r="1523" spans="1:5">
      <c r="A1523" s="3" t="s">
        <v>1545</v>
      </c>
      <c r="B1523" s="3" t="s">
        <v>22</v>
      </c>
      <c r="C1523" s="3">
        <v>783235</v>
      </c>
      <c r="D1523" s="3">
        <v>278500</v>
      </c>
      <c r="E1523" s="3" t="s">
        <v>23</v>
      </c>
    </row>
    <row r="1524" spans="1:5">
      <c r="A1524" s="3" t="s">
        <v>1546</v>
      </c>
      <c r="B1524" s="3" t="s">
        <v>22</v>
      </c>
      <c r="C1524" s="3">
        <v>424601</v>
      </c>
      <c r="D1524" s="3">
        <v>69745</v>
      </c>
      <c r="E1524" s="3" t="s">
        <v>23</v>
      </c>
    </row>
    <row r="1525" spans="1:5">
      <c r="A1525" s="3" t="s">
        <v>1547</v>
      </c>
      <c r="B1525" s="3" t="s">
        <v>22</v>
      </c>
      <c r="C1525" s="3">
        <v>815709</v>
      </c>
      <c r="D1525" s="3">
        <v>287155</v>
      </c>
      <c r="E1525" s="3" t="s">
        <v>23</v>
      </c>
    </row>
    <row r="1526" spans="1:5">
      <c r="A1526" s="3" t="s">
        <v>1548</v>
      </c>
      <c r="B1526" s="3" t="s">
        <v>22</v>
      </c>
      <c r="C1526" s="3">
        <v>674142</v>
      </c>
      <c r="D1526" s="3">
        <v>115146</v>
      </c>
      <c r="E1526" s="3" t="s">
        <v>23</v>
      </c>
    </row>
    <row r="1527" spans="1:5">
      <c r="A1527" s="3" t="s">
        <v>1549</v>
      </c>
      <c r="B1527" s="3" t="s">
        <v>22</v>
      </c>
      <c r="C1527" s="3">
        <v>107131</v>
      </c>
      <c r="D1527" s="3">
        <v>2558</v>
      </c>
      <c r="E1527" s="3" t="s">
        <v>23</v>
      </c>
    </row>
    <row r="1528" spans="1:5">
      <c r="A1528" s="3" t="s">
        <v>1550</v>
      </c>
      <c r="B1528" s="3" t="s">
        <v>22</v>
      </c>
      <c r="C1528" s="3">
        <v>1059685</v>
      </c>
      <c r="D1528" s="3">
        <v>376648</v>
      </c>
      <c r="E1528" s="3" t="s">
        <v>23</v>
      </c>
    </row>
    <row r="1529" spans="1:5">
      <c r="A1529" s="3" t="s">
        <v>1551</v>
      </c>
      <c r="B1529" s="3" t="s">
        <v>22</v>
      </c>
      <c r="C1529" s="3">
        <v>686520</v>
      </c>
      <c r="D1529" s="3">
        <v>132723</v>
      </c>
      <c r="E1529" s="3" t="s">
        <v>23</v>
      </c>
    </row>
    <row r="1530" spans="1:5">
      <c r="A1530" s="3" t="s">
        <v>1552</v>
      </c>
      <c r="B1530" s="3" t="s">
        <v>22</v>
      </c>
      <c r="C1530" s="3">
        <v>348211</v>
      </c>
      <c r="D1530" s="3">
        <v>60777</v>
      </c>
      <c r="E1530" s="3" t="s">
        <v>23</v>
      </c>
    </row>
    <row r="1531" spans="1:5">
      <c r="A1531" s="3" t="s">
        <v>1553</v>
      </c>
      <c r="B1531" s="3" t="s">
        <v>22</v>
      </c>
      <c r="C1531" s="3">
        <v>746509</v>
      </c>
      <c r="D1531" s="3">
        <v>188742</v>
      </c>
      <c r="E1531" s="3" t="s">
        <v>23</v>
      </c>
    </row>
    <row r="1532" spans="1:5">
      <c r="A1532" s="3" t="s">
        <v>1554</v>
      </c>
      <c r="B1532" s="3" t="s">
        <v>22</v>
      </c>
      <c r="C1532" s="3">
        <v>802087</v>
      </c>
      <c r="D1532" s="3">
        <v>196033</v>
      </c>
      <c r="E1532" s="3" t="s">
        <v>23</v>
      </c>
    </row>
    <row r="1533" spans="1:5">
      <c r="A1533" s="3" t="s">
        <v>1555</v>
      </c>
      <c r="B1533" s="3" t="s">
        <v>22</v>
      </c>
      <c r="C1533" s="3">
        <v>413670</v>
      </c>
      <c r="D1533" s="3">
        <v>166211</v>
      </c>
      <c r="E1533" s="3" t="s">
        <v>23</v>
      </c>
    </row>
    <row r="1534" spans="1:5">
      <c r="A1534" s="3" t="s">
        <v>1556</v>
      </c>
      <c r="B1534" s="3" t="s">
        <v>22</v>
      </c>
      <c r="C1534" s="3">
        <v>778186</v>
      </c>
      <c r="D1534" s="3">
        <v>299671</v>
      </c>
      <c r="E1534" s="3" t="s">
        <v>23</v>
      </c>
    </row>
    <row r="1535" spans="1:5">
      <c r="A1535" s="3" t="s">
        <v>1557</v>
      </c>
      <c r="B1535" s="3" t="s">
        <v>22</v>
      </c>
      <c r="C1535" s="3">
        <v>1029605</v>
      </c>
      <c r="D1535" s="3">
        <v>415205</v>
      </c>
      <c r="E1535" s="3" t="s">
        <v>23</v>
      </c>
    </row>
    <row r="1536" spans="1:5">
      <c r="A1536" s="3" t="s">
        <v>1558</v>
      </c>
      <c r="B1536" s="3" t="s">
        <v>22</v>
      </c>
      <c r="C1536" s="3">
        <v>707875</v>
      </c>
      <c r="D1536" s="3">
        <v>158944</v>
      </c>
      <c r="E1536" s="3" t="s">
        <v>23</v>
      </c>
    </row>
    <row r="1537" spans="1:5">
      <c r="A1537" s="3" t="s">
        <v>1559</v>
      </c>
      <c r="B1537" s="3" t="s">
        <v>22</v>
      </c>
      <c r="C1537" s="3">
        <v>527139</v>
      </c>
      <c r="D1537" s="3">
        <v>78948</v>
      </c>
      <c r="E1537" s="3" t="s">
        <v>23</v>
      </c>
    </row>
    <row r="1538" spans="1:5">
      <c r="A1538" s="3" t="s">
        <v>1560</v>
      </c>
      <c r="B1538" s="3" t="s">
        <v>22</v>
      </c>
      <c r="C1538" s="3">
        <v>480713</v>
      </c>
      <c r="D1538" s="3">
        <v>134742</v>
      </c>
      <c r="E1538" s="3" t="s">
        <v>23</v>
      </c>
    </row>
    <row r="1539" spans="1:5">
      <c r="A1539" s="3" t="s">
        <v>1561</v>
      </c>
      <c r="B1539" s="3" t="s">
        <v>22</v>
      </c>
      <c r="C1539" s="3">
        <v>552649</v>
      </c>
      <c r="D1539" s="3">
        <v>175357</v>
      </c>
      <c r="E1539" s="3" t="s">
        <v>23</v>
      </c>
    </row>
    <row r="1540" spans="1:5">
      <c r="A1540" s="3" t="s">
        <v>1562</v>
      </c>
      <c r="B1540" s="3" t="s">
        <v>22</v>
      </c>
      <c r="C1540" s="3">
        <v>578208</v>
      </c>
      <c r="D1540" s="3">
        <v>221958</v>
      </c>
      <c r="E1540" s="3" t="s">
        <v>23</v>
      </c>
    </row>
    <row r="1541" spans="1:5">
      <c r="A1541" s="3" t="s">
        <v>1563</v>
      </c>
      <c r="B1541" s="3" t="s">
        <v>22</v>
      </c>
      <c r="C1541" s="3">
        <v>592715</v>
      </c>
      <c r="D1541" s="3">
        <v>140676</v>
      </c>
      <c r="E1541" s="3" t="s">
        <v>23</v>
      </c>
    </row>
    <row r="1542" spans="1:5">
      <c r="A1542" s="3" t="s">
        <v>1564</v>
      </c>
      <c r="B1542" s="3" t="s">
        <v>22</v>
      </c>
      <c r="C1542" s="3">
        <v>740898</v>
      </c>
      <c r="D1542" s="3">
        <v>287596</v>
      </c>
      <c r="E1542" s="3" t="s">
        <v>23</v>
      </c>
    </row>
    <row r="1543" spans="1:5">
      <c r="A1543" s="3" t="s">
        <v>1565</v>
      </c>
      <c r="B1543" s="3" t="s">
        <v>22</v>
      </c>
      <c r="C1543" s="3">
        <v>688263</v>
      </c>
      <c r="D1543" s="3">
        <v>198339</v>
      </c>
      <c r="E1543" s="3" t="s">
        <v>23</v>
      </c>
    </row>
    <row r="1544" spans="1:5">
      <c r="A1544" s="3" t="s">
        <v>1566</v>
      </c>
      <c r="B1544" s="3" t="s">
        <v>22</v>
      </c>
      <c r="C1544" s="3">
        <v>1024716</v>
      </c>
      <c r="D1544" s="3">
        <v>390535</v>
      </c>
      <c r="E1544" s="3" t="s">
        <v>23</v>
      </c>
    </row>
    <row r="1545" spans="1:5">
      <c r="A1545" s="3" t="s">
        <v>1567</v>
      </c>
      <c r="B1545" s="3" t="s">
        <v>22</v>
      </c>
      <c r="C1545" s="3">
        <v>643740</v>
      </c>
      <c r="D1545" s="3">
        <v>239076</v>
      </c>
      <c r="E1545" s="3" t="s">
        <v>23</v>
      </c>
    </row>
    <row r="1546" spans="1:5">
      <c r="A1546" s="3" t="s">
        <v>1568</v>
      </c>
      <c r="B1546" s="3" t="s">
        <v>22</v>
      </c>
      <c r="C1546" s="3">
        <v>590596</v>
      </c>
      <c r="D1546" s="3">
        <v>186260</v>
      </c>
      <c r="E1546" s="3" t="s">
        <v>23</v>
      </c>
    </row>
    <row r="1547" spans="1:5">
      <c r="A1547" s="3" t="s">
        <v>1569</v>
      </c>
      <c r="B1547" s="3" t="s">
        <v>22</v>
      </c>
      <c r="C1547" s="3">
        <v>667678</v>
      </c>
      <c r="D1547" s="3">
        <v>4575</v>
      </c>
      <c r="E1547" s="3" t="s">
        <v>23</v>
      </c>
    </row>
    <row r="1548" spans="1:5">
      <c r="A1548" s="3" t="s">
        <v>1570</v>
      </c>
      <c r="B1548" s="3" t="s">
        <v>22</v>
      </c>
      <c r="C1548" s="3">
        <v>924035</v>
      </c>
      <c r="D1548" s="3">
        <v>11375</v>
      </c>
      <c r="E1548" s="3" t="s">
        <v>23</v>
      </c>
    </row>
    <row r="1549" spans="1:5">
      <c r="A1549" s="3" t="s">
        <v>1571</v>
      </c>
      <c r="B1549" s="3" t="s">
        <v>22</v>
      </c>
      <c r="C1549" s="3">
        <v>505581</v>
      </c>
      <c r="D1549" s="3">
        <v>244412</v>
      </c>
      <c r="E1549" s="3" t="s">
        <v>23</v>
      </c>
    </row>
    <row r="1550" spans="1:5">
      <c r="A1550" s="3" t="s">
        <v>1572</v>
      </c>
      <c r="B1550" s="3" t="s">
        <v>22</v>
      </c>
      <c r="C1550" s="3">
        <v>795108</v>
      </c>
      <c r="D1550" s="3">
        <v>99875</v>
      </c>
      <c r="E1550" s="3" t="s">
        <v>23</v>
      </c>
    </row>
    <row r="1551" spans="1:5">
      <c r="A1551" s="3" t="s">
        <v>1573</v>
      </c>
      <c r="B1551" s="3" t="s">
        <v>22</v>
      </c>
      <c r="C1551" s="3">
        <v>638980</v>
      </c>
      <c r="D1551" s="3">
        <v>284811</v>
      </c>
      <c r="E1551" s="3" t="s">
        <v>23</v>
      </c>
    </row>
    <row r="1552" spans="1:5">
      <c r="A1552" s="3" t="s">
        <v>1574</v>
      </c>
      <c r="B1552" s="3" t="s">
        <v>22</v>
      </c>
      <c r="C1552" s="3">
        <v>1080994</v>
      </c>
      <c r="D1552" s="3">
        <v>435542</v>
      </c>
      <c r="E1552" s="3" t="s">
        <v>23</v>
      </c>
    </row>
    <row r="1553" spans="1:5">
      <c r="A1553" s="3" t="s">
        <v>1575</v>
      </c>
      <c r="B1553" s="3" t="s">
        <v>22</v>
      </c>
      <c r="C1553" s="3">
        <v>977821</v>
      </c>
      <c r="D1553" s="3">
        <v>345330</v>
      </c>
      <c r="E1553" s="3" t="s">
        <v>23</v>
      </c>
    </row>
    <row r="1554" spans="1:5">
      <c r="A1554" s="3" t="s">
        <v>1576</v>
      </c>
      <c r="B1554" s="3" t="s">
        <v>22</v>
      </c>
      <c r="C1554" s="3">
        <v>738798</v>
      </c>
      <c r="D1554" s="3">
        <v>11518</v>
      </c>
      <c r="E1554" s="3" t="s">
        <v>23</v>
      </c>
    </row>
    <row r="1555" spans="1:5">
      <c r="A1555" s="3" t="s">
        <v>1577</v>
      </c>
      <c r="B1555" s="3" t="s">
        <v>22</v>
      </c>
      <c r="C1555" s="3">
        <v>510164</v>
      </c>
      <c r="D1555" s="3">
        <v>38926</v>
      </c>
      <c r="E1555" s="3" t="s">
        <v>23</v>
      </c>
    </row>
    <row r="1556" spans="1:5">
      <c r="A1556" s="3" t="s">
        <v>1578</v>
      </c>
      <c r="B1556" s="3" t="s">
        <v>22</v>
      </c>
      <c r="C1556" s="3">
        <v>821613</v>
      </c>
      <c r="D1556" s="3">
        <v>148563</v>
      </c>
      <c r="E1556" s="3" t="s">
        <v>23</v>
      </c>
    </row>
    <row r="1557" spans="1:5">
      <c r="A1557" s="3" t="s">
        <v>1579</v>
      </c>
      <c r="B1557" s="3" t="s">
        <v>22</v>
      </c>
      <c r="C1557" s="3">
        <v>854849</v>
      </c>
      <c r="D1557" s="3">
        <v>306572</v>
      </c>
      <c r="E1557" s="3" t="s">
        <v>23</v>
      </c>
    </row>
    <row r="1558" spans="1:5">
      <c r="A1558" s="3" t="s">
        <v>1580</v>
      </c>
      <c r="B1558" s="3" t="s">
        <v>22</v>
      </c>
      <c r="C1558" s="3">
        <v>494978</v>
      </c>
      <c r="D1558" s="3">
        <v>167363</v>
      </c>
      <c r="E1558" s="3" t="s">
        <v>23</v>
      </c>
    </row>
    <row r="1559" spans="1:5">
      <c r="A1559" s="3" t="s">
        <v>1581</v>
      </c>
      <c r="B1559" s="3" t="s">
        <v>22</v>
      </c>
      <c r="C1559" s="3">
        <v>1041582</v>
      </c>
      <c r="D1559" s="3">
        <v>397246</v>
      </c>
      <c r="E1559" s="3" t="s">
        <v>23</v>
      </c>
    </row>
    <row r="1560" spans="1:5">
      <c r="A1560" s="3" t="s">
        <v>1582</v>
      </c>
      <c r="B1560" s="3" t="s">
        <v>22</v>
      </c>
      <c r="C1560" s="3">
        <v>726383</v>
      </c>
      <c r="D1560" s="3">
        <v>154065</v>
      </c>
      <c r="E1560" s="3" t="s">
        <v>23</v>
      </c>
    </row>
    <row r="1561" spans="1:5">
      <c r="A1561" s="3" t="s">
        <v>1583</v>
      </c>
      <c r="B1561" s="3" t="s">
        <v>22</v>
      </c>
      <c r="C1561" s="3">
        <v>820548</v>
      </c>
      <c r="D1561" s="3">
        <v>257189</v>
      </c>
      <c r="E1561" s="3" t="s">
        <v>23</v>
      </c>
    </row>
    <row r="1562" spans="1:5">
      <c r="A1562" s="3" t="s">
        <v>1584</v>
      </c>
      <c r="B1562" s="3" t="s">
        <v>22</v>
      </c>
      <c r="C1562" s="3">
        <v>548785</v>
      </c>
      <c r="D1562" s="3">
        <v>219807</v>
      </c>
      <c r="E1562" s="3" t="s">
        <v>23</v>
      </c>
    </row>
    <row r="1563" spans="1:5">
      <c r="A1563" s="3" t="s">
        <v>1585</v>
      </c>
      <c r="B1563" s="3" t="s">
        <v>22</v>
      </c>
      <c r="C1563" s="3">
        <v>634592</v>
      </c>
      <c r="D1563" s="3">
        <v>302116</v>
      </c>
      <c r="E1563" s="3" t="s">
        <v>23</v>
      </c>
    </row>
    <row r="1564" spans="1:5">
      <c r="A1564" s="3" t="s">
        <v>1586</v>
      </c>
      <c r="B1564" s="3" t="s">
        <v>22</v>
      </c>
      <c r="C1564" s="3">
        <v>179990</v>
      </c>
      <c r="D1564" s="3">
        <v>84732</v>
      </c>
      <c r="E1564" s="3" t="s">
        <v>23</v>
      </c>
    </row>
    <row r="1565" spans="1:5">
      <c r="A1565" s="3" t="s">
        <v>1587</v>
      </c>
      <c r="B1565" s="3" t="s">
        <v>22</v>
      </c>
      <c r="C1565" s="3">
        <v>810936</v>
      </c>
      <c r="D1565" s="3">
        <v>310086</v>
      </c>
      <c r="E1565" s="3" t="s">
        <v>23</v>
      </c>
    </row>
    <row r="1566" spans="1:5">
      <c r="A1566" s="3" t="s">
        <v>1588</v>
      </c>
      <c r="B1566" s="3" t="s">
        <v>22</v>
      </c>
      <c r="C1566" s="3">
        <v>997044</v>
      </c>
      <c r="D1566" s="3">
        <v>258805</v>
      </c>
      <c r="E1566" s="3" t="s">
        <v>23</v>
      </c>
    </row>
    <row r="1567" spans="1:5">
      <c r="A1567" s="3" t="s">
        <v>1589</v>
      </c>
      <c r="B1567" s="3" t="s">
        <v>22</v>
      </c>
      <c r="C1567" s="3">
        <v>846289</v>
      </c>
      <c r="D1567" s="3">
        <v>204568</v>
      </c>
      <c r="E1567" s="3" t="s">
        <v>23</v>
      </c>
    </row>
    <row r="1568" spans="1:5">
      <c r="A1568" s="3" t="s">
        <v>1590</v>
      </c>
      <c r="B1568" s="3" t="s">
        <v>22</v>
      </c>
      <c r="C1568" s="3">
        <v>522583</v>
      </c>
      <c r="D1568" s="3">
        <v>98876</v>
      </c>
      <c r="E1568" s="3" t="s">
        <v>23</v>
      </c>
    </row>
    <row r="1569" spans="1:5">
      <c r="A1569" s="3" t="s">
        <v>1591</v>
      </c>
      <c r="B1569" s="3" t="s">
        <v>22</v>
      </c>
      <c r="C1569" s="3">
        <v>904217</v>
      </c>
      <c r="D1569" s="3">
        <v>399617</v>
      </c>
      <c r="E1569" s="3" t="s">
        <v>23</v>
      </c>
    </row>
    <row r="1570" spans="1:5">
      <c r="A1570" s="3" t="s">
        <v>1592</v>
      </c>
      <c r="B1570" s="3" t="s">
        <v>22</v>
      </c>
      <c r="C1570" s="3">
        <v>474351</v>
      </c>
      <c r="D1570" s="3">
        <v>183547</v>
      </c>
      <c r="E1570" s="3" t="s">
        <v>23</v>
      </c>
    </row>
    <row r="1571" spans="1:5">
      <c r="A1571" s="3" t="s">
        <v>1593</v>
      </c>
      <c r="B1571" s="3" t="s">
        <v>22</v>
      </c>
      <c r="C1571" s="3">
        <v>741927</v>
      </c>
      <c r="D1571" s="3">
        <v>279592</v>
      </c>
      <c r="E1571" s="3" t="s">
        <v>23</v>
      </c>
    </row>
    <row r="1572" spans="1:5">
      <c r="A1572" s="3" t="s">
        <v>1594</v>
      </c>
      <c r="B1572" s="3" t="s">
        <v>22</v>
      </c>
      <c r="C1572" s="3">
        <v>509700</v>
      </c>
      <c r="D1572" s="3">
        <v>6130</v>
      </c>
      <c r="E1572" s="3" t="s">
        <v>23</v>
      </c>
    </row>
    <row r="1573" spans="1:5">
      <c r="A1573" s="3" t="s">
        <v>1595</v>
      </c>
      <c r="B1573" s="3" t="s">
        <v>22</v>
      </c>
      <c r="C1573" s="3">
        <v>929013</v>
      </c>
      <c r="D1573" s="3">
        <v>13902</v>
      </c>
      <c r="E1573" s="3" t="s">
        <v>23</v>
      </c>
    </row>
    <row r="1574" spans="1:5">
      <c r="A1574" s="3" t="s">
        <v>1596</v>
      </c>
      <c r="B1574" s="3" t="s">
        <v>22</v>
      </c>
      <c r="C1574" s="3">
        <v>478204</v>
      </c>
      <c r="D1574" s="3">
        <v>160807</v>
      </c>
      <c r="E1574" s="3" t="s">
        <v>23</v>
      </c>
    </row>
    <row r="1575" spans="1:5">
      <c r="A1575" s="3" t="s">
        <v>1597</v>
      </c>
      <c r="B1575" s="3" t="s">
        <v>22</v>
      </c>
      <c r="C1575" s="3">
        <v>839577</v>
      </c>
      <c r="D1575" s="3">
        <v>228209</v>
      </c>
      <c r="E1575" s="3" t="s">
        <v>23</v>
      </c>
    </row>
    <row r="1576" spans="1:5">
      <c r="A1576" s="3" t="s">
        <v>1598</v>
      </c>
      <c r="B1576" s="3" t="s">
        <v>22</v>
      </c>
      <c r="C1576" s="3">
        <v>450162</v>
      </c>
      <c r="D1576" s="3">
        <v>151841</v>
      </c>
      <c r="E1576" s="3" t="s">
        <v>23</v>
      </c>
    </row>
    <row r="1577" spans="1:5">
      <c r="A1577" s="3" t="s">
        <v>1599</v>
      </c>
      <c r="B1577" s="3" t="s">
        <v>22</v>
      </c>
      <c r="C1577" s="3">
        <v>748421</v>
      </c>
      <c r="D1577" s="3">
        <v>218583</v>
      </c>
      <c r="E1577" s="3" t="s">
        <v>23</v>
      </c>
    </row>
    <row r="1578" spans="1:5">
      <c r="A1578" s="3" t="s">
        <v>1600</v>
      </c>
      <c r="B1578" s="3" t="s">
        <v>22</v>
      </c>
      <c r="C1578" s="3">
        <v>663408</v>
      </c>
      <c r="D1578" s="3">
        <v>112859</v>
      </c>
      <c r="E1578" s="3" t="s">
        <v>23</v>
      </c>
    </row>
    <row r="1579" spans="1:5">
      <c r="A1579" s="3" t="s">
        <v>1601</v>
      </c>
      <c r="B1579" s="3" t="s">
        <v>22</v>
      </c>
      <c r="C1579" s="3">
        <v>461742</v>
      </c>
      <c r="D1579" s="3">
        <v>6297</v>
      </c>
      <c r="E1579" s="3" t="s">
        <v>23</v>
      </c>
    </row>
    <row r="1580" spans="1:5">
      <c r="A1580" s="3" t="s">
        <v>1602</v>
      </c>
      <c r="B1580" s="3" t="s">
        <v>22</v>
      </c>
      <c r="C1580" s="3">
        <v>434802</v>
      </c>
      <c r="D1580" s="3">
        <v>191592</v>
      </c>
      <c r="E1580" s="3" t="s">
        <v>23</v>
      </c>
    </row>
    <row r="1581" spans="1:5">
      <c r="A1581" s="3" t="s">
        <v>1603</v>
      </c>
      <c r="B1581" s="3" t="s">
        <v>22</v>
      </c>
      <c r="C1581" s="3">
        <v>809573</v>
      </c>
      <c r="D1581" s="3">
        <v>43428</v>
      </c>
      <c r="E1581" s="3" t="s">
        <v>23</v>
      </c>
    </row>
    <row r="1582" spans="1:5">
      <c r="A1582" s="3" t="s">
        <v>1604</v>
      </c>
      <c r="B1582" s="3" t="s">
        <v>22</v>
      </c>
      <c r="C1582" s="3">
        <v>304290</v>
      </c>
      <c r="D1582" s="3">
        <v>27004</v>
      </c>
      <c r="E1582" s="3" t="s">
        <v>23</v>
      </c>
    </row>
    <row r="1583" spans="1:5">
      <c r="A1583" s="3" t="s">
        <v>1605</v>
      </c>
      <c r="B1583" s="3" t="s">
        <v>22</v>
      </c>
      <c r="C1583" s="3">
        <v>499996</v>
      </c>
      <c r="D1583" s="3">
        <v>169072</v>
      </c>
      <c r="E1583" s="3" t="s">
        <v>23</v>
      </c>
    </row>
    <row r="1584" spans="1:5">
      <c r="A1584" s="3" t="s">
        <v>1606</v>
      </c>
      <c r="B1584" s="3" t="s">
        <v>22</v>
      </c>
      <c r="C1584" s="3">
        <v>220551</v>
      </c>
      <c r="D1584" s="3">
        <v>91072</v>
      </c>
      <c r="E1584" s="3" t="s">
        <v>23</v>
      </c>
    </row>
    <row r="1585" spans="1:5">
      <c r="A1585" s="3" t="s">
        <v>1607</v>
      </c>
      <c r="B1585" s="3" t="s">
        <v>22</v>
      </c>
      <c r="C1585" s="3">
        <v>529351</v>
      </c>
      <c r="D1585" s="3">
        <v>63929</v>
      </c>
      <c r="E1585" s="3" t="s">
        <v>23</v>
      </c>
    </row>
    <row r="1586" spans="1:5">
      <c r="A1586" s="3" t="s">
        <v>1608</v>
      </c>
      <c r="B1586" s="3" t="s">
        <v>22</v>
      </c>
      <c r="C1586" s="3">
        <v>333805</v>
      </c>
      <c r="D1586" s="3">
        <v>28546</v>
      </c>
      <c r="E1586" s="3" t="s">
        <v>23</v>
      </c>
    </row>
    <row r="1587" spans="1:5">
      <c r="A1587" s="3" t="s">
        <v>1609</v>
      </c>
      <c r="B1587" s="3" t="s">
        <v>22</v>
      </c>
      <c r="C1587" s="3">
        <v>268259</v>
      </c>
      <c r="D1587" s="3">
        <v>91611</v>
      </c>
      <c r="E1587" s="3" t="s">
        <v>23</v>
      </c>
    </row>
    <row r="1588" spans="1:5">
      <c r="A1588" s="3" t="s">
        <v>1610</v>
      </c>
      <c r="B1588" s="3" t="s">
        <v>22</v>
      </c>
      <c r="C1588" s="3">
        <v>348796</v>
      </c>
      <c r="D1588" s="3">
        <v>128443</v>
      </c>
      <c r="E1588" s="3" t="s">
        <v>23</v>
      </c>
    </row>
    <row r="1589" spans="1:5">
      <c r="A1589" s="3" t="s">
        <v>1611</v>
      </c>
      <c r="B1589" s="3" t="s">
        <v>22</v>
      </c>
      <c r="C1589" s="3">
        <v>298154</v>
      </c>
      <c r="D1589" s="3">
        <v>10297</v>
      </c>
      <c r="E1589" s="3" t="s">
        <v>23</v>
      </c>
    </row>
    <row r="1590" spans="1:5">
      <c r="A1590" s="3" t="s">
        <v>1612</v>
      </c>
      <c r="B1590" s="3" t="s">
        <v>22</v>
      </c>
      <c r="C1590" s="3">
        <v>276206</v>
      </c>
      <c r="D1590" s="3">
        <v>1405</v>
      </c>
      <c r="E1590" s="3" t="s">
        <v>23</v>
      </c>
    </row>
    <row r="1591" spans="1:5">
      <c r="A1591" s="3" t="s">
        <v>1613</v>
      </c>
      <c r="B1591" s="3" t="s">
        <v>22</v>
      </c>
      <c r="C1591" s="3">
        <v>413019</v>
      </c>
      <c r="D1591" s="3">
        <v>157119</v>
      </c>
      <c r="E1591" s="3" t="s">
        <v>23</v>
      </c>
    </row>
    <row r="1592" spans="1:5">
      <c r="A1592" s="3" t="s">
        <v>1614</v>
      </c>
      <c r="B1592" s="3" t="s">
        <v>22</v>
      </c>
      <c r="C1592" s="3">
        <v>543510</v>
      </c>
      <c r="D1592" s="3">
        <v>100198</v>
      </c>
      <c r="E1592" s="3" t="s">
        <v>23</v>
      </c>
    </row>
    <row r="1593" spans="1:5">
      <c r="A1593" s="3" t="s">
        <v>1615</v>
      </c>
      <c r="B1593" s="3" t="s">
        <v>22</v>
      </c>
      <c r="C1593" s="3">
        <v>143109</v>
      </c>
      <c r="D1593" s="3">
        <v>52570</v>
      </c>
      <c r="E1593" s="3" t="s">
        <v>23</v>
      </c>
    </row>
    <row r="1594" spans="1:5">
      <c r="A1594" s="3" t="s">
        <v>1616</v>
      </c>
      <c r="B1594" s="3" t="s">
        <v>22</v>
      </c>
      <c r="C1594" s="3">
        <v>332786</v>
      </c>
      <c r="D1594" s="3">
        <v>57538</v>
      </c>
      <c r="E1594" s="3" t="s">
        <v>23</v>
      </c>
    </row>
    <row r="1595" spans="1:5">
      <c r="A1595" s="3" t="s">
        <v>1617</v>
      </c>
      <c r="B1595" s="3" t="s">
        <v>22</v>
      </c>
      <c r="C1595" s="3">
        <v>225609</v>
      </c>
      <c r="D1595" s="3">
        <v>84108</v>
      </c>
      <c r="E1595" s="3" t="s">
        <v>23</v>
      </c>
    </row>
    <row r="1596" spans="1:5">
      <c r="A1596" s="3" t="s">
        <v>1618</v>
      </c>
      <c r="B1596" s="3" t="s">
        <v>22</v>
      </c>
      <c r="C1596" s="3">
        <v>247400</v>
      </c>
      <c r="D1596" s="3">
        <v>656</v>
      </c>
      <c r="E1596" s="3" t="s">
        <v>23</v>
      </c>
    </row>
    <row r="1597" spans="1:5">
      <c r="A1597" s="3" t="s">
        <v>1619</v>
      </c>
      <c r="B1597" s="3" t="s">
        <v>22</v>
      </c>
      <c r="C1597" s="3">
        <v>487382</v>
      </c>
      <c r="D1597" s="3">
        <v>66795</v>
      </c>
      <c r="E1597" s="3" t="s">
        <v>23</v>
      </c>
    </row>
    <row r="1598" spans="1:5">
      <c r="A1598" s="3" t="s">
        <v>1620</v>
      </c>
      <c r="B1598" s="3" t="s">
        <v>22</v>
      </c>
      <c r="C1598" s="3">
        <v>376341</v>
      </c>
      <c r="D1598" s="3">
        <v>136941</v>
      </c>
      <c r="E1598" s="3" t="s">
        <v>23</v>
      </c>
    </row>
    <row r="1599" spans="1:5">
      <c r="A1599" s="3" t="s">
        <v>1621</v>
      </c>
      <c r="B1599" s="3" t="s">
        <v>22</v>
      </c>
      <c r="C1599" s="3">
        <v>453980</v>
      </c>
      <c r="D1599" s="3">
        <v>163649</v>
      </c>
      <c r="E1599" s="3" t="s">
        <v>23</v>
      </c>
    </row>
    <row r="1600" spans="1:5">
      <c r="A1600" s="3" t="s">
        <v>1622</v>
      </c>
      <c r="B1600" s="3" t="s">
        <v>22</v>
      </c>
      <c r="C1600" s="3">
        <v>242565</v>
      </c>
      <c r="D1600" s="3">
        <v>65659</v>
      </c>
      <c r="E1600" s="3" t="s">
        <v>23</v>
      </c>
    </row>
    <row r="1601" spans="1:5">
      <c r="A1601" s="3" t="s">
        <v>1623</v>
      </c>
      <c r="B1601" s="3" t="s">
        <v>22</v>
      </c>
      <c r="C1601" s="3">
        <v>245208</v>
      </c>
      <c r="D1601" s="3">
        <v>258</v>
      </c>
      <c r="E1601" s="3" t="s">
        <v>23</v>
      </c>
    </row>
    <row r="1602" spans="1:5">
      <c r="A1602" s="3" t="s">
        <v>1624</v>
      </c>
      <c r="B1602" s="3" t="s">
        <v>22</v>
      </c>
      <c r="C1602" s="3">
        <v>352613</v>
      </c>
      <c r="D1602" s="3">
        <v>139047</v>
      </c>
      <c r="E1602" s="3" t="s">
        <v>23</v>
      </c>
    </row>
    <row r="1603" spans="1:5">
      <c r="A1603" s="3" t="s">
        <v>1625</v>
      </c>
      <c r="B1603" s="3" t="s">
        <v>22</v>
      </c>
      <c r="C1603" s="3">
        <v>480013</v>
      </c>
      <c r="D1603" s="3">
        <v>163003</v>
      </c>
      <c r="E1603" s="3" t="s">
        <v>23</v>
      </c>
    </row>
    <row r="1604" spans="1:5">
      <c r="A1604" s="3" t="s">
        <v>1626</v>
      </c>
      <c r="B1604" s="3" t="s">
        <v>22</v>
      </c>
      <c r="C1604" s="3">
        <v>424920</v>
      </c>
      <c r="D1604" s="3">
        <v>155236</v>
      </c>
      <c r="E1604" s="3" t="s">
        <v>23</v>
      </c>
    </row>
    <row r="1605" spans="1:5">
      <c r="A1605" s="3" t="s">
        <v>1627</v>
      </c>
      <c r="B1605" s="3" t="s">
        <v>22</v>
      </c>
      <c r="C1605" s="3">
        <v>480160</v>
      </c>
      <c r="D1605" s="3">
        <v>15030</v>
      </c>
      <c r="E1605" s="3" t="s">
        <v>23</v>
      </c>
    </row>
    <row r="1606" spans="1:5">
      <c r="A1606" s="3" t="s">
        <v>1628</v>
      </c>
      <c r="B1606" s="3" t="s">
        <v>22</v>
      </c>
      <c r="C1606" s="3">
        <v>498813</v>
      </c>
      <c r="D1606" s="3">
        <v>131335</v>
      </c>
      <c r="E1606" s="3" t="s">
        <v>23</v>
      </c>
    </row>
    <row r="1607" spans="1:5">
      <c r="A1607" s="3" t="s">
        <v>1629</v>
      </c>
      <c r="B1607" s="3" t="s">
        <v>22</v>
      </c>
      <c r="C1607" s="3">
        <v>509998</v>
      </c>
      <c r="D1607" s="3">
        <v>86501</v>
      </c>
      <c r="E1607" s="3" t="s">
        <v>23</v>
      </c>
    </row>
    <row r="1608" spans="1:5">
      <c r="A1608" s="3" t="s">
        <v>1630</v>
      </c>
      <c r="B1608" s="3" t="s">
        <v>22</v>
      </c>
      <c r="C1608" s="3">
        <v>550956</v>
      </c>
      <c r="D1608" s="3">
        <v>64185</v>
      </c>
      <c r="E1608" s="3" t="s">
        <v>23</v>
      </c>
    </row>
    <row r="1609" spans="1:5">
      <c r="A1609" s="3" t="s">
        <v>1631</v>
      </c>
      <c r="B1609" s="3" t="s">
        <v>22</v>
      </c>
      <c r="C1609" s="3">
        <v>379852</v>
      </c>
      <c r="D1609" s="3">
        <v>127632</v>
      </c>
      <c r="E1609" s="3" t="s">
        <v>23</v>
      </c>
    </row>
    <row r="1610" spans="1:5">
      <c r="A1610" s="3" t="s">
        <v>1632</v>
      </c>
      <c r="B1610" s="3" t="s">
        <v>22</v>
      </c>
      <c r="C1610" s="3">
        <v>369501</v>
      </c>
      <c r="D1610" s="3">
        <v>128580</v>
      </c>
      <c r="E1610" s="3" t="s">
        <v>23</v>
      </c>
    </row>
    <row r="1611" spans="1:5">
      <c r="A1611" s="3" t="s">
        <v>1633</v>
      </c>
      <c r="B1611" s="3" t="s">
        <v>22</v>
      </c>
      <c r="C1611" s="3">
        <v>191355</v>
      </c>
      <c r="D1611" s="3">
        <v>78244</v>
      </c>
      <c r="E1611" s="3" t="s">
        <v>23</v>
      </c>
    </row>
    <row r="1612" spans="1:5">
      <c r="A1612" s="3" t="s">
        <v>1634</v>
      </c>
      <c r="B1612" s="3" t="s">
        <v>22</v>
      </c>
      <c r="C1612" s="3">
        <v>337098</v>
      </c>
      <c r="D1612" s="3">
        <v>4776</v>
      </c>
      <c r="E1612" s="3" t="s">
        <v>23</v>
      </c>
    </row>
    <row r="1613" spans="1:5">
      <c r="A1613" s="3" t="s">
        <v>1635</v>
      </c>
      <c r="B1613" s="3" t="s">
        <v>22</v>
      </c>
      <c r="C1613" s="3">
        <v>346034</v>
      </c>
      <c r="D1613" s="3">
        <v>59602</v>
      </c>
      <c r="E1613" s="3" t="s">
        <v>23</v>
      </c>
    </row>
    <row r="1614" spans="1:5">
      <c r="A1614" s="3" t="s">
        <v>1636</v>
      </c>
      <c r="B1614" s="3" t="s">
        <v>22</v>
      </c>
      <c r="C1614" s="3">
        <v>674275</v>
      </c>
      <c r="D1614" s="3">
        <v>114778</v>
      </c>
      <c r="E1614" s="3" t="s">
        <v>23</v>
      </c>
    </row>
    <row r="1615" spans="1:5">
      <c r="A1615" s="3" t="s">
        <v>1637</v>
      </c>
      <c r="B1615" s="3" t="s">
        <v>22</v>
      </c>
      <c r="C1615" s="3">
        <v>464636</v>
      </c>
      <c r="D1615" s="3">
        <v>10411</v>
      </c>
      <c r="E1615" s="3" t="s">
        <v>23</v>
      </c>
    </row>
    <row r="1616" spans="1:5">
      <c r="A1616" s="3" t="s">
        <v>1638</v>
      </c>
      <c r="B1616" s="3" t="s">
        <v>22</v>
      </c>
      <c r="C1616" s="3">
        <v>594520</v>
      </c>
      <c r="D1616" s="3">
        <v>162032</v>
      </c>
      <c r="E1616" s="3" t="s">
        <v>23</v>
      </c>
    </row>
    <row r="1617" spans="1:5">
      <c r="A1617" s="3" t="s">
        <v>1639</v>
      </c>
      <c r="B1617" s="3" t="s">
        <v>22</v>
      </c>
      <c r="C1617" s="3">
        <v>286186</v>
      </c>
      <c r="D1617" s="3">
        <v>56692</v>
      </c>
      <c r="E1617" s="3" t="s">
        <v>23</v>
      </c>
    </row>
    <row r="1618" spans="1:5">
      <c r="A1618" s="3" t="s">
        <v>1640</v>
      </c>
      <c r="B1618" s="3" t="s">
        <v>22</v>
      </c>
      <c r="C1618" s="3">
        <v>433854</v>
      </c>
      <c r="D1618" s="3">
        <v>111013</v>
      </c>
      <c r="E1618" s="3" t="s">
        <v>23</v>
      </c>
    </row>
    <row r="1619" spans="1:5">
      <c r="A1619" s="3" t="s">
        <v>1641</v>
      </c>
      <c r="B1619" s="3" t="s">
        <v>22</v>
      </c>
      <c r="C1619" s="3">
        <v>392571</v>
      </c>
      <c r="D1619" s="3">
        <v>63971</v>
      </c>
      <c r="E1619" s="3" t="s">
        <v>23</v>
      </c>
    </row>
    <row r="1620" spans="1:5">
      <c r="A1620" s="3" t="s">
        <v>1642</v>
      </c>
      <c r="B1620" s="3" t="s">
        <v>22</v>
      </c>
      <c r="C1620" s="3">
        <v>405152</v>
      </c>
      <c r="D1620" s="3">
        <v>112474</v>
      </c>
      <c r="E1620" s="3" t="s">
        <v>23</v>
      </c>
    </row>
    <row r="1621" spans="1:5">
      <c r="A1621" s="3" t="s">
        <v>1643</v>
      </c>
      <c r="B1621" s="3" t="s">
        <v>22</v>
      </c>
      <c r="C1621" s="3">
        <v>521163</v>
      </c>
      <c r="D1621" s="3">
        <v>71701</v>
      </c>
      <c r="E1621" s="3" t="s">
        <v>23</v>
      </c>
    </row>
    <row r="1622" spans="1:5">
      <c r="A1622" s="3" t="s">
        <v>1644</v>
      </c>
      <c r="B1622" s="3" t="s">
        <v>22</v>
      </c>
      <c r="C1622" s="3">
        <v>309958</v>
      </c>
      <c r="D1622" s="3">
        <v>62199</v>
      </c>
      <c r="E1622" s="3" t="s">
        <v>23</v>
      </c>
    </row>
    <row r="1623" spans="1:5">
      <c r="A1623" s="3" t="s">
        <v>1645</v>
      </c>
      <c r="B1623" s="3" t="s">
        <v>22</v>
      </c>
      <c r="C1623" s="3">
        <v>411016</v>
      </c>
      <c r="D1623" s="3">
        <v>81735</v>
      </c>
      <c r="E1623" s="3" t="s">
        <v>23</v>
      </c>
    </row>
    <row r="1624" spans="1:5">
      <c r="A1624" s="3" t="s">
        <v>1646</v>
      </c>
      <c r="B1624" s="3" t="s">
        <v>22</v>
      </c>
      <c r="C1624" s="3">
        <v>308407</v>
      </c>
      <c r="D1624" s="3">
        <v>64065</v>
      </c>
      <c r="E1624" s="3" t="s">
        <v>23</v>
      </c>
    </row>
    <row r="1625" spans="1:5">
      <c r="A1625" s="3" t="s">
        <v>1647</v>
      </c>
      <c r="B1625" s="3" t="s">
        <v>22</v>
      </c>
      <c r="C1625" s="3">
        <v>336416</v>
      </c>
      <c r="D1625" s="3">
        <v>88971</v>
      </c>
      <c r="E1625" s="3" t="s">
        <v>23</v>
      </c>
    </row>
    <row r="1626" spans="1:5">
      <c r="A1626" s="3" t="s">
        <v>1648</v>
      </c>
      <c r="B1626" s="3" t="s">
        <v>22</v>
      </c>
      <c r="C1626" s="3">
        <v>327247</v>
      </c>
      <c r="D1626" s="3">
        <v>98246</v>
      </c>
      <c r="E1626" s="3" t="s">
        <v>23</v>
      </c>
    </row>
    <row r="1627" spans="1:5">
      <c r="A1627" s="3" t="s">
        <v>1649</v>
      </c>
      <c r="B1627" s="3" t="s">
        <v>22</v>
      </c>
      <c r="C1627" s="3">
        <v>441858</v>
      </c>
      <c r="D1627" s="3">
        <v>63244</v>
      </c>
      <c r="E1627" s="3" t="s">
        <v>23</v>
      </c>
    </row>
    <row r="1628" spans="1:5">
      <c r="A1628" s="3" t="s">
        <v>1650</v>
      </c>
      <c r="B1628" s="3" t="s">
        <v>22</v>
      </c>
      <c r="C1628" s="3">
        <v>438658</v>
      </c>
      <c r="D1628" s="3">
        <v>19948</v>
      </c>
      <c r="E1628" s="3" t="s">
        <v>23</v>
      </c>
    </row>
    <row r="1629" spans="1:5">
      <c r="A1629" s="3" t="s">
        <v>1651</v>
      </c>
      <c r="B1629" s="3" t="s">
        <v>22</v>
      </c>
      <c r="C1629" s="3">
        <v>440674</v>
      </c>
      <c r="D1629" s="3">
        <v>60079</v>
      </c>
      <c r="E1629" s="3" t="s">
        <v>23</v>
      </c>
    </row>
    <row r="1630" spans="1:5">
      <c r="A1630" s="3" t="s">
        <v>1652</v>
      </c>
      <c r="B1630" s="3" t="s">
        <v>22</v>
      </c>
      <c r="C1630" s="3">
        <v>468352</v>
      </c>
      <c r="D1630" s="3">
        <v>110454</v>
      </c>
      <c r="E1630" s="3" t="s">
        <v>23</v>
      </c>
    </row>
    <row r="1631" spans="1:5">
      <c r="A1631" s="3" t="s">
        <v>1653</v>
      </c>
      <c r="B1631" s="3" t="s">
        <v>22</v>
      </c>
      <c r="C1631" s="3">
        <v>563380</v>
      </c>
      <c r="D1631" s="3">
        <v>167180</v>
      </c>
      <c r="E1631" s="3" t="s">
        <v>23</v>
      </c>
    </row>
    <row r="1632" spans="1:5">
      <c r="A1632" s="3" t="s">
        <v>1654</v>
      </c>
      <c r="B1632" s="3" t="s">
        <v>22</v>
      </c>
      <c r="C1632" s="3">
        <v>310086</v>
      </c>
      <c r="D1632" s="3">
        <v>86585</v>
      </c>
      <c r="E1632" s="3" t="s">
        <v>23</v>
      </c>
    </row>
    <row r="1633" spans="1:5">
      <c r="A1633" s="3" t="s">
        <v>1655</v>
      </c>
      <c r="B1633" s="3" t="s">
        <v>22</v>
      </c>
      <c r="C1633" s="3">
        <v>358248</v>
      </c>
      <c r="D1633" s="3">
        <v>119800</v>
      </c>
      <c r="E1633" s="3" t="s">
        <v>23</v>
      </c>
    </row>
    <row r="1634" spans="1:5">
      <c r="A1634" s="3" t="s">
        <v>1656</v>
      </c>
      <c r="B1634" s="3" t="s">
        <v>22</v>
      </c>
      <c r="C1634" s="3">
        <v>280811</v>
      </c>
      <c r="D1634" s="3">
        <v>57724</v>
      </c>
      <c r="E1634" s="3" t="s">
        <v>23</v>
      </c>
    </row>
    <row r="1635" spans="1:5">
      <c r="A1635" s="3" t="s">
        <v>1657</v>
      </c>
      <c r="B1635" s="3" t="s">
        <v>22</v>
      </c>
      <c r="C1635" s="3">
        <v>492414</v>
      </c>
      <c r="D1635" s="3">
        <v>123086</v>
      </c>
      <c r="E1635" s="3" t="s">
        <v>23</v>
      </c>
    </row>
    <row r="1636" spans="1:5">
      <c r="A1636" s="3" t="s">
        <v>1658</v>
      </c>
      <c r="B1636" s="3" t="s">
        <v>22</v>
      </c>
      <c r="C1636" s="3">
        <v>353822</v>
      </c>
      <c r="D1636" s="3">
        <v>69419</v>
      </c>
      <c r="E1636" s="3" t="s">
        <v>23</v>
      </c>
    </row>
    <row r="1637" spans="1:5">
      <c r="A1637" s="3" t="s">
        <v>1659</v>
      </c>
      <c r="B1637" s="3" t="s">
        <v>22</v>
      </c>
      <c r="C1637" s="3">
        <v>441621</v>
      </c>
      <c r="D1637" s="3">
        <v>62027</v>
      </c>
      <c r="E1637" s="3" t="s">
        <v>23</v>
      </c>
    </row>
    <row r="1638" spans="1:5">
      <c r="A1638" s="3" t="s">
        <v>1660</v>
      </c>
      <c r="B1638" s="3" t="s">
        <v>22</v>
      </c>
      <c r="C1638" s="3">
        <v>343785</v>
      </c>
      <c r="D1638" s="3">
        <v>84241</v>
      </c>
      <c r="E1638" s="3" t="s">
        <v>23</v>
      </c>
    </row>
    <row r="1639" spans="1:5">
      <c r="A1639" s="3" t="s">
        <v>1661</v>
      </c>
      <c r="B1639" s="3" t="s">
        <v>22</v>
      </c>
      <c r="C1639" s="3">
        <v>370553</v>
      </c>
      <c r="D1639" s="3">
        <v>115346</v>
      </c>
      <c r="E1639" s="3" t="s">
        <v>23</v>
      </c>
    </row>
    <row r="1640" spans="1:5">
      <c r="A1640" s="3" t="s">
        <v>1662</v>
      </c>
      <c r="B1640" s="3" t="s">
        <v>22</v>
      </c>
      <c r="C1640" s="3">
        <v>324381</v>
      </c>
      <c r="D1640" s="3">
        <v>2907</v>
      </c>
      <c r="E1640" s="3" t="s">
        <v>23</v>
      </c>
    </row>
    <row r="1641" spans="1:5">
      <c r="A1641" s="3" t="s">
        <v>1663</v>
      </c>
      <c r="B1641" s="3" t="s">
        <v>22</v>
      </c>
      <c r="C1641" s="3">
        <v>376958</v>
      </c>
      <c r="D1641" s="3">
        <v>1179</v>
      </c>
      <c r="E1641" s="3" t="s">
        <v>23</v>
      </c>
    </row>
    <row r="1642" spans="1:5">
      <c r="A1642" s="3" t="s">
        <v>1664</v>
      </c>
      <c r="B1642" s="3" t="s">
        <v>22</v>
      </c>
      <c r="C1642" s="3">
        <v>427257</v>
      </c>
      <c r="D1642" s="3">
        <v>131854</v>
      </c>
      <c r="E1642" s="3" t="s">
        <v>23</v>
      </c>
    </row>
    <row r="1643" spans="1:5">
      <c r="A1643" s="3" t="s">
        <v>1665</v>
      </c>
      <c r="B1643" s="3" t="s">
        <v>22</v>
      </c>
      <c r="C1643" s="3">
        <v>414964</v>
      </c>
      <c r="D1643" s="3">
        <v>37037</v>
      </c>
      <c r="E1643" s="3" t="s">
        <v>23</v>
      </c>
    </row>
    <row r="1644" spans="1:5">
      <c r="A1644" s="3" t="s">
        <v>1666</v>
      </c>
      <c r="B1644" s="3" t="s">
        <v>22</v>
      </c>
      <c r="C1644" s="3">
        <v>375972</v>
      </c>
      <c r="D1644" s="3">
        <v>95785</v>
      </c>
      <c r="E1644" s="3" t="s">
        <v>23</v>
      </c>
    </row>
    <row r="1645" spans="1:5">
      <c r="A1645" s="3" t="s">
        <v>1667</v>
      </c>
      <c r="B1645" s="3" t="s">
        <v>22</v>
      </c>
      <c r="C1645" s="3">
        <v>516664</v>
      </c>
      <c r="D1645" s="3">
        <v>4434</v>
      </c>
      <c r="E1645" s="3" t="s">
        <v>23</v>
      </c>
    </row>
    <row r="1646" spans="1:5">
      <c r="A1646" s="3" t="s">
        <v>1668</v>
      </c>
      <c r="B1646" s="3" t="s">
        <v>22</v>
      </c>
      <c r="C1646" s="3">
        <v>769030</v>
      </c>
      <c r="D1646" s="3">
        <v>201738</v>
      </c>
      <c r="E1646" s="3" t="s">
        <v>23</v>
      </c>
    </row>
    <row r="1647" spans="1:5">
      <c r="A1647" s="3" t="s">
        <v>1669</v>
      </c>
      <c r="B1647" s="3" t="s">
        <v>22</v>
      </c>
      <c r="C1647" s="3">
        <v>380727</v>
      </c>
      <c r="D1647" s="3">
        <v>20717</v>
      </c>
      <c r="E1647" s="3" t="s">
        <v>23</v>
      </c>
    </row>
    <row r="1648" spans="1:5">
      <c r="A1648" s="3" t="s">
        <v>1670</v>
      </c>
      <c r="B1648" s="3" t="s">
        <v>22</v>
      </c>
      <c r="C1648" s="3">
        <v>283374</v>
      </c>
      <c r="D1648" s="3">
        <v>3791</v>
      </c>
      <c r="E1648" s="3" t="s">
        <v>23</v>
      </c>
    </row>
    <row r="1649" spans="1:5">
      <c r="A1649" s="3" t="s">
        <v>1671</v>
      </c>
      <c r="B1649" s="3" t="s">
        <v>22</v>
      </c>
      <c r="C1649" s="3">
        <v>555389</v>
      </c>
      <c r="D1649" s="3">
        <v>111542</v>
      </c>
      <c r="E1649" s="3" t="s">
        <v>23</v>
      </c>
    </row>
    <row r="1650" spans="1:5">
      <c r="A1650" s="3" t="s">
        <v>1672</v>
      </c>
      <c r="B1650" s="3" t="s">
        <v>22</v>
      </c>
      <c r="C1650" s="3">
        <v>393810</v>
      </c>
      <c r="D1650" s="3">
        <v>82370</v>
      </c>
      <c r="E1650" s="3" t="s">
        <v>23</v>
      </c>
    </row>
    <row r="1651" spans="1:5">
      <c r="A1651" s="3" t="s">
        <v>1673</v>
      </c>
      <c r="B1651" s="3" t="s">
        <v>22</v>
      </c>
      <c r="C1651" s="3">
        <v>364889</v>
      </c>
      <c r="D1651" s="3">
        <v>85442</v>
      </c>
      <c r="E1651" s="3" t="s">
        <v>23</v>
      </c>
    </row>
    <row r="1652" spans="1:5">
      <c r="A1652" s="3" t="s">
        <v>1674</v>
      </c>
      <c r="B1652" s="3" t="s">
        <v>22</v>
      </c>
      <c r="C1652" s="3">
        <v>477902</v>
      </c>
      <c r="D1652" s="3">
        <v>58081</v>
      </c>
      <c r="E1652" s="3" t="s">
        <v>23</v>
      </c>
    </row>
    <row r="1653" spans="1:5">
      <c r="A1653" s="3" t="s">
        <v>1675</v>
      </c>
      <c r="B1653" s="3" t="s">
        <v>22</v>
      </c>
      <c r="C1653" s="3">
        <v>473160</v>
      </c>
      <c r="D1653" s="3">
        <v>48863</v>
      </c>
      <c r="E1653" s="3" t="s">
        <v>23</v>
      </c>
    </row>
    <row r="1654" spans="1:5">
      <c r="A1654" s="3" t="s">
        <v>1676</v>
      </c>
      <c r="B1654" s="3" t="s">
        <v>22</v>
      </c>
      <c r="C1654" s="3">
        <v>349519</v>
      </c>
      <c r="D1654" s="3">
        <v>93463</v>
      </c>
      <c r="E1654" s="3" t="s">
        <v>23</v>
      </c>
    </row>
    <row r="1655" spans="1:5">
      <c r="A1655" s="3" t="s">
        <v>1677</v>
      </c>
      <c r="B1655" s="3" t="s">
        <v>22</v>
      </c>
      <c r="C1655" s="3">
        <v>356227</v>
      </c>
      <c r="D1655" s="3">
        <v>91909</v>
      </c>
      <c r="E1655" s="3" t="s">
        <v>23</v>
      </c>
    </row>
    <row r="1656" spans="1:5">
      <c r="A1656" s="3" t="s">
        <v>1678</v>
      </c>
      <c r="B1656" s="3" t="s">
        <v>22</v>
      </c>
      <c r="C1656" s="3">
        <v>416302</v>
      </c>
      <c r="D1656" s="3">
        <v>121434</v>
      </c>
      <c r="E1656" s="3" t="s">
        <v>23</v>
      </c>
    </row>
    <row r="1657" spans="1:5">
      <c r="A1657" s="3" t="s">
        <v>1679</v>
      </c>
      <c r="B1657" s="3" t="s">
        <v>22</v>
      </c>
      <c r="C1657" s="3">
        <v>95893</v>
      </c>
      <c r="D1657" s="3">
        <v>37131</v>
      </c>
      <c r="E1657" s="3" t="s">
        <v>23</v>
      </c>
    </row>
    <row r="1658" spans="1:5">
      <c r="A1658" s="3" t="s">
        <v>1680</v>
      </c>
      <c r="B1658" s="3" t="s">
        <v>22</v>
      </c>
      <c r="C1658" s="3">
        <v>390869</v>
      </c>
      <c r="D1658" s="3">
        <v>89666</v>
      </c>
      <c r="E1658" s="3" t="s">
        <v>23</v>
      </c>
    </row>
    <row r="1659" spans="1:5">
      <c r="A1659" s="3" t="s">
        <v>1681</v>
      </c>
      <c r="B1659" s="3" t="s">
        <v>22</v>
      </c>
      <c r="C1659" s="3">
        <v>583770</v>
      </c>
      <c r="D1659" s="3">
        <v>106405</v>
      </c>
      <c r="E1659" s="3" t="s">
        <v>23</v>
      </c>
    </row>
    <row r="1660" spans="1:5">
      <c r="A1660" s="3" t="s">
        <v>1682</v>
      </c>
      <c r="B1660" s="3" t="s">
        <v>22</v>
      </c>
      <c r="C1660" s="3">
        <v>467453</v>
      </c>
      <c r="D1660" s="3">
        <v>34422</v>
      </c>
      <c r="E1660" s="3" t="s">
        <v>23</v>
      </c>
    </row>
    <row r="1661" spans="1:5">
      <c r="A1661" s="3" t="s">
        <v>1683</v>
      </c>
      <c r="B1661" s="3" t="s">
        <v>22</v>
      </c>
      <c r="C1661" s="3">
        <v>369717</v>
      </c>
      <c r="D1661" s="3">
        <v>87488</v>
      </c>
      <c r="E1661" s="3" t="s">
        <v>23</v>
      </c>
    </row>
    <row r="1662" spans="1:5">
      <c r="A1662" s="3" t="s">
        <v>1684</v>
      </c>
      <c r="B1662" s="3" t="s">
        <v>22</v>
      </c>
      <c r="C1662" s="3">
        <v>357508</v>
      </c>
      <c r="D1662" s="3">
        <v>39868</v>
      </c>
      <c r="E1662" s="3" t="s">
        <v>23</v>
      </c>
    </row>
    <row r="1663" spans="1:5">
      <c r="A1663" s="3" t="s">
        <v>1685</v>
      </c>
      <c r="B1663" s="3" t="s">
        <v>22</v>
      </c>
      <c r="C1663" s="3">
        <v>293743</v>
      </c>
      <c r="D1663" s="3">
        <v>56916</v>
      </c>
      <c r="E1663" s="3" t="s">
        <v>23</v>
      </c>
    </row>
    <row r="1664" spans="1:5">
      <c r="A1664" s="3" t="s">
        <v>1686</v>
      </c>
      <c r="B1664" s="3" t="s">
        <v>22</v>
      </c>
      <c r="C1664" s="3">
        <v>356876</v>
      </c>
      <c r="D1664" s="3">
        <v>97263</v>
      </c>
      <c r="E1664" s="3" t="s">
        <v>23</v>
      </c>
    </row>
    <row r="1665" spans="1:5">
      <c r="A1665" s="3" t="s">
        <v>1687</v>
      </c>
      <c r="B1665" s="3" t="s">
        <v>22</v>
      </c>
      <c r="C1665" s="3">
        <v>376603</v>
      </c>
      <c r="D1665" s="3">
        <v>83116</v>
      </c>
      <c r="E1665" s="3" t="s">
        <v>23</v>
      </c>
    </row>
    <row r="1666" spans="1:5">
      <c r="A1666" s="3" t="s">
        <v>1688</v>
      </c>
      <c r="B1666" s="3" t="s">
        <v>22</v>
      </c>
      <c r="C1666" s="3">
        <v>501082</v>
      </c>
      <c r="D1666" s="3">
        <v>113228</v>
      </c>
      <c r="E1666" s="3" t="s">
        <v>23</v>
      </c>
    </row>
    <row r="1667" spans="1:5">
      <c r="A1667" s="3" t="s">
        <v>1689</v>
      </c>
      <c r="B1667" s="3" t="s">
        <v>22</v>
      </c>
      <c r="C1667" s="3">
        <v>350911</v>
      </c>
      <c r="D1667" s="3">
        <v>72845</v>
      </c>
      <c r="E1667" s="3" t="s">
        <v>23</v>
      </c>
    </row>
    <row r="1668" spans="1:5">
      <c r="A1668" s="3" t="s">
        <v>1690</v>
      </c>
      <c r="B1668" s="3" t="s">
        <v>22</v>
      </c>
      <c r="C1668" s="3">
        <v>469477</v>
      </c>
      <c r="D1668" s="3">
        <v>24830</v>
      </c>
      <c r="E1668" s="3" t="s">
        <v>23</v>
      </c>
    </row>
    <row r="1669" spans="1:5">
      <c r="A1669" s="3" t="s">
        <v>1691</v>
      </c>
      <c r="B1669" s="3" t="s">
        <v>22</v>
      </c>
      <c r="C1669" s="3">
        <v>361255</v>
      </c>
      <c r="D1669" s="3">
        <v>112079</v>
      </c>
      <c r="E1669" s="3" t="s">
        <v>23</v>
      </c>
    </row>
    <row r="1670" spans="1:5">
      <c r="A1670" s="3" t="s">
        <v>1692</v>
      </c>
      <c r="B1670" s="3" t="s">
        <v>22</v>
      </c>
      <c r="C1670" s="3">
        <v>326825</v>
      </c>
      <c r="D1670" s="3">
        <v>66167</v>
      </c>
      <c r="E1670" s="3" t="s">
        <v>23</v>
      </c>
    </row>
    <row r="1671" spans="1:5">
      <c r="A1671" s="3" t="s">
        <v>1693</v>
      </c>
      <c r="B1671" s="3" t="s">
        <v>22</v>
      </c>
      <c r="C1671" s="3">
        <v>542220</v>
      </c>
      <c r="D1671" s="3">
        <v>26866</v>
      </c>
      <c r="E1671" s="3" t="s">
        <v>23</v>
      </c>
    </row>
    <row r="1672" spans="1:5">
      <c r="A1672" s="3" t="s">
        <v>1694</v>
      </c>
      <c r="B1672" s="3" t="s">
        <v>22</v>
      </c>
      <c r="C1672" s="3">
        <v>275738</v>
      </c>
      <c r="D1672" s="3">
        <v>1113</v>
      </c>
      <c r="E1672" s="3" t="s">
        <v>23</v>
      </c>
    </row>
    <row r="1673" spans="1:5">
      <c r="A1673" s="3" t="s">
        <v>1695</v>
      </c>
      <c r="B1673" s="3" t="s">
        <v>22</v>
      </c>
      <c r="C1673" s="3">
        <v>209306</v>
      </c>
      <c r="D1673" s="3">
        <v>78140</v>
      </c>
      <c r="E1673" s="3" t="s">
        <v>23</v>
      </c>
    </row>
    <row r="1674" spans="1:5">
      <c r="A1674" s="3" t="s">
        <v>1696</v>
      </c>
      <c r="B1674" s="3" t="s">
        <v>22</v>
      </c>
      <c r="C1674" s="3">
        <v>519348</v>
      </c>
      <c r="D1674" s="3">
        <v>130296</v>
      </c>
      <c r="E1674" s="3" t="s">
        <v>23</v>
      </c>
    </row>
    <row r="1675" spans="1:5">
      <c r="A1675" s="3" t="s">
        <v>1697</v>
      </c>
      <c r="B1675" s="3" t="s">
        <v>22</v>
      </c>
      <c r="C1675" s="3">
        <v>436413</v>
      </c>
      <c r="D1675" s="3">
        <v>10271</v>
      </c>
      <c r="E1675" s="3" t="s">
        <v>23</v>
      </c>
    </row>
    <row r="1676" spans="1:5">
      <c r="A1676" s="3" t="s">
        <v>1698</v>
      </c>
      <c r="B1676" s="3" t="s">
        <v>22</v>
      </c>
      <c r="C1676" s="3">
        <v>701273</v>
      </c>
      <c r="D1676" s="3">
        <v>275851</v>
      </c>
      <c r="E1676" s="3" t="s">
        <v>23</v>
      </c>
    </row>
    <row r="1677" spans="1:5">
      <c r="A1677" s="3" t="s">
        <v>1699</v>
      </c>
      <c r="B1677" s="3" t="s">
        <v>22</v>
      </c>
      <c r="C1677" s="3">
        <v>306085</v>
      </c>
      <c r="D1677" s="3">
        <v>116942</v>
      </c>
      <c r="E1677" s="3" t="s">
        <v>23</v>
      </c>
    </row>
    <row r="1678" spans="1:5">
      <c r="A1678" s="3" t="s">
        <v>1700</v>
      </c>
      <c r="B1678" s="3" t="s">
        <v>22</v>
      </c>
      <c r="C1678" s="3">
        <v>757171</v>
      </c>
      <c r="D1678" s="3">
        <v>129963</v>
      </c>
      <c r="E1678" s="3" t="s">
        <v>23</v>
      </c>
    </row>
    <row r="1679" spans="1:5">
      <c r="A1679" s="3" t="s">
        <v>1701</v>
      </c>
      <c r="B1679" s="3" t="s">
        <v>22</v>
      </c>
      <c r="C1679" s="3">
        <v>429044</v>
      </c>
      <c r="D1679" s="3">
        <v>23027</v>
      </c>
      <c r="E1679" s="3" t="s">
        <v>23</v>
      </c>
    </row>
    <row r="1680" spans="1:5">
      <c r="A1680" s="3" t="s">
        <v>1702</v>
      </c>
      <c r="B1680" s="3" t="s">
        <v>22</v>
      </c>
      <c r="C1680" s="3">
        <v>511685</v>
      </c>
      <c r="D1680" s="3">
        <v>200555</v>
      </c>
      <c r="E1680" s="3" t="s">
        <v>23</v>
      </c>
    </row>
    <row r="1681" spans="1:5">
      <c r="A1681" s="3" t="s">
        <v>1703</v>
      </c>
      <c r="B1681" s="3" t="s">
        <v>22</v>
      </c>
      <c r="C1681" s="3">
        <v>304964</v>
      </c>
      <c r="D1681" s="3">
        <v>93184</v>
      </c>
      <c r="E1681" s="3" t="s">
        <v>23</v>
      </c>
    </row>
    <row r="1682" spans="1:5">
      <c r="A1682" s="3" t="s">
        <v>1704</v>
      </c>
      <c r="B1682" s="3" t="s">
        <v>22</v>
      </c>
      <c r="C1682" s="3">
        <v>339114</v>
      </c>
      <c r="D1682" s="3">
        <v>8356</v>
      </c>
      <c r="E1682" s="3" t="s">
        <v>23</v>
      </c>
    </row>
    <row r="1683" spans="1:5">
      <c r="A1683" s="3" t="s">
        <v>1705</v>
      </c>
      <c r="B1683" s="3" t="s">
        <v>22</v>
      </c>
      <c r="C1683" s="3">
        <v>376796</v>
      </c>
      <c r="D1683" s="3">
        <v>3594</v>
      </c>
      <c r="E1683" s="3" t="s">
        <v>23</v>
      </c>
    </row>
    <row r="1684" spans="1:5">
      <c r="A1684" s="3" t="s">
        <v>1706</v>
      </c>
      <c r="B1684" s="3" t="s">
        <v>22</v>
      </c>
      <c r="C1684" s="3">
        <v>468159</v>
      </c>
      <c r="D1684" s="3">
        <v>209601</v>
      </c>
      <c r="E1684" s="3" t="s">
        <v>23</v>
      </c>
    </row>
    <row r="1685" spans="1:5">
      <c r="A1685" s="3" t="s">
        <v>1707</v>
      </c>
      <c r="B1685" s="3" t="s">
        <v>22</v>
      </c>
      <c r="C1685" s="3">
        <v>683459</v>
      </c>
      <c r="D1685" s="3">
        <v>201477</v>
      </c>
      <c r="E1685" s="3" t="s">
        <v>23</v>
      </c>
    </row>
    <row r="1686" spans="1:5">
      <c r="A1686" s="3" t="s">
        <v>1708</v>
      </c>
      <c r="B1686" s="3" t="s">
        <v>22</v>
      </c>
      <c r="C1686" s="3">
        <v>344354</v>
      </c>
      <c r="D1686" s="3">
        <v>130508</v>
      </c>
      <c r="E1686" s="3" t="s">
        <v>23</v>
      </c>
    </row>
    <row r="1687" spans="1:5">
      <c r="A1687" s="3" t="s">
        <v>1709</v>
      </c>
      <c r="B1687" s="3" t="s">
        <v>22</v>
      </c>
      <c r="C1687" s="3">
        <v>390832</v>
      </c>
      <c r="D1687" s="3">
        <v>73910</v>
      </c>
      <c r="E1687" s="3" t="s">
        <v>23</v>
      </c>
    </row>
    <row r="1688" spans="1:5">
      <c r="A1688" s="3" t="s">
        <v>1710</v>
      </c>
      <c r="B1688" s="3" t="s">
        <v>22</v>
      </c>
      <c r="C1688" s="3">
        <v>287075</v>
      </c>
      <c r="D1688" s="3">
        <v>105020</v>
      </c>
      <c r="E1688" s="3" t="s">
        <v>23</v>
      </c>
    </row>
    <row r="1689" spans="1:5">
      <c r="A1689" s="3" t="s">
        <v>1711</v>
      </c>
      <c r="B1689" s="3" t="s">
        <v>22</v>
      </c>
      <c r="C1689" s="3">
        <v>603422</v>
      </c>
      <c r="D1689" s="3">
        <v>3779</v>
      </c>
      <c r="E1689" s="3" t="s">
        <v>23</v>
      </c>
    </row>
    <row r="1690" spans="1:5">
      <c r="A1690" s="3" t="s">
        <v>1712</v>
      </c>
      <c r="B1690" s="3" t="s">
        <v>22</v>
      </c>
      <c r="C1690" s="3">
        <v>815239</v>
      </c>
      <c r="D1690" s="3">
        <v>154198</v>
      </c>
      <c r="E1690" s="3" t="s">
        <v>23</v>
      </c>
    </row>
    <row r="1691" spans="1:5">
      <c r="A1691" s="3" t="s">
        <v>1713</v>
      </c>
      <c r="B1691" s="3" t="s">
        <v>22</v>
      </c>
      <c r="C1691" s="3">
        <v>404324</v>
      </c>
      <c r="D1691" s="3">
        <v>160619</v>
      </c>
      <c r="E1691" s="3" t="s">
        <v>23</v>
      </c>
    </row>
    <row r="1692" spans="1:5">
      <c r="A1692" s="3" t="s">
        <v>1714</v>
      </c>
      <c r="B1692" s="3" t="s">
        <v>22</v>
      </c>
      <c r="C1692" s="3">
        <v>626669</v>
      </c>
      <c r="D1692" s="3">
        <v>245880</v>
      </c>
      <c r="E1692" s="3" t="s">
        <v>23</v>
      </c>
    </row>
    <row r="1693" spans="1:5">
      <c r="A1693" s="3" t="s">
        <v>1715</v>
      </c>
      <c r="B1693" s="3" t="s">
        <v>22</v>
      </c>
      <c r="C1693" s="3">
        <v>415497</v>
      </c>
      <c r="D1693" s="3">
        <v>130238</v>
      </c>
      <c r="E1693" s="3" t="s">
        <v>23</v>
      </c>
    </row>
    <row r="1694" spans="1:5">
      <c r="A1694" s="3" t="s">
        <v>1716</v>
      </c>
      <c r="B1694" s="3" t="s">
        <v>22</v>
      </c>
      <c r="C1694" s="3">
        <v>337089</v>
      </c>
      <c r="D1694" s="3">
        <v>3126</v>
      </c>
      <c r="E1694" s="3" t="s">
        <v>23</v>
      </c>
    </row>
    <row r="1695" spans="1:5">
      <c r="A1695" s="3" t="s">
        <v>1717</v>
      </c>
      <c r="B1695" s="3" t="s">
        <v>22</v>
      </c>
      <c r="C1695" s="3">
        <v>469145</v>
      </c>
      <c r="D1695" s="3">
        <v>164391</v>
      </c>
      <c r="E1695" s="3" t="s">
        <v>23</v>
      </c>
    </row>
    <row r="1696" spans="1:5">
      <c r="A1696" s="3" t="s">
        <v>1718</v>
      </c>
      <c r="B1696" s="3" t="s">
        <v>22</v>
      </c>
      <c r="C1696" s="3">
        <v>680289</v>
      </c>
      <c r="D1696" s="3">
        <v>228456</v>
      </c>
      <c r="E1696" s="3" t="s">
        <v>23</v>
      </c>
    </row>
    <row r="1697" spans="1:5">
      <c r="A1697" s="3" t="s">
        <v>1719</v>
      </c>
      <c r="B1697" s="3" t="s">
        <v>22</v>
      </c>
      <c r="C1697" s="3">
        <v>574642</v>
      </c>
      <c r="D1697" s="3">
        <v>207506</v>
      </c>
      <c r="E1697" s="3" t="s">
        <v>23</v>
      </c>
    </row>
    <row r="1698" spans="1:5">
      <c r="A1698" s="3" t="s">
        <v>1720</v>
      </c>
      <c r="B1698" s="3" t="s">
        <v>22</v>
      </c>
      <c r="C1698" s="3">
        <v>522722</v>
      </c>
      <c r="D1698" s="3">
        <v>68586</v>
      </c>
      <c r="E1698" s="3" t="s">
        <v>23</v>
      </c>
    </row>
    <row r="1699" spans="1:5">
      <c r="A1699" s="3" t="s">
        <v>1721</v>
      </c>
      <c r="B1699" s="3" t="s">
        <v>22</v>
      </c>
      <c r="C1699" s="3">
        <v>280</v>
      </c>
      <c r="D1699" s="3">
        <v>168</v>
      </c>
      <c r="E1699" s="3" t="s">
        <v>23</v>
      </c>
    </row>
    <row r="1700" spans="1:5">
      <c r="A1700" s="3" t="s">
        <v>1722</v>
      </c>
      <c r="B1700" s="3" t="s">
        <v>22</v>
      </c>
      <c r="C1700" s="3">
        <v>538499</v>
      </c>
      <c r="D1700" s="3">
        <v>80806</v>
      </c>
      <c r="E1700" s="3" t="s">
        <v>23</v>
      </c>
    </row>
    <row r="1701" spans="1:5">
      <c r="A1701" s="3" t="s">
        <v>1723</v>
      </c>
      <c r="B1701" s="3" t="s">
        <v>22</v>
      </c>
      <c r="C1701" s="3">
        <v>712676</v>
      </c>
      <c r="D1701" s="3">
        <v>181728</v>
      </c>
      <c r="E1701" s="3" t="s">
        <v>23</v>
      </c>
    </row>
    <row r="1702" spans="1:5">
      <c r="A1702" s="3" t="s">
        <v>1724</v>
      </c>
      <c r="B1702" s="3" t="s">
        <v>22</v>
      </c>
      <c r="C1702" s="3">
        <v>637200</v>
      </c>
      <c r="D1702" s="3">
        <v>202372</v>
      </c>
      <c r="E1702" s="3" t="s">
        <v>23</v>
      </c>
    </row>
    <row r="1703" spans="1:5">
      <c r="A1703" s="3" t="s">
        <v>1725</v>
      </c>
      <c r="B1703" s="3" t="s">
        <v>22</v>
      </c>
      <c r="C1703" s="3">
        <v>567087</v>
      </c>
      <c r="D1703" s="3">
        <v>193870</v>
      </c>
      <c r="E1703" s="3" t="s">
        <v>23</v>
      </c>
    </row>
    <row r="1704" spans="1:5">
      <c r="A1704" s="3" t="s">
        <v>1726</v>
      </c>
      <c r="B1704" s="3" t="s">
        <v>22</v>
      </c>
      <c r="C1704" s="3">
        <v>360596</v>
      </c>
      <c r="D1704" s="3">
        <v>150538</v>
      </c>
      <c r="E1704" s="3" t="s">
        <v>23</v>
      </c>
    </row>
    <row r="1705" spans="1:5">
      <c r="A1705" s="3" t="s">
        <v>1727</v>
      </c>
      <c r="B1705" s="3" t="s">
        <v>22</v>
      </c>
      <c r="C1705" s="3">
        <v>436914</v>
      </c>
      <c r="D1705" s="3">
        <v>2708</v>
      </c>
      <c r="E1705" s="3" t="s">
        <v>23</v>
      </c>
    </row>
    <row r="1706" spans="1:5">
      <c r="A1706" s="3" t="s">
        <v>1728</v>
      </c>
      <c r="B1706" s="3" t="s">
        <v>22</v>
      </c>
      <c r="C1706" s="3">
        <v>502767</v>
      </c>
      <c r="D1706" s="3">
        <v>83381</v>
      </c>
      <c r="E1706" s="3" t="s">
        <v>23</v>
      </c>
    </row>
    <row r="1707" spans="1:5">
      <c r="A1707" s="3" t="s">
        <v>1729</v>
      </c>
      <c r="B1707" s="3" t="s">
        <v>22</v>
      </c>
      <c r="C1707" s="3">
        <v>746168</v>
      </c>
      <c r="D1707" s="3">
        <v>122451</v>
      </c>
      <c r="E1707" s="3" t="s">
        <v>23</v>
      </c>
    </row>
    <row r="1708" spans="1:5">
      <c r="A1708" s="3" t="s">
        <v>1730</v>
      </c>
      <c r="B1708" s="3" t="s">
        <v>22</v>
      </c>
      <c r="C1708" s="3">
        <v>764270</v>
      </c>
      <c r="D1708" s="3">
        <v>40865</v>
      </c>
      <c r="E1708" s="3" t="s">
        <v>23</v>
      </c>
    </row>
    <row r="1709" spans="1:5">
      <c r="A1709" s="3" t="s">
        <v>1731</v>
      </c>
      <c r="B1709" s="3" t="s">
        <v>22</v>
      </c>
      <c r="C1709" s="3">
        <v>552890</v>
      </c>
      <c r="D1709" s="3">
        <v>46182</v>
      </c>
      <c r="E1709" s="3" t="s">
        <v>23</v>
      </c>
    </row>
    <row r="1710" spans="1:5">
      <c r="A1710" s="3" t="s">
        <v>1732</v>
      </c>
      <c r="B1710" s="3" t="s">
        <v>22</v>
      </c>
      <c r="C1710" s="3">
        <v>346834</v>
      </c>
      <c r="D1710" s="3">
        <v>51412</v>
      </c>
      <c r="E1710" s="3" t="s">
        <v>23</v>
      </c>
    </row>
    <row r="1711" spans="1:5">
      <c r="A1711" s="3" t="s">
        <v>1733</v>
      </c>
      <c r="B1711" s="3" t="s">
        <v>22</v>
      </c>
      <c r="C1711" s="3">
        <v>602606</v>
      </c>
      <c r="D1711" s="3">
        <v>169040</v>
      </c>
      <c r="E1711" s="3" t="s">
        <v>23</v>
      </c>
    </row>
    <row r="1712" spans="1:5">
      <c r="A1712" s="3" t="s">
        <v>1734</v>
      </c>
      <c r="B1712" s="3" t="s">
        <v>22</v>
      </c>
      <c r="C1712" s="3">
        <v>160123</v>
      </c>
      <c r="D1712" s="3">
        <v>41336</v>
      </c>
      <c r="E1712" s="3" t="s">
        <v>23</v>
      </c>
    </row>
    <row r="1713" spans="1:5">
      <c r="A1713" s="3" t="s">
        <v>1735</v>
      </c>
      <c r="B1713" s="3" t="s">
        <v>22</v>
      </c>
      <c r="C1713" s="3">
        <v>638973</v>
      </c>
      <c r="D1713" s="3">
        <v>133984</v>
      </c>
      <c r="E1713" s="3" t="s">
        <v>23</v>
      </c>
    </row>
    <row r="1714" spans="1:5">
      <c r="A1714" s="3" t="s">
        <v>1736</v>
      </c>
      <c r="B1714" s="3" t="s">
        <v>22</v>
      </c>
      <c r="C1714" s="3">
        <v>889805</v>
      </c>
      <c r="D1714" s="3">
        <v>123873</v>
      </c>
      <c r="E1714" s="3" t="s">
        <v>23</v>
      </c>
    </row>
    <row r="1715" spans="1:5">
      <c r="A1715" s="3" t="s">
        <v>1737</v>
      </c>
      <c r="B1715" s="3" t="s">
        <v>22</v>
      </c>
      <c r="C1715" s="3">
        <v>656761</v>
      </c>
      <c r="D1715" s="3">
        <v>99822</v>
      </c>
      <c r="E1715" s="3" t="s">
        <v>23</v>
      </c>
    </row>
    <row r="1716" spans="1:5">
      <c r="A1716" s="3" t="s">
        <v>1738</v>
      </c>
      <c r="B1716" s="3" t="s">
        <v>22</v>
      </c>
      <c r="C1716" s="3">
        <v>826133</v>
      </c>
      <c r="D1716" s="3">
        <v>95494</v>
      </c>
      <c r="E1716" s="3" t="s">
        <v>23</v>
      </c>
    </row>
    <row r="1717" spans="1:5">
      <c r="A1717" s="3" t="s">
        <v>1739</v>
      </c>
      <c r="B1717" s="3" t="s">
        <v>22</v>
      </c>
      <c r="C1717" s="3">
        <v>428628</v>
      </c>
      <c r="D1717" s="3">
        <v>69692</v>
      </c>
      <c r="E1717" s="3" t="s">
        <v>23</v>
      </c>
    </row>
    <row r="1718" spans="1:5">
      <c r="A1718" s="3" t="s">
        <v>1740</v>
      </c>
      <c r="B1718" s="3" t="s">
        <v>22</v>
      </c>
      <c r="C1718" s="3">
        <v>720614</v>
      </c>
      <c r="D1718" s="3">
        <v>95543</v>
      </c>
      <c r="E1718" s="3" t="s">
        <v>23</v>
      </c>
    </row>
    <row r="1719" spans="1:5">
      <c r="A1719" s="3" t="s">
        <v>1741</v>
      </c>
      <c r="B1719" s="3" t="s">
        <v>22</v>
      </c>
      <c r="C1719" s="3">
        <v>239642</v>
      </c>
      <c r="D1719" s="3">
        <v>92854</v>
      </c>
      <c r="E1719" s="3" t="s">
        <v>23</v>
      </c>
    </row>
    <row r="1720" spans="1:5">
      <c r="A1720" s="3" t="s">
        <v>1742</v>
      </c>
      <c r="B1720" s="3" t="s">
        <v>22</v>
      </c>
      <c r="C1720" s="3">
        <v>913389</v>
      </c>
      <c r="D1720" s="3">
        <v>284637</v>
      </c>
      <c r="E1720" s="3" t="s">
        <v>23</v>
      </c>
    </row>
    <row r="1721" spans="1:5">
      <c r="A1721" s="3" t="s">
        <v>1743</v>
      </c>
      <c r="B1721" s="3" t="s">
        <v>22</v>
      </c>
      <c r="C1721" s="3">
        <v>112109</v>
      </c>
      <c r="D1721" s="3">
        <v>2707</v>
      </c>
      <c r="E1721" s="3" t="s">
        <v>23</v>
      </c>
    </row>
    <row r="1722" spans="1:5">
      <c r="A1722" s="3" t="s">
        <v>1744</v>
      </c>
      <c r="B1722" s="3" t="s">
        <v>22</v>
      </c>
      <c r="C1722" s="3">
        <v>602275</v>
      </c>
      <c r="D1722" s="3">
        <v>32710</v>
      </c>
      <c r="E1722" s="3" t="s">
        <v>23</v>
      </c>
    </row>
    <row r="1723" spans="1:5">
      <c r="A1723" s="3" t="s">
        <v>1745</v>
      </c>
      <c r="B1723" s="3" t="s">
        <v>22</v>
      </c>
      <c r="C1723" s="3">
        <v>580829</v>
      </c>
      <c r="D1723" s="3">
        <v>94952</v>
      </c>
      <c r="E1723" s="3" t="s">
        <v>23</v>
      </c>
    </row>
    <row r="1724" spans="1:5">
      <c r="A1724" s="3" t="s">
        <v>1746</v>
      </c>
      <c r="B1724" s="3" t="s">
        <v>22</v>
      </c>
      <c r="C1724" s="3">
        <v>785920</v>
      </c>
      <c r="D1724" s="3">
        <v>219269</v>
      </c>
      <c r="E1724" s="3" t="s">
        <v>23</v>
      </c>
    </row>
    <row r="1725" spans="1:5">
      <c r="A1725" s="3" t="s">
        <v>1747</v>
      </c>
      <c r="B1725" s="3" t="s">
        <v>22</v>
      </c>
      <c r="C1725" s="3">
        <v>437737</v>
      </c>
      <c r="D1725" s="3">
        <v>78986</v>
      </c>
      <c r="E1725" s="3" t="s">
        <v>23</v>
      </c>
    </row>
    <row r="1726" spans="1:5">
      <c r="A1726" s="3" t="s">
        <v>1748</v>
      </c>
      <c r="B1726" s="3" t="s">
        <v>22</v>
      </c>
      <c r="C1726" s="3">
        <v>572525</v>
      </c>
      <c r="D1726" s="3">
        <v>160568</v>
      </c>
      <c r="E1726" s="3" t="s">
        <v>23</v>
      </c>
    </row>
    <row r="1727" spans="1:5">
      <c r="A1727" s="3" t="s">
        <v>1749</v>
      </c>
      <c r="B1727" s="3" t="s">
        <v>22</v>
      </c>
      <c r="C1727" s="3">
        <v>572184</v>
      </c>
      <c r="D1727" s="3">
        <v>94468</v>
      </c>
      <c r="E1727" s="3" t="s">
        <v>23</v>
      </c>
    </row>
    <row r="1728" spans="1:5">
      <c r="A1728" s="3" t="s">
        <v>1750</v>
      </c>
      <c r="B1728" s="3" t="s">
        <v>22</v>
      </c>
      <c r="C1728" s="3">
        <v>375465</v>
      </c>
      <c r="D1728" s="3">
        <v>10355</v>
      </c>
      <c r="E1728" s="3" t="s">
        <v>23</v>
      </c>
    </row>
    <row r="1729" spans="1:5">
      <c r="A1729" s="3" t="s">
        <v>1751</v>
      </c>
      <c r="B1729" s="3" t="s">
        <v>22</v>
      </c>
      <c r="C1729" s="3">
        <v>689176</v>
      </c>
      <c r="D1729" s="3">
        <v>63893</v>
      </c>
      <c r="E1729" s="3" t="s">
        <v>23</v>
      </c>
    </row>
    <row r="1730" spans="1:5">
      <c r="A1730" s="3" t="s">
        <v>1752</v>
      </c>
      <c r="B1730" s="3" t="s">
        <v>22</v>
      </c>
      <c r="C1730" s="3">
        <v>547370</v>
      </c>
      <c r="D1730" s="3">
        <v>46442</v>
      </c>
      <c r="E1730" s="3" t="s">
        <v>23</v>
      </c>
    </row>
    <row r="1731" spans="1:5">
      <c r="A1731" s="3" t="s">
        <v>1753</v>
      </c>
      <c r="B1731" s="3" t="s">
        <v>22</v>
      </c>
      <c r="C1731" s="3">
        <v>573334</v>
      </c>
      <c r="D1731" s="3">
        <v>180916</v>
      </c>
      <c r="E1731" s="3" t="s">
        <v>23</v>
      </c>
    </row>
    <row r="1732" spans="1:5">
      <c r="A1732" s="3" t="s">
        <v>1754</v>
      </c>
      <c r="B1732" s="3" t="s">
        <v>22</v>
      </c>
      <c r="C1732" s="3">
        <v>633676</v>
      </c>
      <c r="D1732" s="3">
        <v>187590</v>
      </c>
      <c r="E1732" s="3" t="s">
        <v>23</v>
      </c>
    </row>
    <row r="1733" spans="1:5">
      <c r="A1733" s="3" t="s">
        <v>1755</v>
      </c>
      <c r="B1733" s="3" t="s">
        <v>22</v>
      </c>
      <c r="C1733" s="3">
        <v>504745</v>
      </c>
      <c r="D1733" s="3">
        <v>14580</v>
      </c>
      <c r="E1733" s="3" t="s">
        <v>23</v>
      </c>
    </row>
    <row r="1734" spans="1:5">
      <c r="A1734" s="3" t="s">
        <v>1756</v>
      </c>
      <c r="B1734" s="3" t="s">
        <v>22</v>
      </c>
      <c r="C1734" s="3">
        <v>757760</v>
      </c>
      <c r="D1734" s="3">
        <v>207</v>
      </c>
      <c r="E1734" s="3" t="s">
        <v>23</v>
      </c>
    </row>
    <row r="1735" spans="1:5">
      <c r="A1735" s="3" t="s">
        <v>1757</v>
      </c>
      <c r="B1735" s="3" t="s">
        <v>22</v>
      </c>
      <c r="C1735" s="3">
        <v>616327</v>
      </c>
      <c r="D1735" s="3">
        <v>174642</v>
      </c>
      <c r="E1735" s="3" t="s">
        <v>23</v>
      </c>
    </row>
    <row r="1736" spans="1:5">
      <c r="A1736" s="3" t="s">
        <v>1758</v>
      </c>
      <c r="B1736" s="3" t="s">
        <v>22</v>
      </c>
      <c r="C1736" s="3">
        <v>666233</v>
      </c>
      <c r="D1736" s="3">
        <v>155260</v>
      </c>
      <c r="E1736" s="3" t="s">
        <v>23</v>
      </c>
    </row>
    <row r="1737" spans="1:5">
      <c r="A1737" s="3" t="s">
        <v>1759</v>
      </c>
      <c r="B1737" s="3" t="s">
        <v>22</v>
      </c>
      <c r="C1737" s="3">
        <v>661584</v>
      </c>
      <c r="D1737" s="3">
        <v>152069</v>
      </c>
      <c r="E1737" s="3" t="s">
        <v>23</v>
      </c>
    </row>
    <row r="1738" spans="1:5">
      <c r="A1738" s="3" t="s">
        <v>1760</v>
      </c>
      <c r="B1738" s="3" t="s">
        <v>22</v>
      </c>
      <c r="C1738" s="3">
        <v>202103</v>
      </c>
      <c r="D1738" s="3">
        <v>46338</v>
      </c>
      <c r="E1738" s="3" t="s">
        <v>23</v>
      </c>
    </row>
    <row r="1739" spans="1:5">
      <c r="A1739" s="3" t="s">
        <v>1761</v>
      </c>
      <c r="B1739" s="3" t="s">
        <v>22</v>
      </c>
      <c r="C1739" s="3">
        <v>637604</v>
      </c>
      <c r="D1739" s="3">
        <v>23447</v>
      </c>
      <c r="E1739" s="3" t="s">
        <v>23</v>
      </c>
    </row>
    <row r="1740" spans="1:5">
      <c r="A1740" s="3" t="s">
        <v>1762</v>
      </c>
      <c r="B1740" s="3" t="s">
        <v>22</v>
      </c>
      <c r="C1740" s="3">
        <v>358920</v>
      </c>
      <c r="D1740" s="3">
        <v>17073</v>
      </c>
      <c r="E1740" s="3" t="s">
        <v>23</v>
      </c>
    </row>
    <row r="1741" spans="1:5">
      <c r="A1741" s="3" t="s">
        <v>1763</v>
      </c>
      <c r="B1741" s="3" t="s">
        <v>22</v>
      </c>
      <c r="C1741" s="3">
        <v>395072</v>
      </c>
      <c r="D1741" s="3">
        <v>5504</v>
      </c>
      <c r="E1741" s="3" t="s">
        <v>23</v>
      </c>
    </row>
    <row r="1742" spans="1:5">
      <c r="A1742" s="3" t="s">
        <v>1764</v>
      </c>
      <c r="B1742" s="3" t="s">
        <v>22</v>
      </c>
      <c r="C1742" s="3">
        <v>505358</v>
      </c>
      <c r="D1742" s="3">
        <v>123772</v>
      </c>
      <c r="E1742" s="3" t="s">
        <v>23</v>
      </c>
    </row>
    <row r="1743" spans="1:5">
      <c r="A1743" s="3" t="s">
        <v>1765</v>
      </c>
      <c r="B1743" s="3" t="s">
        <v>22</v>
      </c>
      <c r="C1743" s="3">
        <v>581255</v>
      </c>
      <c r="D1743" s="3">
        <v>46951</v>
      </c>
      <c r="E1743" s="3" t="s">
        <v>23</v>
      </c>
    </row>
    <row r="1744" spans="1:5">
      <c r="A1744" s="3" t="s">
        <v>1766</v>
      </c>
      <c r="B1744" s="3" t="s">
        <v>22</v>
      </c>
      <c r="C1744" s="3">
        <v>702762</v>
      </c>
      <c r="D1744" s="3">
        <v>229080</v>
      </c>
      <c r="E1744" s="3" t="s">
        <v>23</v>
      </c>
    </row>
    <row r="1745" spans="1:5">
      <c r="A1745" s="3" t="s">
        <v>1767</v>
      </c>
      <c r="B1745" s="3" t="s">
        <v>22</v>
      </c>
      <c r="C1745" s="3">
        <v>486859</v>
      </c>
      <c r="D1745" s="3">
        <v>20085</v>
      </c>
      <c r="E1745" s="3" t="s">
        <v>23</v>
      </c>
    </row>
    <row r="1746" spans="1:5">
      <c r="A1746" s="3" t="s">
        <v>1768</v>
      </c>
      <c r="B1746" s="3" t="s">
        <v>22</v>
      </c>
      <c r="C1746" s="3">
        <v>730938</v>
      </c>
      <c r="D1746" s="3">
        <v>59053</v>
      </c>
      <c r="E1746" s="3" t="s">
        <v>23</v>
      </c>
    </row>
    <row r="1747" spans="1:5">
      <c r="A1747" s="3" t="s">
        <v>1769</v>
      </c>
      <c r="B1747" s="3" t="s">
        <v>22</v>
      </c>
      <c r="C1747" s="3">
        <v>525816</v>
      </c>
      <c r="D1747" s="3">
        <v>87966</v>
      </c>
      <c r="E1747" s="3" t="s">
        <v>23</v>
      </c>
    </row>
    <row r="1748" spans="1:5">
      <c r="A1748" s="3" t="s">
        <v>1770</v>
      </c>
      <c r="B1748" s="3" t="s">
        <v>22</v>
      </c>
      <c r="C1748" s="3">
        <v>422015</v>
      </c>
      <c r="D1748" s="3">
        <v>117303</v>
      </c>
      <c r="E1748" s="3" t="s">
        <v>23</v>
      </c>
    </row>
    <row r="1749" spans="1:5">
      <c r="A1749" s="3" t="s">
        <v>1771</v>
      </c>
      <c r="B1749" s="3" t="s">
        <v>22</v>
      </c>
      <c r="C1749" s="3">
        <v>704332</v>
      </c>
      <c r="D1749" s="3">
        <v>176267</v>
      </c>
      <c r="E1749" s="3" t="s">
        <v>23</v>
      </c>
    </row>
    <row r="1750" spans="1:5">
      <c r="A1750" s="3" t="s">
        <v>1772</v>
      </c>
      <c r="B1750" s="3" t="s">
        <v>22</v>
      </c>
      <c r="C1750" s="3">
        <v>106</v>
      </c>
      <c r="D1750" s="3">
        <v>65</v>
      </c>
      <c r="E1750" s="3" t="s">
        <v>23</v>
      </c>
    </row>
    <row r="1751" spans="1:5">
      <c r="A1751" s="3" t="s">
        <v>1773</v>
      </c>
      <c r="B1751" s="3" t="s">
        <v>22</v>
      </c>
      <c r="C1751" s="3">
        <v>641867</v>
      </c>
      <c r="D1751" s="3">
        <v>76693</v>
      </c>
      <c r="E1751" s="3" t="s">
        <v>23</v>
      </c>
    </row>
    <row r="1752" spans="1:5">
      <c r="A1752" s="3" t="s">
        <v>1774</v>
      </c>
      <c r="B1752" s="3" t="s">
        <v>22</v>
      </c>
      <c r="C1752" s="3">
        <v>767032</v>
      </c>
      <c r="D1752" s="3">
        <v>88853</v>
      </c>
      <c r="E1752" s="3" t="s">
        <v>23</v>
      </c>
    </row>
    <row r="1753" spans="1:5">
      <c r="A1753" s="3" t="s">
        <v>1775</v>
      </c>
      <c r="B1753" s="3" t="s">
        <v>22</v>
      </c>
      <c r="C1753" s="3">
        <v>861126</v>
      </c>
      <c r="D1753" s="3">
        <v>152480</v>
      </c>
      <c r="E1753" s="3" t="s">
        <v>23</v>
      </c>
    </row>
    <row r="1754" spans="1:5">
      <c r="A1754" s="3" t="s">
        <v>1776</v>
      </c>
      <c r="B1754" s="3" t="s">
        <v>22</v>
      </c>
      <c r="C1754" s="3">
        <v>480688</v>
      </c>
      <c r="D1754" s="3">
        <v>46985</v>
      </c>
      <c r="E1754" s="3" t="s">
        <v>23</v>
      </c>
    </row>
    <row r="1755" spans="1:5">
      <c r="A1755" s="3" t="s">
        <v>1777</v>
      </c>
      <c r="B1755" s="3" t="s">
        <v>22</v>
      </c>
      <c r="C1755" s="3">
        <v>745955</v>
      </c>
      <c r="D1755" s="3">
        <v>140023</v>
      </c>
      <c r="E1755" s="3" t="s">
        <v>23</v>
      </c>
    </row>
    <row r="1756" spans="1:5">
      <c r="A1756" s="3" t="s">
        <v>1778</v>
      </c>
      <c r="B1756" s="3" t="s">
        <v>22</v>
      </c>
      <c r="C1756" s="3">
        <v>400072</v>
      </c>
      <c r="D1756" s="3">
        <v>112324</v>
      </c>
      <c r="E1756" s="3" t="s">
        <v>23</v>
      </c>
    </row>
    <row r="1757" spans="1:5">
      <c r="A1757" s="3" t="s">
        <v>1779</v>
      </c>
      <c r="B1757" s="3" t="s">
        <v>22</v>
      </c>
      <c r="C1757" s="3">
        <v>494642</v>
      </c>
      <c r="D1757" s="3">
        <v>109616</v>
      </c>
      <c r="E1757" s="3" t="s">
        <v>23</v>
      </c>
    </row>
    <row r="1758" spans="1:5">
      <c r="A1758" s="3" t="s">
        <v>1780</v>
      </c>
      <c r="B1758" s="3" t="s">
        <v>22</v>
      </c>
      <c r="C1758" s="3">
        <v>460995</v>
      </c>
      <c r="D1758" s="3">
        <v>41830</v>
      </c>
      <c r="E1758" s="3" t="s">
        <v>23</v>
      </c>
    </row>
    <row r="1759" spans="1:5">
      <c r="A1759" s="3" t="s">
        <v>1781</v>
      </c>
      <c r="B1759" s="3" t="s">
        <v>22</v>
      </c>
      <c r="C1759" s="3">
        <v>777570</v>
      </c>
      <c r="D1759" s="3">
        <v>185385</v>
      </c>
      <c r="E1759" s="3" t="s">
        <v>23</v>
      </c>
    </row>
    <row r="1760" spans="1:5">
      <c r="A1760" s="3" t="s">
        <v>1782</v>
      </c>
      <c r="B1760" s="3" t="s">
        <v>22</v>
      </c>
      <c r="C1760" s="3">
        <v>469421</v>
      </c>
      <c r="D1760" s="3">
        <v>61788</v>
      </c>
      <c r="E1760" s="3" t="s">
        <v>23</v>
      </c>
    </row>
    <row r="1761" spans="1:5">
      <c r="A1761" s="3" t="s">
        <v>1783</v>
      </c>
      <c r="B1761" s="3" t="s">
        <v>22</v>
      </c>
      <c r="C1761" s="3">
        <v>599899</v>
      </c>
      <c r="D1761" s="3">
        <v>135592</v>
      </c>
      <c r="E1761" s="3" t="s">
        <v>23</v>
      </c>
    </row>
    <row r="1762" spans="1:5">
      <c r="A1762" s="3" t="s">
        <v>1784</v>
      </c>
      <c r="B1762" s="3" t="s">
        <v>22</v>
      </c>
      <c r="C1762" s="3">
        <v>468614</v>
      </c>
      <c r="D1762" s="3">
        <v>143668</v>
      </c>
      <c r="E1762" s="3" t="s">
        <v>23</v>
      </c>
    </row>
    <row r="1763" spans="1:5">
      <c r="A1763" s="3" t="s">
        <v>1785</v>
      </c>
      <c r="B1763" s="3" t="s">
        <v>22</v>
      </c>
      <c r="C1763" s="3">
        <v>600520</v>
      </c>
      <c r="D1763" s="3">
        <v>113460</v>
      </c>
      <c r="E1763" s="3" t="s">
        <v>23</v>
      </c>
    </row>
    <row r="1764" spans="1:5">
      <c r="A1764" s="3" t="s">
        <v>1786</v>
      </c>
      <c r="B1764" s="3" t="s">
        <v>22</v>
      </c>
      <c r="C1764" s="3">
        <v>721584</v>
      </c>
      <c r="D1764" s="3">
        <v>32577</v>
      </c>
      <c r="E1764" s="3" t="s">
        <v>23</v>
      </c>
    </row>
    <row r="1765" spans="1:5">
      <c r="A1765" s="3" t="s">
        <v>1787</v>
      </c>
      <c r="B1765" s="3" t="s">
        <v>22</v>
      </c>
      <c r="C1765" s="3">
        <v>573782</v>
      </c>
      <c r="D1765" s="3">
        <v>6466</v>
      </c>
      <c r="E1765" s="3" t="s">
        <v>23</v>
      </c>
    </row>
    <row r="1766" spans="1:5">
      <c r="A1766" s="3" t="s">
        <v>1788</v>
      </c>
      <c r="B1766" s="3" t="s">
        <v>22</v>
      </c>
      <c r="C1766" s="3">
        <v>425610</v>
      </c>
      <c r="D1766" s="3">
        <v>201746</v>
      </c>
      <c r="E1766" s="3" t="s">
        <v>23</v>
      </c>
    </row>
    <row r="1767" spans="1:5">
      <c r="A1767" s="3" t="s">
        <v>1789</v>
      </c>
      <c r="B1767" s="3" t="s">
        <v>22</v>
      </c>
      <c r="C1767" s="3">
        <v>610334</v>
      </c>
      <c r="D1767" s="3">
        <v>27496</v>
      </c>
      <c r="E1767" s="3" t="s">
        <v>23</v>
      </c>
    </row>
    <row r="1768" spans="1:5">
      <c r="A1768" s="3" t="s">
        <v>1790</v>
      </c>
      <c r="B1768" s="3" t="s">
        <v>22</v>
      </c>
      <c r="C1768" s="3">
        <v>535928</v>
      </c>
      <c r="D1768" s="3">
        <v>35626</v>
      </c>
      <c r="E1768" s="3" t="s">
        <v>23</v>
      </c>
    </row>
    <row r="1769" spans="1:5">
      <c r="A1769" s="3" t="s">
        <v>1791</v>
      </c>
      <c r="B1769" s="3" t="s">
        <v>22</v>
      </c>
      <c r="C1769" s="3">
        <v>2874</v>
      </c>
      <c r="D1769" s="3">
        <v>984</v>
      </c>
      <c r="E1769" s="3" t="s">
        <v>23</v>
      </c>
    </row>
    <row r="1770" spans="1:5">
      <c r="A1770" s="3" t="s">
        <v>1792</v>
      </c>
      <c r="B1770" s="3" t="s">
        <v>22</v>
      </c>
      <c r="C1770" s="3">
        <v>490918</v>
      </c>
      <c r="D1770" s="3">
        <v>227887</v>
      </c>
      <c r="E1770" s="3" t="s">
        <v>23</v>
      </c>
    </row>
    <row r="1771" spans="1:5">
      <c r="A1771" s="3" t="s">
        <v>1793</v>
      </c>
      <c r="B1771" s="3" t="s">
        <v>22</v>
      </c>
      <c r="C1771" s="3">
        <v>521843</v>
      </c>
      <c r="D1771" s="3">
        <v>74070</v>
      </c>
      <c r="E1771" s="3" t="s">
        <v>23</v>
      </c>
    </row>
    <row r="1772" spans="1:5">
      <c r="A1772" s="3" t="s">
        <v>1794</v>
      </c>
      <c r="B1772" s="3" t="s">
        <v>22</v>
      </c>
      <c r="C1772" s="3">
        <v>446075</v>
      </c>
      <c r="D1772" s="3">
        <v>29734</v>
      </c>
      <c r="E1772" s="3" t="s">
        <v>23</v>
      </c>
    </row>
    <row r="1773" spans="1:5">
      <c r="A1773" s="3" t="s">
        <v>1795</v>
      </c>
      <c r="B1773" s="3" t="s">
        <v>22</v>
      </c>
      <c r="C1773" s="3">
        <v>360683</v>
      </c>
      <c r="D1773" s="3">
        <v>158533</v>
      </c>
      <c r="E1773" s="3" t="s">
        <v>23</v>
      </c>
    </row>
    <row r="1774" spans="1:5">
      <c r="A1774" s="3" t="s">
        <v>1796</v>
      </c>
      <c r="B1774" s="3" t="s">
        <v>22</v>
      </c>
      <c r="C1774" s="3">
        <v>567819</v>
      </c>
      <c r="D1774" s="3">
        <v>208794</v>
      </c>
      <c r="E1774" s="3" t="s">
        <v>23</v>
      </c>
    </row>
    <row r="1775" spans="1:5">
      <c r="A1775" s="3" t="s">
        <v>1797</v>
      </c>
      <c r="B1775" s="3" t="s">
        <v>22</v>
      </c>
      <c r="C1775" s="3">
        <v>420031</v>
      </c>
      <c r="D1775" s="3">
        <v>11672</v>
      </c>
      <c r="E1775" s="3" t="s">
        <v>23</v>
      </c>
    </row>
    <row r="1776" spans="1:5">
      <c r="A1776" s="3" t="s">
        <v>1798</v>
      </c>
      <c r="B1776" s="3" t="s">
        <v>22</v>
      </c>
      <c r="C1776" s="3">
        <v>472060</v>
      </c>
      <c r="D1776" s="3">
        <v>9308</v>
      </c>
      <c r="E1776" s="3" t="s">
        <v>23</v>
      </c>
    </row>
    <row r="1777" spans="1:5">
      <c r="A1777" s="3" t="s">
        <v>1799</v>
      </c>
      <c r="B1777" s="3" t="s">
        <v>22</v>
      </c>
      <c r="C1777" s="3">
        <v>671107</v>
      </c>
      <c r="D1777" s="3">
        <v>288519</v>
      </c>
      <c r="E1777" s="3" t="s">
        <v>23</v>
      </c>
    </row>
    <row r="1778" spans="1:5">
      <c r="A1778" s="3" t="s">
        <v>1800</v>
      </c>
      <c r="B1778" s="3" t="s">
        <v>22</v>
      </c>
      <c r="C1778" s="3">
        <v>890605</v>
      </c>
      <c r="D1778" s="3">
        <v>226231</v>
      </c>
      <c r="E1778" s="3" t="s">
        <v>23</v>
      </c>
    </row>
    <row r="1779" spans="1:5">
      <c r="A1779" s="3" t="s">
        <v>1801</v>
      </c>
      <c r="B1779" s="3" t="s">
        <v>22</v>
      </c>
      <c r="C1779" s="3">
        <v>367398</v>
      </c>
      <c r="D1779" s="3">
        <v>134610</v>
      </c>
      <c r="E1779" s="3" t="s">
        <v>23</v>
      </c>
    </row>
    <row r="1780" spans="1:5">
      <c r="A1780" s="3" t="s">
        <v>1802</v>
      </c>
      <c r="B1780" s="3" t="s">
        <v>22</v>
      </c>
      <c r="C1780" s="3">
        <v>524245</v>
      </c>
      <c r="D1780" s="3">
        <v>161914</v>
      </c>
      <c r="E1780" s="3" t="s">
        <v>23</v>
      </c>
    </row>
    <row r="1781" spans="1:5">
      <c r="A1781" s="3" t="s">
        <v>1803</v>
      </c>
      <c r="B1781" s="3" t="s">
        <v>22</v>
      </c>
      <c r="C1781" s="3">
        <v>405508</v>
      </c>
      <c r="D1781" s="3">
        <v>162832</v>
      </c>
      <c r="E1781" s="3" t="s">
        <v>23</v>
      </c>
    </row>
    <row r="1782" spans="1:5">
      <c r="A1782" s="3" t="s">
        <v>1804</v>
      </c>
      <c r="B1782" s="3" t="s">
        <v>22</v>
      </c>
      <c r="C1782" s="3">
        <v>352065</v>
      </c>
      <c r="D1782" s="3">
        <v>5070</v>
      </c>
      <c r="E1782" s="3" t="s">
        <v>23</v>
      </c>
    </row>
    <row r="1783" spans="1:5">
      <c r="A1783" s="3" t="s">
        <v>1805</v>
      </c>
      <c r="B1783" s="3" t="s">
        <v>22</v>
      </c>
      <c r="C1783" s="3">
        <v>951366</v>
      </c>
      <c r="D1783" s="3">
        <v>195263</v>
      </c>
      <c r="E1783" s="3" t="s">
        <v>23</v>
      </c>
    </row>
    <row r="1784" spans="1:5">
      <c r="A1784" s="3" t="s">
        <v>1806</v>
      </c>
      <c r="B1784" s="3" t="s">
        <v>22</v>
      </c>
      <c r="C1784" s="3">
        <v>440518</v>
      </c>
      <c r="D1784" s="3">
        <v>188381</v>
      </c>
      <c r="E1784" s="3" t="s">
        <v>23</v>
      </c>
    </row>
    <row r="1785" spans="1:5">
      <c r="A1785" s="3" t="s">
        <v>1807</v>
      </c>
      <c r="B1785" s="3" t="s">
        <v>22</v>
      </c>
      <c r="C1785" s="3">
        <v>763110</v>
      </c>
      <c r="D1785" s="3">
        <v>323012</v>
      </c>
      <c r="E1785" s="3" t="s">
        <v>23</v>
      </c>
    </row>
    <row r="1786" spans="1:5">
      <c r="A1786" s="3" t="s">
        <v>1808</v>
      </c>
      <c r="B1786" s="3" t="s">
        <v>22</v>
      </c>
      <c r="C1786" s="3">
        <v>490601</v>
      </c>
      <c r="D1786" s="3">
        <v>158595</v>
      </c>
      <c r="E1786" s="3" t="s">
        <v>23</v>
      </c>
    </row>
    <row r="1787" spans="1:5">
      <c r="A1787" s="3" t="s">
        <v>1809</v>
      </c>
      <c r="B1787" s="3" t="s">
        <v>22</v>
      </c>
      <c r="C1787" s="3">
        <v>381682</v>
      </c>
      <c r="D1787" s="3">
        <v>593</v>
      </c>
      <c r="E1787" s="3" t="s">
        <v>23</v>
      </c>
    </row>
    <row r="1788" spans="1:5">
      <c r="A1788" s="3" t="s">
        <v>1810</v>
      </c>
      <c r="B1788" s="3" t="s">
        <v>22</v>
      </c>
      <c r="C1788" s="3">
        <v>557030</v>
      </c>
      <c r="D1788" s="3">
        <v>214378</v>
      </c>
      <c r="E1788" s="3" t="s">
        <v>23</v>
      </c>
    </row>
    <row r="1789" spans="1:5">
      <c r="A1789" s="3" t="s">
        <v>1811</v>
      </c>
      <c r="B1789" s="3" t="s">
        <v>22</v>
      </c>
      <c r="C1789" s="3">
        <v>807197</v>
      </c>
      <c r="D1789" s="3">
        <v>366655</v>
      </c>
      <c r="E1789" s="3" t="s">
        <v>23</v>
      </c>
    </row>
    <row r="1790" spans="1:5">
      <c r="A1790" s="3" t="s">
        <v>1812</v>
      </c>
      <c r="B1790" s="3" t="s">
        <v>22</v>
      </c>
      <c r="C1790" s="3">
        <v>314587</v>
      </c>
      <c r="D1790" s="3">
        <v>127682</v>
      </c>
      <c r="E1790" s="3" t="s">
        <v>23</v>
      </c>
    </row>
    <row r="1791" spans="1:5">
      <c r="A1791" s="3" t="s">
        <v>1813</v>
      </c>
      <c r="B1791" s="3" t="s">
        <v>22</v>
      </c>
      <c r="C1791" s="3">
        <v>811997</v>
      </c>
      <c r="D1791" s="3">
        <v>13420</v>
      </c>
      <c r="E1791" s="3" t="s">
        <v>23</v>
      </c>
    </row>
    <row r="1792" spans="1:5">
      <c r="A1792" s="3" t="s">
        <v>1814</v>
      </c>
      <c r="B1792" s="3" t="s">
        <v>22</v>
      </c>
      <c r="C1792" s="3">
        <v>818742</v>
      </c>
      <c r="D1792" s="3">
        <v>333246</v>
      </c>
      <c r="E1792" s="3" t="s">
        <v>23</v>
      </c>
    </row>
    <row r="1793" spans="1:5">
      <c r="A1793" s="3" t="s">
        <v>1815</v>
      </c>
      <c r="B1793" s="3" t="s">
        <v>22</v>
      </c>
      <c r="C1793" s="3">
        <v>790235</v>
      </c>
      <c r="D1793" s="3">
        <v>144472</v>
      </c>
      <c r="E1793" s="3" t="s">
        <v>23</v>
      </c>
    </row>
    <row r="1794" spans="1:5">
      <c r="A1794" s="3" t="s">
        <v>1816</v>
      </c>
      <c r="B1794" s="3" t="s">
        <v>22</v>
      </c>
      <c r="C1794" s="3">
        <v>959464</v>
      </c>
      <c r="D1794" s="3">
        <v>262636</v>
      </c>
      <c r="E1794" s="3" t="s">
        <v>23</v>
      </c>
    </row>
    <row r="1795" spans="1:5">
      <c r="A1795" s="3" t="s">
        <v>1817</v>
      </c>
      <c r="B1795" s="3" t="s">
        <v>22</v>
      </c>
      <c r="C1795" s="3">
        <v>554644</v>
      </c>
      <c r="D1795" s="3">
        <v>122575</v>
      </c>
      <c r="E1795" s="3" t="s">
        <v>23</v>
      </c>
    </row>
    <row r="1796" spans="1:5">
      <c r="A1796" s="3" t="s">
        <v>1818</v>
      </c>
      <c r="B1796" s="3" t="s">
        <v>22</v>
      </c>
      <c r="C1796" s="3">
        <v>563986</v>
      </c>
      <c r="D1796" s="3">
        <v>226970</v>
      </c>
      <c r="E1796" s="3" t="s">
        <v>23</v>
      </c>
    </row>
    <row r="1797" spans="1:5">
      <c r="A1797" s="3" t="s">
        <v>1819</v>
      </c>
      <c r="B1797" s="3" t="s">
        <v>22</v>
      </c>
      <c r="C1797" s="3">
        <v>366530</v>
      </c>
      <c r="D1797" s="3">
        <v>164244</v>
      </c>
      <c r="E1797" s="3" t="s">
        <v>23</v>
      </c>
    </row>
    <row r="1798" spans="1:5">
      <c r="A1798" s="3" t="s">
        <v>1820</v>
      </c>
      <c r="B1798" s="3" t="s">
        <v>22</v>
      </c>
      <c r="C1798" s="3">
        <v>471837</v>
      </c>
      <c r="D1798" s="3">
        <v>48138</v>
      </c>
      <c r="E1798" s="3" t="s">
        <v>23</v>
      </c>
    </row>
    <row r="1799" spans="1:5">
      <c r="A1799" s="3" t="s">
        <v>1821</v>
      </c>
      <c r="B1799" s="3" t="s">
        <v>22</v>
      </c>
      <c r="C1799" s="3">
        <v>822435</v>
      </c>
      <c r="D1799" s="3">
        <v>235773</v>
      </c>
      <c r="E1799" s="3" t="s">
        <v>23</v>
      </c>
    </row>
    <row r="1800" spans="1:5">
      <c r="A1800" s="3" t="s">
        <v>1822</v>
      </c>
      <c r="B1800" s="3" t="s">
        <v>22</v>
      </c>
      <c r="C1800" s="3">
        <v>842462</v>
      </c>
      <c r="D1800" s="3">
        <v>53252</v>
      </c>
      <c r="E1800" s="3" t="s">
        <v>23</v>
      </c>
    </row>
    <row r="1801" spans="1:5">
      <c r="A1801" s="3" t="s">
        <v>1823</v>
      </c>
      <c r="B1801" s="3" t="s">
        <v>22</v>
      </c>
      <c r="C1801" s="3">
        <v>911931</v>
      </c>
      <c r="D1801" s="3">
        <v>15975</v>
      </c>
      <c r="E1801" s="3" t="s">
        <v>23</v>
      </c>
    </row>
    <row r="1802" spans="1:5">
      <c r="A1802" s="3" t="s">
        <v>1824</v>
      </c>
      <c r="B1802" s="3" t="s">
        <v>22</v>
      </c>
      <c r="C1802" s="3">
        <v>1222039</v>
      </c>
      <c r="D1802" s="3">
        <v>377307</v>
      </c>
      <c r="E1802" s="3" t="s">
        <v>23</v>
      </c>
    </row>
    <row r="1803" spans="1:5">
      <c r="A1803" s="3" t="s">
        <v>1825</v>
      </c>
      <c r="B1803" s="3" t="s">
        <v>22</v>
      </c>
      <c r="C1803" s="3">
        <v>515659</v>
      </c>
      <c r="D1803" s="3">
        <v>3871</v>
      </c>
      <c r="E1803" s="3" t="s">
        <v>23</v>
      </c>
    </row>
    <row r="1804" spans="1:5">
      <c r="A1804" s="3" t="s">
        <v>1826</v>
      </c>
      <c r="B1804" s="3" t="s">
        <v>22</v>
      </c>
      <c r="C1804" s="3">
        <v>722762</v>
      </c>
      <c r="D1804" s="3">
        <v>199924</v>
      </c>
      <c r="E1804" s="3" t="s">
        <v>23</v>
      </c>
    </row>
    <row r="1805" spans="1:5">
      <c r="A1805" s="3" t="s">
        <v>1827</v>
      </c>
      <c r="B1805" s="3" t="s">
        <v>22</v>
      </c>
      <c r="C1805" s="3">
        <v>1001041</v>
      </c>
      <c r="D1805" s="3">
        <v>199340</v>
      </c>
      <c r="E1805" s="3" t="s">
        <v>23</v>
      </c>
    </row>
    <row r="1806" spans="1:5">
      <c r="A1806" s="3" t="s">
        <v>1828</v>
      </c>
      <c r="B1806" s="3" t="s">
        <v>22</v>
      </c>
      <c r="C1806" s="3">
        <v>652756</v>
      </c>
      <c r="D1806" s="3">
        <v>172952</v>
      </c>
      <c r="E1806" s="3" t="s">
        <v>23</v>
      </c>
    </row>
    <row r="1807" spans="1:5">
      <c r="A1807" s="3" t="s">
        <v>1829</v>
      </c>
      <c r="B1807" s="3" t="s">
        <v>22</v>
      </c>
      <c r="C1807" s="3">
        <v>862553</v>
      </c>
      <c r="D1807" s="3">
        <v>189547</v>
      </c>
      <c r="E1807" s="3" t="s">
        <v>23</v>
      </c>
    </row>
    <row r="1808" spans="1:5">
      <c r="A1808" s="3" t="s">
        <v>1830</v>
      </c>
      <c r="B1808" s="3" t="s">
        <v>22</v>
      </c>
      <c r="C1808" s="3">
        <v>460519</v>
      </c>
      <c r="D1808" s="3">
        <v>22394</v>
      </c>
      <c r="E1808" s="3" t="s">
        <v>23</v>
      </c>
    </row>
    <row r="1809" spans="1:5">
      <c r="A1809" s="3" t="s">
        <v>1831</v>
      </c>
      <c r="B1809" s="3" t="s">
        <v>22</v>
      </c>
      <c r="C1809" s="3">
        <v>814005</v>
      </c>
      <c r="D1809" s="3">
        <v>181295</v>
      </c>
      <c r="E1809" s="3" t="s">
        <v>23</v>
      </c>
    </row>
    <row r="1810" spans="1:5">
      <c r="A1810" s="3" t="s">
        <v>1832</v>
      </c>
      <c r="B1810" s="3" t="s">
        <v>22</v>
      </c>
      <c r="C1810" s="3">
        <v>563931</v>
      </c>
      <c r="D1810" s="3">
        <v>217117</v>
      </c>
      <c r="E1810" s="3" t="s">
        <v>23</v>
      </c>
    </row>
    <row r="1811" spans="1:5">
      <c r="A1811" s="3" t="s">
        <v>1833</v>
      </c>
      <c r="B1811" s="3" t="s">
        <v>22</v>
      </c>
      <c r="C1811" s="3">
        <v>812054</v>
      </c>
      <c r="D1811" s="3">
        <v>363183</v>
      </c>
      <c r="E1811" s="3" t="s">
        <v>23</v>
      </c>
    </row>
    <row r="1812" spans="1:5">
      <c r="A1812" s="3" t="s">
        <v>1834</v>
      </c>
      <c r="B1812" s="3" t="s">
        <v>22</v>
      </c>
      <c r="C1812" s="3">
        <v>170177</v>
      </c>
      <c r="D1812" s="3">
        <v>64793</v>
      </c>
      <c r="E1812" s="3" t="s">
        <v>23</v>
      </c>
    </row>
    <row r="1813" spans="1:5">
      <c r="A1813" s="3" t="s">
        <v>1835</v>
      </c>
      <c r="B1813" s="3" t="s">
        <v>22</v>
      </c>
      <c r="C1813" s="3">
        <v>1012763</v>
      </c>
      <c r="D1813" s="3">
        <v>406284</v>
      </c>
      <c r="E1813" s="3" t="s">
        <v>23</v>
      </c>
    </row>
    <row r="1814" spans="1:5">
      <c r="A1814" s="3" t="s">
        <v>1836</v>
      </c>
      <c r="B1814" s="3" t="s">
        <v>22</v>
      </c>
      <c r="C1814" s="3">
        <v>722077</v>
      </c>
      <c r="D1814" s="3">
        <v>18846</v>
      </c>
      <c r="E1814" s="3" t="s">
        <v>23</v>
      </c>
    </row>
    <row r="1815" spans="1:5">
      <c r="A1815" s="3" t="s">
        <v>1837</v>
      </c>
      <c r="B1815" s="3" t="s">
        <v>22</v>
      </c>
      <c r="C1815" s="3">
        <v>844675</v>
      </c>
      <c r="D1815" s="3">
        <v>66462</v>
      </c>
      <c r="E1815" s="3" t="s">
        <v>23</v>
      </c>
    </row>
    <row r="1816" spans="1:5">
      <c r="A1816" s="3" t="s">
        <v>1838</v>
      </c>
      <c r="B1816" s="3" t="s">
        <v>22</v>
      </c>
      <c r="C1816" s="3">
        <v>779616</v>
      </c>
      <c r="D1816" s="3">
        <v>152723</v>
      </c>
      <c r="E1816" s="3" t="s">
        <v>23</v>
      </c>
    </row>
    <row r="1817" spans="1:5">
      <c r="A1817" s="3" t="s">
        <v>1839</v>
      </c>
      <c r="B1817" s="3" t="s">
        <v>22</v>
      </c>
      <c r="C1817" s="3">
        <v>803037</v>
      </c>
      <c r="D1817" s="3">
        <v>272762</v>
      </c>
      <c r="E1817" s="3" t="s">
        <v>23</v>
      </c>
    </row>
    <row r="1818" spans="1:5">
      <c r="A1818" s="3" t="s">
        <v>1840</v>
      </c>
      <c r="B1818" s="3" t="s">
        <v>22</v>
      </c>
      <c r="C1818" s="3">
        <v>684876</v>
      </c>
      <c r="D1818" s="3">
        <v>210372</v>
      </c>
      <c r="E1818" s="3" t="s">
        <v>23</v>
      </c>
    </row>
    <row r="1819" spans="1:5">
      <c r="A1819" s="3" t="s">
        <v>1841</v>
      </c>
      <c r="B1819" s="3" t="s">
        <v>22</v>
      </c>
      <c r="C1819" s="3">
        <v>697192</v>
      </c>
      <c r="D1819" s="3">
        <v>271168</v>
      </c>
      <c r="E1819" s="3" t="s">
        <v>23</v>
      </c>
    </row>
    <row r="1820" spans="1:5">
      <c r="A1820" s="3" t="s">
        <v>1842</v>
      </c>
      <c r="B1820" s="3" t="s">
        <v>22</v>
      </c>
      <c r="C1820" s="3">
        <v>652747</v>
      </c>
      <c r="D1820" s="3">
        <v>10064</v>
      </c>
      <c r="E1820" s="3" t="s">
        <v>23</v>
      </c>
    </row>
    <row r="1821" spans="1:5">
      <c r="A1821" s="3" t="s">
        <v>1843</v>
      </c>
      <c r="B1821" s="3" t="s">
        <v>22</v>
      </c>
      <c r="C1821" s="3">
        <v>836955</v>
      </c>
      <c r="D1821" s="3">
        <v>152670</v>
      </c>
      <c r="E1821" s="3" t="s">
        <v>23</v>
      </c>
    </row>
    <row r="1822" spans="1:5">
      <c r="A1822" s="3" t="s">
        <v>1844</v>
      </c>
      <c r="B1822" s="3" t="s">
        <v>22</v>
      </c>
      <c r="C1822" s="3">
        <v>705768</v>
      </c>
      <c r="D1822" s="3">
        <v>200789</v>
      </c>
      <c r="E1822" s="3" t="s">
        <v>23</v>
      </c>
    </row>
    <row r="1823" spans="1:5">
      <c r="A1823" s="3" t="s">
        <v>1845</v>
      </c>
      <c r="B1823" s="3" t="s">
        <v>22</v>
      </c>
      <c r="C1823" s="3">
        <v>679566</v>
      </c>
      <c r="D1823" s="3">
        <v>39478</v>
      </c>
      <c r="E1823" s="3" t="s">
        <v>23</v>
      </c>
    </row>
    <row r="1824" spans="1:5">
      <c r="A1824" s="3" t="s">
        <v>1846</v>
      </c>
      <c r="B1824" s="3" t="s">
        <v>22</v>
      </c>
      <c r="C1824" s="3">
        <v>419259</v>
      </c>
      <c r="D1824" s="3">
        <v>123468</v>
      </c>
      <c r="E1824" s="3" t="s">
        <v>23</v>
      </c>
    </row>
    <row r="1825" spans="1:5">
      <c r="A1825" s="3" t="s">
        <v>1847</v>
      </c>
      <c r="B1825" s="3" t="s">
        <v>22</v>
      </c>
      <c r="C1825" s="3">
        <v>722216</v>
      </c>
      <c r="D1825" s="3">
        <v>173410</v>
      </c>
      <c r="E1825" s="3" t="s">
        <v>23</v>
      </c>
    </row>
    <row r="1826" spans="1:5">
      <c r="A1826" s="3" t="s">
        <v>1848</v>
      </c>
      <c r="B1826" s="3" t="s">
        <v>22</v>
      </c>
      <c r="C1826" s="3">
        <v>747122</v>
      </c>
      <c r="D1826" s="3">
        <v>74612</v>
      </c>
      <c r="E1826" s="3" t="s">
        <v>23</v>
      </c>
    </row>
    <row r="1827" spans="1:5">
      <c r="A1827" s="3" t="s">
        <v>1849</v>
      </c>
      <c r="B1827" s="3" t="s">
        <v>22</v>
      </c>
      <c r="C1827" s="3">
        <v>436476</v>
      </c>
      <c r="D1827" s="3">
        <v>1502</v>
      </c>
      <c r="E1827" s="3" t="s">
        <v>23</v>
      </c>
    </row>
    <row r="1828" spans="1:5">
      <c r="A1828" s="3" t="s">
        <v>1850</v>
      </c>
      <c r="B1828" s="3" t="s">
        <v>22</v>
      </c>
      <c r="C1828" s="3">
        <v>791347</v>
      </c>
      <c r="D1828" s="3">
        <v>342996</v>
      </c>
      <c r="E1828" s="3" t="s">
        <v>23</v>
      </c>
    </row>
    <row r="1829" spans="1:5">
      <c r="A1829" s="3" t="s">
        <v>1851</v>
      </c>
      <c r="B1829" s="3" t="s">
        <v>22</v>
      </c>
      <c r="C1829" s="3">
        <v>719000</v>
      </c>
      <c r="D1829" s="3">
        <v>6987</v>
      </c>
      <c r="E1829" s="3" t="s">
        <v>23</v>
      </c>
    </row>
    <row r="1830" spans="1:5">
      <c r="A1830" s="3" t="s">
        <v>1852</v>
      </c>
      <c r="B1830" s="3" t="s">
        <v>22</v>
      </c>
      <c r="C1830" s="3">
        <v>909055</v>
      </c>
      <c r="D1830" s="3">
        <v>326865</v>
      </c>
      <c r="E1830" s="3" t="s">
        <v>23</v>
      </c>
    </row>
    <row r="1831" spans="1:5">
      <c r="A1831" s="3" t="s">
        <v>1853</v>
      </c>
      <c r="B1831" s="3" t="s">
        <v>22</v>
      </c>
      <c r="C1831" s="3">
        <v>886808</v>
      </c>
      <c r="D1831" s="3">
        <v>131592</v>
      </c>
      <c r="E1831" s="3" t="s">
        <v>23</v>
      </c>
    </row>
    <row r="1832" spans="1:5">
      <c r="A1832" s="3" t="s">
        <v>1854</v>
      </c>
      <c r="B1832" s="3" t="s">
        <v>22</v>
      </c>
      <c r="C1832" s="3">
        <v>1055321</v>
      </c>
      <c r="D1832" s="3">
        <v>293443</v>
      </c>
      <c r="E1832" s="3" t="s">
        <v>23</v>
      </c>
    </row>
    <row r="1833" spans="1:5">
      <c r="A1833" s="3" t="s">
        <v>1855</v>
      </c>
      <c r="B1833" s="3" t="s">
        <v>22</v>
      </c>
      <c r="C1833" s="3">
        <v>642319</v>
      </c>
      <c r="D1833" s="3">
        <v>26028</v>
      </c>
      <c r="E1833" s="3" t="s">
        <v>23</v>
      </c>
    </row>
    <row r="1834" spans="1:5">
      <c r="A1834" s="3" t="s">
        <v>1856</v>
      </c>
      <c r="B1834" s="3" t="s">
        <v>22</v>
      </c>
      <c r="C1834" s="3">
        <v>420630</v>
      </c>
      <c r="D1834" s="3">
        <v>18746</v>
      </c>
      <c r="E1834" s="3" t="s">
        <v>23</v>
      </c>
    </row>
    <row r="1835" spans="1:5">
      <c r="A1835" s="3" t="s">
        <v>1857</v>
      </c>
      <c r="B1835" s="3" t="s">
        <v>22</v>
      </c>
      <c r="C1835" s="3">
        <v>1110646</v>
      </c>
      <c r="D1835" s="3">
        <v>384548</v>
      </c>
      <c r="E1835" s="3" t="s">
        <v>23</v>
      </c>
    </row>
    <row r="1836" spans="1:5">
      <c r="A1836" s="3" t="s">
        <v>1858</v>
      </c>
      <c r="B1836" s="3" t="s">
        <v>22</v>
      </c>
      <c r="C1836" s="3">
        <v>804811</v>
      </c>
      <c r="D1836" s="3">
        <v>138814</v>
      </c>
      <c r="E1836" s="3" t="s">
        <v>23</v>
      </c>
    </row>
    <row r="1837" spans="1:5">
      <c r="A1837" s="3" t="s">
        <v>1859</v>
      </c>
      <c r="B1837" s="3" t="s">
        <v>22</v>
      </c>
      <c r="C1837" s="3">
        <v>645076</v>
      </c>
      <c r="D1837" s="3">
        <v>135519</v>
      </c>
      <c r="E1837" s="3" t="s">
        <v>23</v>
      </c>
    </row>
    <row r="1838" spans="1:5">
      <c r="A1838" s="3" t="s">
        <v>1860</v>
      </c>
      <c r="B1838" s="3" t="s">
        <v>22</v>
      </c>
      <c r="C1838" s="3">
        <v>949023</v>
      </c>
      <c r="D1838" s="3">
        <v>119988</v>
      </c>
      <c r="E1838" s="3" t="s">
        <v>23</v>
      </c>
    </row>
    <row r="1839" spans="1:5">
      <c r="A1839" s="3" t="s">
        <v>1861</v>
      </c>
      <c r="B1839" s="3" t="s">
        <v>22</v>
      </c>
      <c r="C1839" s="3">
        <v>597905</v>
      </c>
      <c r="D1839" s="3">
        <v>139570</v>
      </c>
      <c r="E1839" s="3" t="s">
        <v>23</v>
      </c>
    </row>
    <row r="1840" spans="1:5">
      <c r="A1840" s="3" t="s">
        <v>1862</v>
      </c>
      <c r="B1840" s="3" t="s">
        <v>22</v>
      </c>
      <c r="C1840" s="3">
        <v>762260</v>
      </c>
      <c r="D1840" s="3">
        <v>156244</v>
      </c>
      <c r="E1840" s="3" t="s">
        <v>23</v>
      </c>
    </row>
    <row r="1841" spans="1:5">
      <c r="A1841" s="3" t="s">
        <v>1863</v>
      </c>
      <c r="B1841" s="3" t="s">
        <v>22</v>
      </c>
      <c r="C1841" s="3">
        <v>560160</v>
      </c>
      <c r="D1841" s="3">
        <v>223429</v>
      </c>
      <c r="E1841" s="3" t="s">
        <v>23</v>
      </c>
    </row>
    <row r="1842" spans="1:5">
      <c r="A1842" s="3" t="s">
        <v>1864</v>
      </c>
      <c r="B1842" s="3" t="s">
        <v>22</v>
      </c>
      <c r="C1842" s="3">
        <v>232664</v>
      </c>
      <c r="D1842" s="3">
        <v>3690</v>
      </c>
      <c r="E1842" s="3" t="s">
        <v>23</v>
      </c>
    </row>
    <row r="1843" spans="1:5">
      <c r="A1843" s="3" t="s">
        <v>1865</v>
      </c>
      <c r="B1843" s="3" t="s">
        <v>22</v>
      </c>
      <c r="C1843" s="3">
        <v>230947</v>
      </c>
      <c r="D1843" s="3">
        <v>77409</v>
      </c>
      <c r="E1843" s="3" t="s">
        <v>23</v>
      </c>
    </row>
    <row r="1844" spans="1:5">
      <c r="A1844" s="3" t="s">
        <v>1866</v>
      </c>
      <c r="B1844" s="3" t="s">
        <v>22</v>
      </c>
      <c r="C1844" s="3">
        <v>864358</v>
      </c>
      <c r="D1844" s="3">
        <v>330088</v>
      </c>
      <c r="E1844" s="3" t="s">
        <v>23</v>
      </c>
    </row>
    <row r="1845" spans="1:5">
      <c r="A1845" s="3" t="s">
        <v>1867</v>
      </c>
      <c r="B1845" s="3" t="s">
        <v>22</v>
      </c>
      <c r="C1845" s="3">
        <v>730318</v>
      </c>
      <c r="D1845" s="3">
        <v>148234</v>
      </c>
      <c r="E1845" s="3" t="s">
        <v>23</v>
      </c>
    </row>
    <row r="1846" spans="1:5">
      <c r="A1846" s="3" t="s">
        <v>1868</v>
      </c>
      <c r="B1846" s="3" t="s">
        <v>22</v>
      </c>
      <c r="C1846" s="3">
        <v>1161603</v>
      </c>
      <c r="D1846" s="3">
        <v>250871</v>
      </c>
      <c r="E1846" s="3" t="s">
        <v>23</v>
      </c>
    </row>
    <row r="1847" spans="1:5">
      <c r="A1847" s="3" t="s">
        <v>1869</v>
      </c>
      <c r="B1847" s="3" t="s">
        <v>22</v>
      </c>
      <c r="C1847" s="3">
        <v>733518</v>
      </c>
      <c r="D1847" s="3">
        <v>165327</v>
      </c>
      <c r="E1847" s="3" t="s">
        <v>23</v>
      </c>
    </row>
    <row r="1848" spans="1:5">
      <c r="A1848" s="3" t="s">
        <v>1870</v>
      </c>
      <c r="B1848" s="3" t="s">
        <v>22</v>
      </c>
      <c r="C1848" s="3">
        <v>904321</v>
      </c>
      <c r="D1848" s="3">
        <v>305565</v>
      </c>
      <c r="E1848" s="3" t="s">
        <v>23</v>
      </c>
    </row>
    <row r="1849" spans="1:5">
      <c r="A1849" s="3" t="s">
        <v>1871</v>
      </c>
      <c r="B1849" s="3" t="s">
        <v>22</v>
      </c>
      <c r="C1849" s="3">
        <v>598901</v>
      </c>
      <c r="D1849" s="3">
        <v>162112</v>
      </c>
      <c r="E1849" s="3" t="s">
        <v>23</v>
      </c>
    </row>
    <row r="1850" spans="1:5">
      <c r="A1850" s="3" t="s">
        <v>1872</v>
      </c>
      <c r="B1850" s="3" t="s">
        <v>22</v>
      </c>
      <c r="C1850" s="3">
        <v>875264</v>
      </c>
      <c r="D1850" s="3">
        <v>212879</v>
      </c>
      <c r="E1850" s="3" t="s">
        <v>23</v>
      </c>
    </row>
    <row r="1851" spans="1:5">
      <c r="A1851" s="3" t="s">
        <v>1873</v>
      </c>
      <c r="B1851" s="3" t="s">
        <v>22</v>
      </c>
      <c r="C1851" s="3">
        <v>443216</v>
      </c>
      <c r="D1851" s="3">
        <v>2984</v>
      </c>
      <c r="E1851" s="3" t="s">
        <v>23</v>
      </c>
    </row>
    <row r="1852" spans="1:5">
      <c r="A1852" s="3" t="s">
        <v>1874</v>
      </c>
      <c r="B1852" s="3" t="s">
        <v>22</v>
      </c>
      <c r="C1852" s="3">
        <v>397601</v>
      </c>
      <c r="D1852" s="3">
        <v>30196</v>
      </c>
      <c r="E1852" s="3" t="s">
        <v>23</v>
      </c>
    </row>
    <row r="1853" spans="1:5">
      <c r="A1853" s="3" t="s">
        <v>1875</v>
      </c>
      <c r="B1853" s="3" t="s">
        <v>22</v>
      </c>
      <c r="C1853" s="3">
        <v>628781</v>
      </c>
      <c r="D1853" s="3">
        <v>85679</v>
      </c>
      <c r="E1853" s="3" t="s">
        <v>23</v>
      </c>
    </row>
    <row r="1854" spans="1:5">
      <c r="A1854" s="3" t="s">
        <v>1876</v>
      </c>
      <c r="B1854" s="3" t="s">
        <v>22</v>
      </c>
      <c r="C1854" s="3">
        <v>661490</v>
      </c>
      <c r="D1854" s="3">
        <v>44755</v>
      </c>
      <c r="E1854" s="3" t="s">
        <v>23</v>
      </c>
    </row>
    <row r="1855" spans="1:5">
      <c r="A1855" s="3" t="s">
        <v>1877</v>
      </c>
      <c r="B1855" s="3" t="s">
        <v>22</v>
      </c>
      <c r="C1855" s="3">
        <v>565477</v>
      </c>
      <c r="D1855" s="3">
        <v>148441</v>
      </c>
      <c r="E1855" s="3" t="s">
        <v>23</v>
      </c>
    </row>
    <row r="1856" spans="1:5">
      <c r="A1856" s="3" t="s">
        <v>1878</v>
      </c>
      <c r="B1856" s="3" t="s">
        <v>22</v>
      </c>
      <c r="C1856" s="3">
        <v>534777</v>
      </c>
      <c r="D1856" s="3">
        <v>110584</v>
      </c>
      <c r="E1856" s="3" t="s">
        <v>23</v>
      </c>
    </row>
    <row r="1857" spans="1:5">
      <c r="A1857" s="3" t="s">
        <v>1879</v>
      </c>
      <c r="B1857" s="3" t="s">
        <v>22</v>
      </c>
      <c r="C1857" s="3">
        <v>951620</v>
      </c>
      <c r="D1857" s="3">
        <v>163777</v>
      </c>
      <c r="E1857" s="3" t="s">
        <v>23</v>
      </c>
    </row>
    <row r="1858" spans="1:5">
      <c r="A1858" s="3" t="s">
        <v>1880</v>
      </c>
      <c r="B1858" s="3" t="s">
        <v>22</v>
      </c>
      <c r="C1858" s="3">
        <v>433809</v>
      </c>
      <c r="D1858" s="3">
        <v>1482</v>
      </c>
      <c r="E1858" s="3" t="s">
        <v>23</v>
      </c>
    </row>
    <row r="1859" spans="1:5">
      <c r="A1859" s="3" t="s">
        <v>1881</v>
      </c>
      <c r="B1859" s="3" t="s">
        <v>22</v>
      </c>
      <c r="C1859" s="3">
        <v>545136</v>
      </c>
      <c r="D1859" s="3">
        <v>236339</v>
      </c>
      <c r="E1859" s="3" t="s">
        <v>23</v>
      </c>
    </row>
    <row r="1860" spans="1:5">
      <c r="A1860" s="3" t="s">
        <v>1882</v>
      </c>
      <c r="B1860" s="3" t="s">
        <v>22</v>
      </c>
      <c r="C1860" s="3">
        <v>955684</v>
      </c>
      <c r="D1860" s="3">
        <v>154460</v>
      </c>
      <c r="E1860" s="3" t="s">
        <v>23</v>
      </c>
    </row>
    <row r="1861" spans="1:5">
      <c r="A1861" s="3" t="s">
        <v>1883</v>
      </c>
      <c r="B1861" s="3" t="s">
        <v>22</v>
      </c>
      <c r="C1861" s="3">
        <v>274762</v>
      </c>
      <c r="D1861" s="3">
        <v>34738</v>
      </c>
      <c r="E1861" s="3" t="s">
        <v>23</v>
      </c>
    </row>
    <row r="1862" spans="1:5">
      <c r="A1862" s="3" t="s">
        <v>1884</v>
      </c>
      <c r="B1862" s="3" t="s">
        <v>22</v>
      </c>
      <c r="C1862" s="3">
        <v>467420</v>
      </c>
      <c r="D1862" s="3">
        <v>134366</v>
      </c>
      <c r="E1862" s="3" t="s">
        <v>23</v>
      </c>
    </row>
    <row r="1863" spans="1:5">
      <c r="A1863" s="3" t="s">
        <v>1885</v>
      </c>
      <c r="B1863" s="3" t="s">
        <v>22</v>
      </c>
      <c r="C1863" s="3">
        <v>192418</v>
      </c>
      <c r="D1863" s="3">
        <v>61055</v>
      </c>
      <c r="E1863" s="3" t="s">
        <v>23</v>
      </c>
    </row>
    <row r="1864" spans="1:5">
      <c r="A1864" s="3" t="s">
        <v>1886</v>
      </c>
      <c r="B1864" s="3" t="s">
        <v>22</v>
      </c>
      <c r="C1864" s="3">
        <v>401049</v>
      </c>
      <c r="D1864" s="3">
        <v>67382</v>
      </c>
      <c r="E1864" s="3" t="s">
        <v>23</v>
      </c>
    </row>
    <row r="1865" spans="1:5">
      <c r="A1865" s="3" t="s">
        <v>1887</v>
      </c>
      <c r="B1865" s="3" t="s">
        <v>22</v>
      </c>
      <c r="C1865" s="3">
        <v>572813</v>
      </c>
      <c r="D1865" s="3">
        <v>53568</v>
      </c>
      <c r="E1865" s="3" t="s">
        <v>23</v>
      </c>
    </row>
    <row r="1866" spans="1:5">
      <c r="A1866" s="3" t="s">
        <v>1888</v>
      </c>
      <c r="B1866" s="3" t="s">
        <v>22</v>
      </c>
      <c r="C1866" s="3">
        <v>476917</v>
      </c>
      <c r="D1866" s="3">
        <v>170744</v>
      </c>
      <c r="E1866" s="3" t="s">
        <v>23</v>
      </c>
    </row>
    <row r="1867" spans="1:5">
      <c r="A1867" s="3" t="s">
        <v>1889</v>
      </c>
      <c r="B1867" s="3" t="s">
        <v>22</v>
      </c>
      <c r="C1867" s="3">
        <v>375026</v>
      </c>
      <c r="D1867" s="3">
        <v>113568</v>
      </c>
      <c r="E1867" s="3" t="s">
        <v>23</v>
      </c>
    </row>
    <row r="1868" spans="1:5">
      <c r="A1868" s="3" t="s">
        <v>1890</v>
      </c>
      <c r="B1868" s="3" t="s">
        <v>22</v>
      </c>
      <c r="C1868" s="3">
        <v>262739</v>
      </c>
      <c r="D1868" s="3">
        <v>4743</v>
      </c>
      <c r="E1868" s="3" t="s">
        <v>23</v>
      </c>
    </row>
    <row r="1869" spans="1:5">
      <c r="A1869" s="3" t="s">
        <v>1891</v>
      </c>
      <c r="B1869" s="3" t="s">
        <v>22</v>
      </c>
      <c r="C1869" s="3">
        <v>292773</v>
      </c>
      <c r="D1869" s="3">
        <v>2028</v>
      </c>
      <c r="E1869" s="3" t="s">
        <v>23</v>
      </c>
    </row>
    <row r="1870" spans="1:5">
      <c r="A1870" s="3" t="s">
        <v>1892</v>
      </c>
      <c r="B1870" s="3" t="s">
        <v>22</v>
      </c>
      <c r="C1870" s="3">
        <v>360053</v>
      </c>
      <c r="D1870" s="3">
        <v>134508</v>
      </c>
      <c r="E1870" s="3" t="s">
        <v>23</v>
      </c>
    </row>
    <row r="1871" spans="1:5">
      <c r="A1871" s="3" t="s">
        <v>1893</v>
      </c>
      <c r="B1871" s="3" t="s">
        <v>22</v>
      </c>
      <c r="C1871" s="3">
        <v>581989</v>
      </c>
      <c r="D1871" s="3">
        <v>123227</v>
      </c>
      <c r="E1871" s="3" t="s">
        <v>23</v>
      </c>
    </row>
    <row r="1872" spans="1:5">
      <c r="A1872" s="3" t="s">
        <v>1894</v>
      </c>
      <c r="B1872" s="3" t="s">
        <v>22</v>
      </c>
      <c r="C1872" s="3">
        <v>241342</v>
      </c>
      <c r="D1872" s="3">
        <v>73099</v>
      </c>
      <c r="E1872" s="3" t="s">
        <v>23</v>
      </c>
    </row>
    <row r="1873" spans="1:5">
      <c r="A1873" s="3" t="s">
        <v>1895</v>
      </c>
      <c r="B1873" s="3" t="s">
        <v>22</v>
      </c>
      <c r="C1873" s="3">
        <v>343563</v>
      </c>
      <c r="D1873" s="3">
        <v>90587</v>
      </c>
      <c r="E1873" s="3" t="s">
        <v>23</v>
      </c>
    </row>
    <row r="1874" spans="1:5">
      <c r="A1874" s="3" t="s">
        <v>1896</v>
      </c>
      <c r="B1874" s="3" t="s">
        <v>22</v>
      </c>
      <c r="C1874" s="3">
        <v>32971</v>
      </c>
      <c r="D1874" s="3">
        <v>9849</v>
      </c>
      <c r="E1874" s="3" t="s">
        <v>23</v>
      </c>
    </row>
    <row r="1875" spans="1:5">
      <c r="A1875" s="3" t="s">
        <v>1897</v>
      </c>
      <c r="B1875" s="3" t="s">
        <v>22</v>
      </c>
      <c r="C1875" s="3">
        <v>517333</v>
      </c>
      <c r="D1875" s="3">
        <v>7950</v>
      </c>
      <c r="E1875" s="3" t="s">
        <v>23</v>
      </c>
    </row>
    <row r="1876" spans="1:5">
      <c r="A1876" s="3" t="s">
        <v>1898</v>
      </c>
      <c r="B1876" s="3" t="s">
        <v>22</v>
      </c>
      <c r="C1876" s="3">
        <v>232899</v>
      </c>
      <c r="D1876" s="3">
        <v>14889</v>
      </c>
      <c r="E1876" s="3" t="s">
        <v>23</v>
      </c>
    </row>
    <row r="1877" spans="1:5">
      <c r="A1877" s="3" t="s">
        <v>1899</v>
      </c>
      <c r="B1877" s="3" t="s">
        <v>22</v>
      </c>
      <c r="C1877" s="3">
        <v>269251</v>
      </c>
      <c r="D1877" s="3">
        <v>79874</v>
      </c>
      <c r="E1877" s="3" t="s">
        <v>23</v>
      </c>
    </row>
    <row r="1878" spans="1:5">
      <c r="A1878" s="3" t="s">
        <v>1900</v>
      </c>
      <c r="B1878" s="3" t="s">
        <v>22</v>
      </c>
      <c r="C1878" s="3">
        <v>585113</v>
      </c>
      <c r="D1878" s="3">
        <v>175370</v>
      </c>
      <c r="E1878" s="3" t="s">
        <v>23</v>
      </c>
    </row>
    <row r="1879" spans="1:5">
      <c r="A1879" s="3" t="s">
        <v>1901</v>
      </c>
      <c r="B1879" s="3" t="s">
        <v>22</v>
      </c>
      <c r="C1879" s="3">
        <v>164468</v>
      </c>
      <c r="D1879" s="3">
        <v>39973</v>
      </c>
      <c r="E1879" s="3" t="s">
        <v>23</v>
      </c>
    </row>
    <row r="1880" spans="1:5">
      <c r="A1880" s="3" t="s">
        <v>1902</v>
      </c>
      <c r="B1880" s="3" t="s">
        <v>22</v>
      </c>
      <c r="C1880" s="3">
        <v>243584</v>
      </c>
      <c r="D1880" s="3">
        <v>372</v>
      </c>
      <c r="E1880" s="3" t="s">
        <v>23</v>
      </c>
    </row>
    <row r="1881" spans="1:5">
      <c r="A1881" s="3" t="s">
        <v>1903</v>
      </c>
      <c r="B1881" s="3" t="s">
        <v>22</v>
      </c>
      <c r="C1881" s="3">
        <v>240416</v>
      </c>
      <c r="D1881" s="3">
        <v>71321</v>
      </c>
      <c r="E1881" s="3" t="s">
        <v>23</v>
      </c>
    </row>
    <row r="1882" spans="1:5">
      <c r="A1882" s="3" t="s">
        <v>1904</v>
      </c>
      <c r="B1882" s="3" t="s">
        <v>22</v>
      </c>
      <c r="C1882" s="3">
        <v>385947</v>
      </c>
      <c r="D1882" s="3">
        <v>88229</v>
      </c>
      <c r="E1882" s="3" t="s">
        <v>23</v>
      </c>
    </row>
    <row r="1883" spans="1:5">
      <c r="A1883" s="3" t="s">
        <v>1905</v>
      </c>
      <c r="B1883" s="3" t="s">
        <v>22</v>
      </c>
      <c r="C1883" s="3">
        <v>327632</v>
      </c>
      <c r="D1883" s="3">
        <v>103529</v>
      </c>
      <c r="E1883" s="3" t="s">
        <v>23</v>
      </c>
    </row>
    <row r="1884" spans="1:5">
      <c r="A1884" s="3" t="s">
        <v>1906</v>
      </c>
      <c r="B1884" s="3" t="s">
        <v>22</v>
      </c>
      <c r="C1884" s="3">
        <v>263600</v>
      </c>
      <c r="D1884" s="3">
        <v>12087</v>
      </c>
      <c r="E1884" s="3" t="s">
        <v>23</v>
      </c>
    </row>
    <row r="1885" spans="1:5">
      <c r="A1885" s="3" t="s">
        <v>1907</v>
      </c>
      <c r="B1885" s="3" t="s">
        <v>22</v>
      </c>
      <c r="C1885" s="3">
        <v>490758</v>
      </c>
      <c r="D1885" s="3">
        <v>113534</v>
      </c>
      <c r="E1885" s="3" t="s">
        <v>23</v>
      </c>
    </row>
    <row r="1886" spans="1:5">
      <c r="A1886" s="3" t="s">
        <v>1908</v>
      </c>
      <c r="B1886" s="3" t="s">
        <v>22</v>
      </c>
      <c r="C1886" s="3">
        <v>347145</v>
      </c>
      <c r="D1886" s="3">
        <v>60928</v>
      </c>
      <c r="E1886" s="3" t="s">
        <v>23</v>
      </c>
    </row>
    <row r="1887" spans="1:5">
      <c r="A1887" s="3" t="s">
        <v>1909</v>
      </c>
      <c r="B1887" s="3" t="s">
        <v>22</v>
      </c>
      <c r="C1887" s="3">
        <v>463326</v>
      </c>
      <c r="D1887" s="3">
        <v>75117</v>
      </c>
      <c r="E1887" s="3" t="s">
        <v>23</v>
      </c>
    </row>
    <row r="1888" spans="1:5">
      <c r="A1888" s="3" t="s">
        <v>1910</v>
      </c>
      <c r="B1888" s="3" t="s">
        <v>22</v>
      </c>
      <c r="C1888" s="3">
        <v>416303</v>
      </c>
      <c r="D1888" s="3">
        <v>67522</v>
      </c>
      <c r="E1888" s="3" t="s">
        <v>23</v>
      </c>
    </row>
    <row r="1889" spans="1:5">
      <c r="A1889" s="3" t="s">
        <v>1911</v>
      </c>
      <c r="B1889" s="3" t="s">
        <v>22</v>
      </c>
      <c r="C1889" s="3">
        <v>332546</v>
      </c>
      <c r="D1889" s="3">
        <v>112344</v>
      </c>
      <c r="E1889" s="3" t="s">
        <v>23</v>
      </c>
    </row>
    <row r="1890" spans="1:5">
      <c r="A1890" s="3" t="s">
        <v>1912</v>
      </c>
      <c r="B1890" s="3" t="s">
        <v>22</v>
      </c>
      <c r="C1890" s="3">
        <v>208712</v>
      </c>
      <c r="D1890" s="3">
        <v>82322</v>
      </c>
      <c r="E1890" s="3" t="s">
        <v>23</v>
      </c>
    </row>
    <row r="1891" spans="1:5">
      <c r="A1891" s="3" t="s">
        <v>1913</v>
      </c>
      <c r="B1891" s="3" t="s">
        <v>22</v>
      </c>
      <c r="C1891" s="3">
        <v>364957</v>
      </c>
      <c r="D1891" s="3">
        <v>4575</v>
      </c>
      <c r="E1891" s="3" t="s">
        <v>23</v>
      </c>
    </row>
    <row r="1892" spans="1:5">
      <c r="A1892" s="3" t="s">
        <v>1914</v>
      </c>
      <c r="B1892" s="3" t="s">
        <v>22</v>
      </c>
      <c r="C1892" s="3">
        <v>310490</v>
      </c>
      <c r="D1892" s="3">
        <v>45577</v>
      </c>
      <c r="E1892" s="3" t="s">
        <v>23</v>
      </c>
    </row>
    <row r="1893" spans="1:5">
      <c r="A1893" s="3" t="s">
        <v>1915</v>
      </c>
      <c r="B1893" s="3" t="s">
        <v>22</v>
      </c>
      <c r="C1893" s="3">
        <v>532591</v>
      </c>
      <c r="D1893" s="3">
        <v>51628</v>
      </c>
      <c r="E1893" s="3" t="s">
        <v>23</v>
      </c>
    </row>
    <row r="1894" spans="1:5">
      <c r="A1894" s="3" t="s">
        <v>1916</v>
      </c>
      <c r="B1894" s="3" t="s">
        <v>22</v>
      </c>
      <c r="C1894" s="3">
        <v>528852</v>
      </c>
      <c r="D1894" s="3">
        <v>82117</v>
      </c>
      <c r="E1894" s="3" t="s">
        <v>23</v>
      </c>
    </row>
    <row r="1895" spans="1:5">
      <c r="A1895" s="3" t="s">
        <v>1917</v>
      </c>
      <c r="B1895" s="3" t="s">
        <v>22</v>
      </c>
      <c r="C1895" s="3">
        <v>434947</v>
      </c>
      <c r="D1895" s="3">
        <v>70651</v>
      </c>
      <c r="E1895" s="3" t="s">
        <v>23</v>
      </c>
    </row>
    <row r="1896" spans="1:5">
      <c r="A1896" s="3" t="s">
        <v>1918</v>
      </c>
      <c r="B1896" s="3" t="s">
        <v>22</v>
      </c>
      <c r="C1896" s="3">
        <v>272167</v>
      </c>
      <c r="D1896" s="3">
        <v>36218</v>
      </c>
      <c r="E1896" s="3" t="s">
        <v>23</v>
      </c>
    </row>
    <row r="1897" spans="1:5">
      <c r="A1897" s="3" t="s">
        <v>1919</v>
      </c>
      <c r="B1897" s="3" t="s">
        <v>22</v>
      </c>
      <c r="C1897" s="3">
        <v>449381</v>
      </c>
      <c r="D1897" s="3">
        <v>102848</v>
      </c>
      <c r="E1897" s="3" t="s">
        <v>23</v>
      </c>
    </row>
    <row r="1898" spans="1:5">
      <c r="A1898" s="3" t="s">
        <v>1920</v>
      </c>
      <c r="B1898" s="3" t="s">
        <v>22</v>
      </c>
      <c r="C1898" s="3">
        <v>352952</v>
      </c>
      <c r="D1898" s="3">
        <v>59143</v>
      </c>
      <c r="E1898" s="3" t="s">
        <v>23</v>
      </c>
    </row>
    <row r="1899" spans="1:5">
      <c r="A1899" s="3" t="s">
        <v>1921</v>
      </c>
      <c r="B1899" s="3" t="s">
        <v>22</v>
      </c>
      <c r="C1899" s="3">
        <v>438942</v>
      </c>
      <c r="D1899" s="3">
        <v>96349</v>
      </c>
      <c r="E1899" s="3" t="s">
        <v>23</v>
      </c>
    </row>
    <row r="1900" spans="1:5">
      <c r="A1900" s="3" t="s">
        <v>1922</v>
      </c>
      <c r="B1900" s="3" t="s">
        <v>22</v>
      </c>
      <c r="C1900" s="3">
        <v>390026</v>
      </c>
      <c r="D1900" s="3">
        <v>29135</v>
      </c>
      <c r="E1900" s="3" t="s">
        <v>23</v>
      </c>
    </row>
    <row r="1901" spans="1:5">
      <c r="A1901" s="3" t="s">
        <v>1923</v>
      </c>
      <c r="B1901" s="3" t="s">
        <v>22</v>
      </c>
      <c r="C1901" s="3">
        <v>381307</v>
      </c>
      <c r="D1901" s="3">
        <v>52108</v>
      </c>
      <c r="E1901" s="3" t="s">
        <v>23</v>
      </c>
    </row>
    <row r="1902" spans="1:5">
      <c r="A1902" s="3" t="s">
        <v>1924</v>
      </c>
      <c r="B1902" s="3" t="s">
        <v>22</v>
      </c>
      <c r="C1902" s="3">
        <v>466752</v>
      </c>
      <c r="D1902" s="3">
        <v>21903</v>
      </c>
      <c r="E1902" s="3" t="s">
        <v>23</v>
      </c>
    </row>
    <row r="1903" spans="1:5">
      <c r="A1903" s="3" t="s">
        <v>1925</v>
      </c>
      <c r="B1903" s="3" t="s">
        <v>22</v>
      </c>
      <c r="C1903" s="3">
        <v>410626</v>
      </c>
      <c r="D1903" s="3">
        <v>88243</v>
      </c>
      <c r="E1903" s="3" t="s">
        <v>23</v>
      </c>
    </row>
    <row r="1904" spans="1:5">
      <c r="A1904" s="3" t="s">
        <v>1926</v>
      </c>
      <c r="B1904" s="3" t="s">
        <v>22</v>
      </c>
      <c r="C1904" s="3">
        <v>482493</v>
      </c>
      <c r="D1904" s="3">
        <v>79007</v>
      </c>
      <c r="E1904" s="3" t="s">
        <v>23</v>
      </c>
    </row>
    <row r="1905" spans="1:5">
      <c r="A1905" s="3" t="s">
        <v>1927</v>
      </c>
      <c r="B1905" s="3" t="s">
        <v>22</v>
      </c>
      <c r="C1905" s="3">
        <v>204781</v>
      </c>
      <c r="D1905" s="3">
        <v>54047</v>
      </c>
      <c r="E1905" s="3" t="s">
        <v>23</v>
      </c>
    </row>
    <row r="1906" spans="1:5">
      <c r="A1906" s="3" t="s">
        <v>1928</v>
      </c>
      <c r="B1906" s="3" t="s">
        <v>22</v>
      </c>
      <c r="C1906" s="3">
        <v>514984</v>
      </c>
      <c r="D1906" s="3">
        <v>74400</v>
      </c>
      <c r="E1906" s="3" t="s">
        <v>23</v>
      </c>
    </row>
    <row r="1907" spans="1:5">
      <c r="A1907" s="3" t="s">
        <v>1929</v>
      </c>
      <c r="B1907" s="3" t="s">
        <v>22</v>
      </c>
      <c r="C1907" s="3">
        <v>508233</v>
      </c>
      <c r="D1907" s="3">
        <v>16439</v>
      </c>
      <c r="E1907" s="3" t="s">
        <v>23</v>
      </c>
    </row>
    <row r="1908" spans="1:5">
      <c r="A1908" s="3" t="s">
        <v>1930</v>
      </c>
      <c r="B1908" s="3" t="s">
        <v>22</v>
      </c>
      <c r="C1908" s="3">
        <v>321136</v>
      </c>
      <c r="D1908" s="3">
        <v>1576</v>
      </c>
      <c r="E1908" s="3" t="s">
        <v>23</v>
      </c>
    </row>
    <row r="1909" spans="1:5">
      <c r="A1909" s="3" t="s">
        <v>1931</v>
      </c>
      <c r="B1909" s="3" t="s">
        <v>22</v>
      </c>
      <c r="C1909" s="3">
        <v>351506</v>
      </c>
      <c r="D1909" s="3">
        <v>39980</v>
      </c>
      <c r="E1909" s="3" t="s">
        <v>23</v>
      </c>
    </row>
    <row r="1910" spans="1:5">
      <c r="A1910" s="3" t="s">
        <v>1932</v>
      </c>
      <c r="B1910" s="3" t="s">
        <v>22</v>
      </c>
      <c r="C1910" s="3">
        <v>477855</v>
      </c>
      <c r="D1910" s="3">
        <v>66898</v>
      </c>
      <c r="E1910" s="3" t="s">
        <v>23</v>
      </c>
    </row>
    <row r="1911" spans="1:5">
      <c r="A1911" s="3" t="s">
        <v>1933</v>
      </c>
      <c r="B1911" s="3" t="s">
        <v>22</v>
      </c>
      <c r="C1911" s="3">
        <v>269162</v>
      </c>
      <c r="D1911" s="3">
        <v>42007</v>
      </c>
      <c r="E1911" s="3" t="s">
        <v>23</v>
      </c>
    </row>
    <row r="1912" spans="1:5">
      <c r="A1912" s="3" t="s">
        <v>1934</v>
      </c>
      <c r="B1912" s="3" t="s">
        <v>22</v>
      </c>
      <c r="C1912" s="3">
        <v>387056</v>
      </c>
      <c r="D1912" s="3">
        <v>129913</v>
      </c>
      <c r="E1912" s="3" t="s">
        <v>23</v>
      </c>
    </row>
    <row r="1913" spans="1:5">
      <c r="A1913" s="3" t="s">
        <v>1935</v>
      </c>
      <c r="B1913" s="3" t="s">
        <v>22</v>
      </c>
      <c r="C1913" s="3">
        <v>382462</v>
      </c>
      <c r="D1913" s="3">
        <v>76323</v>
      </c>
      <c r="E1913" s="3" t="s">
        <v>23</v>
      </c>
    </row>
    <row r="1914" spans="1:5">
      <c r="A1914" s="3" t="s">
        <v>1936</v>
      </c>
      <c r="B1914" s="3" t="s">
        <v>22</v>
      </c>
      <c r="C1914" s="3">
        <v>449894</v>
      </c>
      <c r="D1914" s="3">
        <v>68651</v>
      </c>
      <c r="E1914" s="3" t="s">
        <v>23</v>
      </c>
    </row>
    <row r="1915" spans="1:5">
      <c r="A1915" s="3" t="s">
        <v>1937</v>
      </c>
      <c r="B1915" s="3" t="s">
        <v>22</v>
      </c>
      <c r="C1915" s="3">
        <v>431244</v>
      </c>
      <c r="D1915" s="3">
        <v>123151</v>
      </c>
      <c r="E1915" s="3" t="s">
        <v>23</v>
      </c>
    </row>
    <row r="1916" spans="1:5">
      <c r="A1916" s="3" t="s">
        <v>1938</v>
      </c>
      <c r="B1916" s="3" t="s">
        <v>22</v>
      </c>
      <c r="C1916" s="3">
        <v>432780</v>
      </c>
      <c r="D1916" s="3">
        <v>19643</v>
      </c>
      <c r="E1916" s="3" t="s">
        <v>23</v>
      </c>
    </row>
    <row r="1917" spans="1:5">
      <c r="A1917" s="3" t="s">
        <v>1939</v>
      </c>
      <c r="B1917" s="3" t="s">
        <v>22</v>
      </c>
      <c r="C1917" s="3">
        <v>454258</v>
      </c>
      <c r="D1917" s="3">
        <v>115543</v>
      </c>
      <c r="E1917" s="3" t="s">
        <v>23</v>
      </c>
    </row>
    <row r="1918" spans="1:5">
      <c r="A1918" s="3" t="s">
        <v>1940</v>
      </c>
      <c r="B1918" s="3" t="s">
        <v>22</v>
      </c>
      <c r="C1918" s="3">
        <v>321084</v>
      </c>
      <c r="D1918" s="3">
        <v>70199</v>
      </c>
      <c r="E1918" s="3" t="s">
        <v>23</v>
      </c>
    </row>
    <row r="1919" spans="1:5">
      <c r="A1919" s="3" t="s">
        <v>1941</v>
      </c>
      <c r="B1919" s="3" t="s">
        <v>22</v>
      </c>
      <c r="C1919" s="3">
        <v>341736</v>
      </c>
      <c r="D1919" s="3">
        <v>8128</v>
      </c>
      <c r="E1919" s="3" t="s">
        <v>23</v>
      </c>
    </row>
    <row r="1920" spans="1:5">
      <c r="A1920" s="3" t="s">
        <v>1942</v>
      </c>
      <c r="B1920" s="3" t="s">
        <v>22</v>
      </c>
      <c r="C1920" s="3">
        <v>367962</v>
      </c>
      <c r="D1920" s="3">
        <v>15160</v>
      </c>
      <c r="E1920" s="3" t="s">
        <v>23</v>
      </c>
    </row>
    <row r="1921" spans="1:5">
      <c r="A1921" s="3" t="s">
        <v>1943</v>
      </c>
      <c r="B1921" s="3" t="s">
        <v>22</v>
      </c>
      <c r="C1921" s="3">
        <v>566198</v>
      </c>
      <c r="D1921" s="3">
        <v>209622</v>
      </c>
      <c r="E1921" s="3" t="s">
        <v>23</v>
      </c>
    </row>
    <row r="1922" spans="1:5">
      <c r="A1922" s="3" t="s">
        <v>1944</v>
      </c>
      <c r="B1922" s="3" t="s">
        <v>22</v>
      </c>
      <c r="C1922" s="3">
        <v>485110</v>
      </c>
      <c r="D1922" s="3">
        <v>69636</v>
      </c>
      <c r="E1922" s="3" t="s">
        <v>23</v>
      </c>
    </row>
    <row r="1923" spans="1:5">
      <c r="A1923" s="3" t="s">
        <v>1945</v>
      </c>
      <c r="B1923" s="3" t="s">
        <v>22</v>
      </c>
      <c r="C1923" s="3">
        <v>234363</v>
      </c>
      <c r="D1923" s="3">
        <v>17036</v>
      </c>
      <c r="E1923" s="3" t="s">
        <v>23</v>
      </c>
    </row>
    <row r="1924" spans="1:5">
      <c r="A1924" s="3" t="s">
        <v>1946</v>
      </c>
      <c r="B1924" s="3" t="s">
        <v>22</v>
      </c>
      <c r="C1924" s="3">
        <v>476553</v>
      </c>
      <c r="D1924" s="3">
        <v>20899</v>
      </c>
      <c r="E1924" s="3" t="s">
        <v>23</v>
      </c>
    </row>
    <row r="1925" spans="1:5">
      <c r="A1925" s="3" t="s">
        <v>1947</v>
      </c>
      <c r="B1925" s="3" t="s">
        <v>22</v>
      </c>
      <c r="C1925" s="3">
        <v>450733</v>
      </c>
      <c r="D1925" s="3">
        <v>22235</v>
      </c>
      <c r="E1925" s="3" t="s">
        <v>23</v>
      </c>
    </row>
    <row r="1926" spans="1:5">
      <c r="A1926" s="3" t="s">
        <v>1948</v>
      </c>
      <c r="B1926" s="3" t="s">
        <v>22</v>
      </c>
      <c r="C1926" s="3">
        <v>462658</v>
      </c>
      <c r="D1926" s="3">
        <v>70265</v>
      </c>
      <c r="E1926" s="3" t="s">
        <v>23</v>
      </c>
    </row>
    <row r="1927" spans="1:5">
      <c r="A1927" s="3" t="s">
        <v>1949</v>
      </c>
      <c r="B1927" s="3" t="s">
        <v>22</v>
      </c>
      <c r="C1927" s="3">
        <v>276490</v>
      </c>
      <c r="D1927" s="3">
        <v>24284</v>
      </c>
      <c r="E1927" s="3" t="s">
        <v>23</v>
      </c>
    </row>
    <row r="1928" spans="1:5">
      <c r="A1928" s="3" t="s">
        <v>1950</v>
      </c>
      <c r="B1928" s="3" t="s">
        <v>22</v>
      </c>
      <c r="C1928" s="3">
        <v>400948</v>
      </c>
      <c r="D1928" s="3">
        <v>91580</v>
      </c>
      <c r="E1928" s="3" t="s">
        <v>23</v>
      </c>
    </row>
    <row r="1929" spans="1:5">
      <c r="A1929" s="3" t="s">
        <v>1951</v>
      </c>
      <c r="B1929" s="3" t="s">
        <v>22</v>
      </c>
      <c r="C1929" s="3">
        <v>399425</v>
      </c>
      <c r="D1929" s="3">
        <v>90094</v>
      </c>
      <c r="E1929" s="3" t="s">
        <v>23</v>
      </c>
    </row>
    <row r="1930" spans="1:5">
      <c r="A1930" s="3" t="s">
        <v>1952</v>
      </c>
      <c r="B1930" s="3" t="s">
        <v>22</v>
      </c>
      <c r="C1930" s="3">
        <v>339521</v>
      </c>
      <c r="D1930" s="3">
        <v>71298</v>
      </c>
      <c r="E1930" s="3" t="s">
        <v>23</v>
      </c>
    </row>
    <row r="1931" spans="1:5">
      <c r="A1931" s="3" t="s">
        <v>1953</v>
      </c>
      <c r="B1931" s="3" t="s">
        <v>22</v>
      </c>
      <c r="C1931" s="3">
        <v>434677</v>
      </c>
      <c r="D1931" s="3">
        <v>30398</v>
      </c>
      <c r="E1931" s="3" t="s">
        <v>23</v>
      </c>
    </row>
    <row r="1932" spans="1:5">
      <c r="A1932" s="3" t="s">
        <v>1954</v>
      </c>
      <c r="B1932" s="3" t="s">
        <v>22</v>
      </c>
      <c r="C1932" s="3">
        <v>502599</v>
      </c>
      <c r="D1932" s="3">
        <v>44186</v>
      </c>
      <c r="E1932" s="3" t="s">
        <v>23</v>
      </c>
    </row>
    <row r="1933" spans="1:5">
      <c r="A1933" s="3" t="s">
        <v>1955</v>
      </c>
      <c r="B1933" s="3" t="s">
        <v>22</v>
      </c>
      <c r="C1933" s="3">
        <v>461225</v>
      </c>
      <c r="D1933" s="3">
        <v>31457</v>
      </c>
      <c r="E1933" s="3" t="s">
        <v>23</v>
      </c>
    </row>
    <row r="1934" spans="1:5">
      <c r="A1934" s="3" t="s">
        <v>1956</v>
      </c>
      <c r="B1934" s="3" t="s">
        <v>22</v>
      </c>
      <c r="C1934" s="3">
        <v>438042</v>
      </c>
      <c r="D1934" s="3">
        <v>105130</v>
      </c>
      <c r="E1934" s="3" t="s">
        <v>23</v>
      </c>
    </row>
    <row r="1935" spans="1:5">
      <c r="A1935" s="3" t="s">
        <v>1957</v>
      </c>
      <c r="B1935" s="3" t="s">
        <v>22</v>
      </c>
      <c r="C1935" s="3">
        <v>407592</v>
      </c>
      <c r="D1935" s="3">
        <v>48853</v>
      </c>
      <c r="E1935" s="3" t="s">
        <v>23</v>
      </c>
    </row>
    <row r="1936" spans="1:5">
      <c r="A1936" s="3" t="s">
        <v>1958</v>
      </c>
      <c r="B1936" s="3" t="s">
        <v>22</v>
      </c>
      <c r="C1936" s="3">
        <v>185624</v>
      </c>
      <c r="D1936" s="3">
        <v>57248</v>
      </c>
      <c r="E1936" s="3" t="s">
        <v>23</v>
      </c>
    </row>
    <row r="1937" spans="1:5">
      <c r="A1937" s="3" t="s">
        <v>1959</v>
      </c>
      <c r="B1937" s="3" t="s">
        <v>22</v>
      </c>
      <c r="C1937" s="3">
        <v>419404</v>
      </c>
      <c r="D1937" s="3">
        <v>59390</v>
      </c>
      <c r="E1937" s="3" t="s">
        <v>23</v>
      </c>
    </row>
    <row r="1938" spans="1:5">
      <c r="A1938" s="3" t="s">
        <v>1960</v>
      </c>
      <c r="B1938" s="3" t="s">
        <v>22</v>
      </c>
      <c r="C1938" s="3">
        <v>452448</v>
      </c>
      <c r="D1938" s="3">
        <v>57790</v>
      </c>
      <c r="E1938" s="3" t="s">
        <v>23</v>
      </c>
    </row>
    <row r="1939" spans="1:5">
      <c r="A1939" s="3" t="s">
        <v>1961</v>
      </c>
      <c r="B1939" s="3" t="s">
        <v>22</v>
      </c>
      <c r="C1939" s="3">
        <v>348990</v>
      </c>
      <c r="D1939" s="3">
        <v>32630</v>
      </c>
      <c r="E1939" s="3" t="s">
        <v>23</v>
      </c>
    </row>
    <row r="1940" spans="1:5">
      <c r="A1940" s="3" t="s">
        <v>1962</v>
      </c>
      <c r="B1940" s="3" t="s">
        <v>22</v>
      </c>
      <c r="C1940" s="3">
        <v>483179</v>
      </c>
      <c r="D1940" s="3">
        <v>103061</v>
      </c>
      <c r="E1940" s="3" t="s">
        <v>23</v>
      </c>
    </row>
    <row r="1941" spans="1:5">
      <c r="A1941" s="3" t="s">
        <v>1963</v>
      </c>
      <c r="B1941" s="3" t="s">
        <v>22</v>
      </c>
      <c r="C1941" s="3">
        <v>570777</v>
      </c>
      <c r="D1941" s="3">
        <v>110400</v>
      </c>
      <c r="E1941" s="3" t="s">
        <v>23</v>
      </c>
    </row>
    <row r="1942" spans="1:5">
      <c r="A1942" s="3" t="s">
        <v>1964</v>
      </c>
      <c r="B1942" s="3" t="s">
        <v>22</v>
      </c>
      <c r="C1942" s="3">
        <v>256233</v>
      </c>
      <c r="D1942" s="3">
        <v>50535</v>
      </c>
      <c r="E1942" s="3" t="s">
        <v>23</v>
      </c>
    </row>
    <row r="1943" spans="1:5">
      <c r="A1943" s="3" t="s">
        <v>1965</v>
      </c>
      <c r="B1943" s="3" t="s">
        <v>22</v>
      </c>
      <c r="C1943" s="3">
        <v>358003</v>
      </c>
      <c r="D1943" s="3">
        <v>59858</v>
      </c>
      <c r="E1943" s="3" t="s">
        <v>23</v>
      </c>
    </row>
    <row r="1944" spans="1:5">
      <c r="A1944" s="3" t="s">
        <v>1966</v>
      </c>
      <c r="B1944" s="3" t="s">
        <v>22</v>
      </c>
      <c r="C1944" s="3">
        <v>438154</v>
      </c>
      <c r="D1944" s="3">
        <v>51237</v>
      </c>
      <c r="E1944" s="3" t="s">
        <v>23</v>
      </c>
    </row>
    <row r="1945" spans="1:5">
      <c r="A1945" s="3" t="s">
        <v>1967</v>
      </c>
      <c r="B1945" s="3" t="s">
        <v>22</v>
      </c>
      <c r="C1945" s="3">
        <v>604680</v>
      </c>
      <c r="D1945" s="3">
        <v>135330</v>
      </c>
      <c r="E1945" s="3" t="s">
        <v>23</v>
      </c>
    </row>
    <row r="1946" spans="1:5">
      <c r="A1946" s="3" t="s">
        <v>1968</v>
      </c>
      <c r="B1946" s="3" t="s">
        <v>22</v>
      </c>
      <c r="C1946" s="3">
        <v>289833</v>
      </c>
      <c r="D1946" s="3">
        <v>84250</v>
      </c>
      <c r="E1946" s="3" t="s">
        <v>23</v>
      </c>
    </row>
    <row r="1947" spans="1:5">
      <c r="A1947" s="3" t="s">
        <v>1969</v>
      </c>
      <c r="B1947" s="3" t="s">
        <v>22</v>
      </c>
      <c r="C1947" s="3">
        <v>340088</v>
      </c>
      <c r="D1947" s="3">
        <v>21485</v>
      </c>
      <c r="E1947" s="3" t="s">
        <v>23</v>
      </c>
    </row>
    <row r="1948" spans="1:5">
      <c r="A1948" s="3" t="s">
        <v>1970</v>
      </c>
      <c r="B1948" s="3" t="s">
        <v>22</v>
      </c>
      <c r="C1948" s="3">
        <v>379450</v>
      </c>
      <c r="D1948" s="3">
        <v>101003</v>
      </c>
      <c r="E1948" s="3" t="s">
        <v>23</v>
      </c>
    </row>
    <row r="1949" spans="1:5">
      <c r="A1949" s="3" t="s">
        <v>1971</v>
      </c>
      <c r="B1949" s="3" t="s">
        <v>22</v>
      </c>
      <c r="C1949" s="3">
        <v>411057</v>
      </c>
      <c r="D1949" s="3">
        <v>90622</v>
      </c>
      <c r="E1949" s="3" t="s">
        <v>23</v>
      </c>
    </row>
    <row r="1950" spans="1:5">
      <c r="A1950" s="3" t="s">
        <v>1972</v>
      </c>
      <c r="B1950" s="3" t="s">
        <v>22</v>
      </c>
      <c r="C1950" s="3">
        <v>265466</v>
      </c>
      <c r="D1950" s="3">
        <v>15302</v>
      </c>
      <c r="E1950" s="3" t="s">
        <v>23</v>
      </c>
    </row>
    <row r="1951" spans="1:5">
      <c r="A1951" s="3" t="s">
        <v>1973</v>
      </c>
      <c r="B1951" s="3" t="s">
        <v>22</v>
      </c>
      <c r="C1951" s="3">
        <v>330722</v>
      </c>
      <c r="D1951" s="3">
        <v>8488</v>
      </c>
      <c r="E1951" s="3" t="s">
        <v>23</v>
      </c>
    </row>
    <row r="1952" spans="1:5">
      <c r="A1952" s="3" t="s">
        <v>1974</v>
      </c>
      <c r="B1952" s="3" t="s">
        <v>22</v>
      </c>
      <c r="C1952" s="3">
        <v>454420</v>
      </c>
      <c r="D1952" s="3">
        <v>154783</v>
      </c>
      <c r="E1952" s="3" t="s">
        <v>23</v>
      </c>
    </row>
    <row r="1953" spans="1:5">
      <c r="A1953" s="3" t="s">
        <v>1975</v>
      </c>
      <c r="B1953" s="3" t="s">
        <v>22</v>
      </c>
      <c r="C1953" s="3">
        <v>317796</v>
      </c>
      <c r="D1953" s="3">
        <v>42615</v>
      </c>
      <c r="E1953" s="3" t="s">
        <v>23</v>
      </c>
    </row>
    <row r="1954" spans="1:5">
      <c r="A1954" s="3" t="s">
        <v>1976</v>
      </c>
      <c r="B1954" s="3" t="s">
        <v>22</v>
      </c>
      <c r="C1954" s="3">
        <v>419459</v>
      </c>
      <c r="D1954" s="3">
        <v>15460</v>
      </c>
      <c r="E1954" s="3" t="s">
        <v>23</v>
      </c>
    </row>
    <row r="1955" spans="1:5">
      <c r="A1955" s="3" t="s">
        <v>1977</v>
      </c>
      <c r="B1955" s="3" t="s">
        <v>22</v>
      </c>
      <c r="C1955" s="3">
        <v>567883</v>
      </c>
      <c r="D1955" s="3">
        <v>91216</v>
      </c>
      <c r="E1955" s="3" t="s">
        <v>23</v>
      </c>
    </row>
    <row r="1956" spans="1:5">
      <c r="A1956" s="3" t="s">
        <v>1978</v>
      </c>
      <c r="B1956" s="3" t="s">
        <v>22</v>
      </c>
      <c r="C1956" s="3">
        <v>494410</v>
      </c>
      <c r="D1956" s="3">
        <v>151549</v>
      </c>
      <c r="E1956" s="3" t="s">
        <v>23</v>
      </c>
    </row>
    <row r="1957" spans="1:5">
      <c r="A1957" s="3" t="s">
        <v>1979</v>
      </c>
      <c r="B1957" s="3" t="s">
        <v>22</v>
      </c>
      <c r="C1957" s="3">
        <v>629040</v>
      </c>
      <c r="D1957" s="3">
        <v>40516</v>
      </c>
      <c r="E1957" s="3" t="s">
        <v>23</v>
      </c>
    </row>
    <row r="1958" spans="1:5">
      <c r="A1958" s="3" t="s">
        <v>1980</v>
      </c>
      <c r="B1958" s="3" t="s">
        <v>22</v>
      </c>
      <c r="C1958" s="3">
        <v>539280</v>
      </c>
      <c r="D1958" s="3">
        <v>3700</v>
      </c>
      <c r="E1958" s="3" t="s">
        <v>23</v>
      </c>
    </row>
    <row r="1959" spans="1:5">
      <c r="A1959" s="3" t="s">
        <v>1981</v>
      </c>
      <c r="B1959" s="3" t="s">
        <v>22</v>
      </c>
      <c r="C1959" s="3">
        <v>453287</v>
      </c>
      <c r="D1959" s="3">
        <v>140525</v>
      </c>
      <c r="E1959" s="3" t="s">
        <v>23</v>
      </c>
    </row>
    <row r="1960" spans="1:5">
      <c r="A1960" s="3" t="s">
        <v>1982</v>
      </c>
      <c r="B1960" s="3" t="s">
        <v>22</v>
      </c>
      <c r="C1960" s="3">
        <v>606110</v>
      </c>
      <c r="D1960" s="3">
        <v>210750</v>
      </c>
      <c r="E1960" s="3" t="s">
        <v>23</v>
      </c>
    </row>
    <row r="1961" spans="1:5">
      <c r="A1961" s="3" t="s">
        <v>1983</v>
      </c>
      <c r="B1961" s="3" t="s">
        <v>22</v>
      </c>
      <c r="C1961" s="3">
        <v>412845</v>
      </c>
      <c r="D1961" s="3">
        <v>13794</v>
      </c>
      <c r="E1961" s="3" t="s">
        <v>23</v>
      </c>
    </row>
    <row r="1962" spans="1:5">
      <c r="A1962" s="3" t="s">
        <v>1984</v>
      </c>
      <c r="B1962" s="3" t="s">
        <v>22</v>
      </c>
      <c r="C1962" s="3">
        <v>336039</v>
      </c>
      <c r="D1962" s="3">
        <v>5781</v>
      </c>
      <c r="E1962" s="3" t="s">
        <v>23</v>
      </c>
    </row>
    <row r="1963" spans="1:5">
      <c r="A1963" s="3" t="s">
        <v>1985</v>
      </c>
      <c r="B1963" s="3" t="s">
        <v>22</v>
      </c>
      <c r="C1963" s="3">
        <v>500415</v>
      </c>
      <c r="D1963" s="3">
        <v>171706</v>
      </c>
      <c r="E1963" s="3" t="s">
        <v>23</v>
      </c>
    </row>
    <row r="1964" spans="1:5">
      <c r="A1964" s="3" t="s">
        <v>1986</v>
      </c>
      <c r="B1964" s="3" t="s">
        <v>22</v>
      </c>
      <c r="C1964" s="3">
        <v>728976</v>
      </c>
      <c r="D1964" s="3">
        <v>207683</v>
      </c>
      <c r="E1964" s="3" t="s">
        <v>23</v>
      </c>
    </row>
    <row r="1965" spans="1:5">
      <c r="A1965" s="3" t="s">
        <v>1987</v>
      </c>
      <c r="B1965" s="3" t="s">
        <v>22</v>
      </c>
      <c r="C1965" s="3">
        <v>294264</v>
      </c>
      <c r="D1965" s="3">
        <v>103441</v>
      </c>
      <c r="E1965" s="3" t="s">
        <v>23</v>
      </c>
    </row>
    <row r="1966" spans="1:5">
      <c r="A1966" s="3" t="s">
        <v>1988</v>
      </c>
      <c r="B1966" s="3" t="s">
        <v>22</v>
      </c>
      <c r="C1966" s="3">
        <v>358532</v>
      </c>
      <c r="D1966" s="3">
        <v>84081</v>
      </c>
      <c r="E1966" s="3" t="s">
        <v>23</v>
      </c>
    </row>
    <row r="1967" spans="1:5">
      <c r="A1967" s="3" t="s">
        <v>1989</v>
      </c>
      <c r="B1967" s="3" t="s">
        <v>22</v>
      </c>
      <c r="C1967" s="3">
        <v>309970</v>
      </c>
      <c r="D1967" s="3">
        <v>101886</v>
      </c>
      <c r="E1967" s="3" t="s">
        <v>23</v>
      </c>
    </row>
    <row r="1968" spans="1:5">
      <c r="A1968" s="3" t="s">
        <v>1990</v>
      </c>
      <c r="B1968" s="3" t="s">
        <v>22</v>
      </c>
      <c r="C1968" s="3">
        <v>331359</v>
      </c>
      <c r="D1968" s="3">
        <v>573</v>
      </c>
      <c r="E1968" s="3" t="s">
        <v>23</v>
      </c>
    </row>
    <row r="1969" spans="1:5">
      <c r="A1969" s="3" t="s">
        <v>1991</v>
      </c>
      <c r="B1969" s="3" t="s">
        <v>22</v>
      </c>
      <c r="C1969" s="3">
        <v>825595</v>
      </c>
      <c r="D1969" s="3">
        <v>113740</v>
      </c>
      <c r="E1969" s="3" t="s">
        <v>23</v>
      </c>
    </row>
    <row r="1970" spans="1:5">
      <c r="A1970" s="3" t="s">
        <v>1992</v>
      </c>
      <c r="B1970" s="3" t="s">
        <v>22</v>
      </c>
      <c r="C1970" s="3">
        <v>300527</v>
      </c>
      <c r="D1970" s="3">
        <v>88391</v>
      </c>
      <c r="E1970" s="3" t="s">
        <v>23</v>
      </c>
    </row>
    <row r="1971" spans="1:5">
      <c r="A1971" s="3" t="s">
        <v>1993</v>
      </c>
      <c r="B1971" s="3" t="s">
        <v>22</v>
      </c>
      <c r="C1971" s="3">
        <v>3620</v>
      </c>
      <c r="D1971" s="3">
        <v>1441</v>
      </c>
      <c r="E1971" s="3" t="s">
        <v>23</v>
      </c>
    </row>
    <row r="1972" spans="1:5">
      <c r="A1972" s="3" t="s">
        <v>1994</v>
      </c>
      <c r="B1972" s="3" t="s">
        <v>22</v>
      </c>
      <c r="C1972" s="3">
        <v>180062</v>
      </c>
      <c r="D1972" s="3">
        <v>44430</v>
      </c>
      <c r="E1972" s="3" t="s">
        <v>23</v>
      </c>
    </row>
    <row r="1973" spans="1:5">
      <c r="A1973" s="3" t="s">
        <v>1995</v>
      </c>
      <c r="B1973" s="3" t="s">
        <v>22</v>
      </c>
      <c r="C1973" s="3">
        <v>636648</v>
      </c>
      <c r="D1973" s="3">
        <v>13404</v>
      </c>
      <c r="E1973" s="3" t="s">
        <v>23</v>
      </c>
    </row>
    <row r="1974" spans="1:5">
      <c r="A1974" s="3" t="s">
        <v>1996</v>
      </c>
      <c r="B1974" s="3" t="s">
        <v>22</v>
      </c>
      <c r="C1974" s="3">
        <v>420607</v>
      </c>
      <c r="D1974" s="3">
        <v>121836</v>
      </c>
      <c r="E1974" s="3" t="s">
        <v>23</v>
      </c>
    </row>
    <row r="1975" spans="1:5">
      <c r="A1975" s="3" t="s">
        <v>1997</v>
      </c>
      <c r="B1975" s="3" t="s">
        <v>22</v>
      </c>
      <c r="C1975" s="3">
        <v>550810</v>
      </c>
      <c r="D1975" s="3">
        <v>103688</v>
      </c>
      <c r="E1975" s="3" t="s">
        <v>23</v>
      </c>
    </row>
    <row r="1976" spans="1:5">
      <c r="A1976" s="3" t="s">
        <v>1998</v>
      </c>
      <c r="B1976" s="3" t="s">
        <v>22</v>
      </c>
      <c r="C1976" s="3">
        <v>508456</v>
      </c>
      <c r="D1976" s="3">
        <v>179740</v>
      </c>
      <c r="E1976" s="3" t="s">
        <v>23</v>
      </c>
    </row>
    <row r="1977" spans="1:5">
      <c r="A1977" s="3" t="s">
        <v>1999</v>
      </c>
      <c r="B1977" s="3" t="s">
        <v>22</v>
      </c>
      <c r="C1977" s="3">
        <v>618852</v>
      </c>
      <c r="D1977" s="3">
        <v>2550</v>
      </c>
      <c r="E1977" s="3" t="s">
        <v>23</v>
      </c>
    </row>
    <row r="1978" spans="1:5">
      <c r="A1978" s="3" t="s">
        <v>2000</v>
      </c>
      <c r="B1978" s="3" t="s">
        <v>22</v>
      </c>
      <c r="C1978" s="3">
        <v>757628</v>
      </c>
      <c r="D1978" s="3">
        <v>246610</v>
      </c>
      <c r="E1978" s="3" t="s">
        <v>23</v>
      </c>
    </row>
    <row r="1979" spans="1:5">
      <c r="A1979" s="3" t="s">
        <v>2001</v>
      </c>
      <c r="B1979" s="3" t="s">
        <v>22</v>
      </c>
      <c r="C1979" s="3">
        <v>674460</v>
      </c>
      <c r="D1979" s="3">
        <v>75768</v>
      </c>
      <c r="E1979" s="3" t="s">
        <v>23</v>
      </c>
    </row>
    <row r="1980" spans="1:5">
      <c r="A1980" s="3" t="s">
        <v>2002</v>
      </c>
      <c r="B1980" s="3" t="s">
        <v>22</v>
      </c>
      <c r="C1980" s="3">
        <v>373202</v>
      </c>
      <c r="D1980" s="3">
        <v>8918</v>
      </c>
      <c r="E1980" s="3" t="s">
        <v>23</v>
      </c>
    </row>
    <row r="1981" spans="1:5">
      <c r="A1981" s="3" t="s">
        <v>2003</v>
      </c>
      <c r="B1981" s="3" t="s">
        <v>22</v>
      </c>
      <c r="C1981" s="3">
        <v>672203</v>
      </c>
      <c r="D1981" s="3">
        <v>118882</v>
      </c>
      <c r="E1981" s="3" t="s">
        <v>23</v>
      </c>
    </row>
    <row r="1982" spans="1:5">
      <c r="A1982" s="3" t="s">
        <v>2004</v>
      </c>
      <c r="B1982" s="3" t="s">
        <v>22</v>
      </c>
      <c r="C1982" s="3">
        <v>434086</v>
      </c>
      <c r="D1982" s="3">
        <v>135401</v>
      </c>
      <c r="E1982" s="3" t="s">
        <v>23</v>
      </c>
    </row>
    <row r="1983" spans="1:5">
      <c r="A1983" s="3" t="s">
        <v>2005</v>
      </c>
      <c r="B1983" s="3" t="s">
        <v>22</v>
      </c>
      <c r="C1983" s="3">
        <v>337056</v>
      </c>
      <c r="D1983" s="3">
        <v>133039</v>
      </c>
      <c r="E1983" s="3" t="s">
        <v>23</v>
      </c>
    </row>
    <row r="1984" spans="1:5">
      <c r="A1984" s="3" t="s">
        <v>2006</v>
      </c>
      <c r="B1984" s="3" t="s">
        <v>22</v>
      </c>
      <c r="C1984" s="3">
        <v>625606</v>
      </c>
      <c r="D1984" s="3">
        <v>5152</v>
      </c>
      <c r="E1984" s="3" t="s">
        <v>23</v>
      </c>
    </row>
    <row r="1985" spans="1:5">
      <c r="A1985" s="3" t="s">
        <v>2007</v>
      </c>
      <c r="B1985" s="3" t="s">
        <v>22</v>
      </c>
      <c r="C1985" s="3">
        <v>410497</v>
      </c>
      <c r="D1985" s="3">
        <v>19268</v>
      </c>
      <c r="E1985" s="3" t="s">
        <v>23</v>
      </c>
    </row>
    <row r="1986" spans="1:5">
      <c r="A1986" s="3" t="s">
        <v>2008</v>
      </c>
      <c r="B1986" s="3" t="s">
        <v>22</v>
      </c>
      <c r="C1986" s="3">
        <v>499612</v>
      </c>
      <c r="D1986" s="3">
        <v>53997</v>
      </c>
      <c r="E1986" s="3" t="s">
        <v>23</v>
      </c>
    </row>
    <row r="1987" spans="1:5">
      <c r="A1987" s="3" t="s">
        <v>2009</v>
      </c>
      <c r="B1987" s="3" t="s">
        <v>22</v>
      </c>
      <c r="C1987" s="3">
        <v>5804</v>
      </c>
      <c r="D1987" s="3">
        <v>1710</v>
      </c>
      <c r="E1987" s="3" t="s">
        <v>23</v>
      </c>
    </row>
    <row r="1988" spans="1:5">
      <c r="A1988" s="3" t="s">
        <v>2010</v>
      </c>
      <c r="B1988" s="3" t="s">
        <v>22</v>
      </c>
      <c r="C1988" s="3">
        <v>431087</v>
      </c>
      <c r="D1988" s="3">
        <v>29738</v>
      </c>
      <c r="E1988" s="3" t="s">
        <v>23</v>
      </c>
    </row>
    <row r="1989" spans="1:5">
      <c r="A1989" s="3" t="s">
        <v>2011</v>
      </c>
      <c r="B1989" s="3" t="s">
        <v>22</v>
      </c>
      <c r="C1989" s="3">
        <v>395410</v>
      </c>
      <c r="D1989" s="3">
        <v>56455</v>
      </c>
      <c r="E1989" s="3" t="s">
        <v>23</v>
      </c>
    </row>
    <row r="1990" spans="1:5">
      <c r="A1990" s="3" t="s">
        <v>2012</v>
      </c>
      <c r="B1990" s="3" t="s">
        <v>22</v>
      </c>
      <c r="C1990" s="3">
        <v>754085</v>
      </c>
      <c r="D1990" s="3">
        <v>199540</v>
      </c>
      <c r="E1990" s="3" t="s">
        <v>23</v>
      </c>
    </row>
    <row r="1991" spans="1:5">
      <c r="A1991" s="3" t="s">
        <v>2013</v>
      </c>
      <c r="B1991" s="3" t="s">
        <v>22</v>
      </c>
      <c r="C1991" s="3">
        <v>602757</v>
      </c>
      <c r="D1991" s="3">
        <v>28694</v>
      </c>
      <c r="E1991" s="3" t="s">
        <v>23</v>
      </c>
    </row>
    <row r="1992" spans="1:5">
      <c r="A1992" s="3" t="s">
        <v>2014</v>
      </c>
      <c r="B1992" s="3" t="s">
        <v>22</v>
      </c>
      <c r="C1992" s="3">
        <v>463039</v>
      </c>
      <c r="D1992" s="3">
        <v>67844</v>
      </c>
      <c r="E1992" s="3" t="s">
        <v>23</v>
      </c>
    </row>
    <row r="1993" spans="1:5">
      <c r="A1993" s="3" t="s">
        <v>2015</v>
      </c>
      <c r="B1993" s="3" t="s">
        <v>22</v>
      </c>
      <c r="C1993" s="3">
        <v>538807</v>
      </c>
      <c r="D1993" s="3">
        <v>15319</v>
      </c>
      <c r="E1993" s="3" t="s">
        <v>23</v>
      </c>
    </row>
    <row r="1994" spans="1:5">
      <c r="A1994" s="3" t="s">
        <v>2016</v>
      </c>
      <c r="B1994" s="3" t="s">
        <v>22</v>
      </c>
      <c r="C1994" s="3">
        <v>892247</v>
      </c>
      <c r="D1994" s="3">
        <v>216966</v>
      </c>
      <c r="E1994" s="3" t="s">
        <v>23</v>
      </c>
    </row>
    <row r="1995" spans="1:5">
      <c r="A1995" s="3" t="s">
        <v>2017</v>
      </c>
      <c r="B1995" s="3" t="s">
        <v>22</v>
      </c>
      <c r="C1995" s="3">
        <v>488023</v>
      </c>
      <c r="D1995" s="3">
        <v>76238</v>
      </c>
      <c r="E1995" s="3" t="s">
        <v>23</v>
      </c>
    </row>
    <row r="1996" spans="1:5">
      <c r="A1996" s="3" t="s">
        <v>2018</v>
      </c>
      <c r="B1996" s="3" t="s">
        <v>22</v>
      </c>
      <c r="C1996" s="3">
        <v>540853</v>
      </c>
      <c r="D1996" s="3">
        <v>150332</v>
      </c>
      <c r="E1996" s="3" t="s">
        <v>23</v>
      </c>
    </row>
    <row r="1997" spans="1:5">
      <c r="A1997" s="3" t="s">
        <v>2019</v>
      </c>
      <c r="B1997" s="3" t="s">
        <v>22</v>
      </c>
      <c r="C1997" s="3">
        <v>447386</v>
      </c>
      <c r="D1997" s="3">
        <v>17770</v>
      </c>
      <c r="E1997" s="3" t="s">
        <v>23</v>
      </c>
    </row>
    <row r="1998" spans="1:5">
      <c r="A1998" s="3" t="s">
        <v>2020</v>
      </c>
      <c r="B1998" s="3" t="s">
        <v>22</v>
      </c>
      <c r="C1998" s="3">
        <v>350789</v>
      </c>
      <c r="D1998" s="3">
        <v>78358</v>
      </c>
      <c r="E1998" s="3" t="s">
        <v>23</v>
      </c>
    </row>
    <row r="1999" spans="1:5">
      <c r="A1999" s="3" t="s">
        <v>2021</v>
      </c>
      <c r="B1999" s="3" t="s">
        <v>22</v>
      </c>
      <c r="C1999" s="3">
        <v>744563</v>
      </c>
      <c r="D1999" s="3">
        <v>106866</v>
      </c>
      <c r="E1999" s="3" t="s">
        <v>23</v>
      </c>
    </row>
    <row r="2000" spans="1:5">
      <c r="A2000" s="3" t="s">
        <v>2022</v>
      </c>
      <c r="B2000" s="3" t="s">
        <v>22</v>
      </c>
      <c r="C2000" s="3">
        <v>837140</v>
      </c>
      <c r="D2000" s="3">
        <v>151944</v>
      </c>
      <c r="E2000" s="3" t="s">
        <v>23</v>
      </c>
    </row>
    <row r="2001" spans="1:5">
      <c r="A2001" s="3" t="s">
        <v>2023</v>
      </c>
      <c r="B2001" s="3" t="s">
        <v>22</v>
      </c>
      <c r="C2001" s="3">
        <v>524197</v>
      </c>
      <c r="D2001" s="3">
        <v>52570</v>
      </c>
      <c r="E2001" s="3" t="s">
        <v>23</v>
      </c>
    </row>
    <row r="2002" spans="1:5">
      <c r="A2002" s="3" t="s">
        <v>2024</v>
      </c>
      <c r="B2002" s="3" t="s">
        <v>22</v>
      </c>
      <c r="C2002" s="3">
        <v>382408</v>
      </c>
      <c r="D2002" s="3">
        <v>29551</v>
      </c>
      <c r="E2002" s="3" t="s">
        <v>23</v>
      </c>
    </row>
    <row r="2003" spans="1:5">
      <c r="A2003" s="3" t="s">
        <v>2025</v>
      </c>
      <c r="B2003" s="3" t="s">
        <v>22</v>
      </c>
      <c r="C2003" s="3">
        <v>680723</v>
      </c>
      <c r="D2003" s="3">
        <v>189376</v>
      </c>
      <c r="E2003" s="3" t="s">
        <v>23</v>
      </c>
    </row>
    <row r="2004" spans="1:5">
      <c r="A2004" s="3" t="s">
        <v>2026</v>
      </c>
      <c r="B2004" s="3" t="s">
        <v>22</v>
      </c>
      <c r="C2004" s="3">
        <v>448702</v>
      </c>
      <c r="D2004" s="3">
        <v>139289</v>
      </c>
      <c r="E2004" s="3" t="s">
        <v>23</v>
      </c>
    </row>
    <row r="2005" spans="1:5">
      <c r="A2005" s="3" t="s">
        <v>2027</v>
      </c>
      <c r="B2005" s="3" t="s">
        <v>22</v>
      </c>
      <c r="C2005" s="3">
        <v>702203</v>
      </c>
      <c r="D2005" s="3">
        <v>262645</v>
      </c>
      <c r="E2005" s="3" t="s">
        <v>23</v>
      </c>
    </row>
    <row r="2006" spans="1:5">
      <c r="A2006" s="3" t="s">
        <v>2028</v>
      </c>
      <c r="B2006" s="3" t="s">
        <v>22</v>
      </c>
      <c r="C2006" s="3">
        <v>616580</v>
      </c>
      <c r="D2006" s="3">
        <v>108048</v>
      </c>
      <c r="E2006" s="3" t="s">
        <v>23</v>
      </c>
    </row>
    <row r="2007" spans="1:5">
      <c r="A2007" s="3" t="s">
        <v>2029</v>
      </c>
      <c r="B2007" s="3" t="s">
        <v>22</v>
      </c>
      <c r="C2007" s="3">
        <v>740482</v>
      </c>
      <c r="D2007" s="3">
        <v>97965</v>
      </c>
      <c r="E2007" s="3" t="s">
        <v>23</v>
      </c>
    </row>
    <row r="2008" spans="1:5">
      <c r="A2008" s="3" t="s">
        <v>2030</v>
      </c>
      <c r="B2008" s="3" t="s">
        <v>22</v>
      </c>
      <c r="C2008" s="3">
        <v>522149</v>
      </c>
      <c r="D2008" s="3">
        <v>65010</v>
      </c>
      <c r="E2008" s="3" t="s">
        <v>23</v>
      </c>
    </row>
    <row r="2009" spans="1:5">
      <c r="A2009" s="3" t="s">
        <v>2031</v>
      </c>
      <c r="B2009" s="3" t="s">
        <v>22</v>
      </c>
      <c r="C2009" s="3">
        <v>438059</v>
      </c>
      <c r="D2009" s="3">
        <v>38907</v>
      </c>
      <c r="E2009" s="3" t="s">
        <v>23</v>
      </c>
    </row>
    <row r="2010" spans="1:5">
      <c r="A2010" s="3" t="s">
        <v>2032</v>
      </c>
      <c r="B2010" s="3" t="s">
        <v>22</v>
      </c>
      <c r="C2010" s="3">
        <v>563884</v>
      </c>
      <c r="D2010" s="3">
        <v>171924</v>
      </c>
      <c r="E2010" s="3" t="s">
        <v>23</v>
      </c>
    </row>
    <row r="2011" spans="1:5">
      <c r="A2011" s="3" t="s">
        <v>2033</v>
      </c>
      <c r="B2011" s="3" t="s">
        <v>22</v>
      </c>
      <c r="C2011" s="3">
        <v>595222</v>
      </c>
      <c r="D2011" s="3">
        <v>204010</v>
      </c>
      <c r="E2011" s="3" t="s">
        <v>23</v>
      </c>
    </row>
    <row r="2012" spans="1:5">
      <c r="A2012" s="3" t="s">
        <v>2034</v>
      </c>
      <c r="B2012" s="3" t="s">
        <v>22</v>
      </c>
      <c r="C2012" s="3">
        <v>472949</v>
      </c>
      <c r="D2012" s="3">
        <v>26896</v>
      </c>
      <c r="E2012" s="3" t="s">
        <v>23</v>
      </c>
    </row>
    <row r="2013" spans="1:5">
      <c r="A2013" s="3" t="s">
        <v>2035</v>
      </c>
      <c r="B2013" s="3" t="s">
        <v>22</v>
      </c>
      <c r="C2013" s="3">
        <v>372391</v>
      </c>
      <c r="D2013" s="3">
        <v>13</v>
      </c>
      <c r="E2013" s="3" t="s">
        <v>23</v>
      </c>
    </row>
    <row r="2014" spans="1:5">
      <c r="A2014" s="3" t="s">
        <v>2036</v>
      </c>
      <c r="B2014" s="3" t="s">
        <v>22</v>
      </c>
      <c r="C2014" s="3">
        <v>618161</v>
      </c>
      <c r="D2014" s="3">
        <v>158728</v>
      </c>
      <c r="E2014" s="3" t="s">
        <v>23</v>
      </c>
    </row>
    <row r="2015" spans="1:5">
      <c r="A2015" s="3" t="s">
        <v>2037</v>
      </c>
      <c r="B2015" s="3" t="s">
        <v>22</v>
      </c>
      <c r="C2015" s="3">
        <v>801035</v>
      </c>
      <c r="D2015" s="3">
        <v>184537</v>
      </c>
      <c r="E2015" s="3" t="s">
        <v>23</v>
      </c>
    </row>
    <row r="2016" spans="1:5">
      <c r="A2016" s="3" t="s">
        <v>2038</v>
      </c>
      <c r="B2016" s="3" t="s">
        <v>22</v>
      </c>
      <c r="C2016" s="3">
        <v>4864</v>
      </c>
      <c r="D2016" s="3">
        <v>1121</v>
      </c>
      <c r="E2016" s="3" t="s">
        <v>23</v>
      </c>
    </row>
    <row r="2017" spans="1:5">
      <c r="A2017" s="3" t="s">
        <v>2039</v>
      </c>
      <c r="B2017" s="3" t="s">
        <v>22</v>
      </c>
      <c r="C2017" s="3">
        <v>696665</v>
      </c>
      <c r="D2017" s="3">
        <v>99557</v>
      </c>
      <c r="E2017" s="3" t="s">
        <v>23</v>
      </c>
    </row>
    <row r="2018" spans="1:5">
      <c r="A2018" s="3" t="s">
        <v>2040</v>
      </c>
      <c r="B2018" s="3" t="s">
        <v>22</v>
      </c>
      <c r="C2018" s="3">
        <v>568840</v>
      </c>
      <c r="D2018" s="3">
        <v>43486</v>
      </c>
      <c r="E2018" s="3" t="s">
        <v>23</v>
      </c>
    </row>
    <row r="2019" spans="1:5">
      <c r="A2019" s="3" t="s">
        <v>2041</v>
      </c>
      <c r="B2019" s="3" t="s">
        <v>22</v>
      </c>
      <c r="C2019" s="3">
        <v>572067</v>
      </c>
      <c r="D2019" s="3">
        <v>16661</v>
      </c>
      <c r="E2019" s="3" t="s">
        <v>23</v>
      </c>
    </row>
    <row r="2020" spans="1:5">
      <c r="A2020" s="3" t="s">
        <v>2042</v>
      </c>
      <c r="B2020" s="3" t="s">
        <v>22</v>
      </c>
      <c r="C2020" s="3">
        <v>389063</v>
      </c>
      <c r="D2020" s="3">
        <v>2487</v>
      </c>
      <c r="E2020" s="3" t="s">
        <v>23</v>
      </c>
    </row>
    <row r="2021" spans="1:5">
      <c r="A2021" s="3" t="s">
        <v>2043</v>
      </c>
      <c r="B2021" s="3" t="s">
        <v>22</v>
      </c>
      <c r="C2021" s="3">
        <v>621792</v>
      </c>
      <c r="D2021" s="3">
        <v>173129</v>
      </c>
      <c r="E2021" s="3" t="s">
        <v>23</v>
      </c>
    </row>
    <row r="2022" spans="1:5">
      <c r="A2022" s="3" t="s">
        <v>2044</v>
      </c>
      <c r="B2022" s="3" t="s">
        <v>22</v>
      </c>
      <c r="C2022" s="3">
        <v>718393</v>
      </c>
      <c r="D2022" s="3">
        <v>65833</v>
      </c>
      <c r="E2022" s="3" t="s">
        <v>23</v>
      </c>
    </row>
    <row r="2023" spans="1:5">
      <c r="A2023" s="3" t="s">
        <v>2045</v>
      </c>
      <c r="B2023" s="3" t="s">
        <v>22</v>
      </c>
      <c r="C2023" s="3">
        <v>521213</v>
      </c>
      <c r="D2023" s="3">
        <v>120832</v>
      </c>
      <c r="E2023" s="3" t="s">
        <v>23</v>
      </c>
    </row>
    <row r="2024" spans="1:5">
      <c r="A2024" s="3" t="s">
        <v>2046</v>
      </c>
      <c r="B2024" s="3" t="s">
        <v>22</v>
      </c>
      <c r="C2024" s="3">
        <v>457571</v>
      </c>
      <c r="D2024" s="3">
        <v>18590</v>
      </c>
      <c r="E2024" s="3" t="s">
        <v>23</v>
      </c>
    </row>
    <row r="2025" spans="1:5">
      <c r="A2025" s="3" t="s">
        <v>2047</v>
      </c>
      <c r="B2025" s="3" t="s">
        <v>22</v>
      </c>
      <c r="C2025" s="3">
        <v>557078</v>
      </c>
      <c r="D2025" s="3">
        <v>64872</v>
      </c>
      <c r="E2025" s="3" t="s">
        <v>23</v>
      </c>
    </row>
    <row r="2026" spans="1:5">
      <c r="A2026" s="3" t="s">
        <v>2048</v>
      </c>
      <c r="B2026" s="3" t="s">
        <v>22</v>
      </c>
      <c r="C2026" s="3">
        <v>829682</v>
      </c>
      <c r="D2026" s="3">
        <v>146692</v>
      </c>
      <c r="E2026" s="3" t="s">
        <v>23</v>
      </c>
    </row>
    <row r="2027" spans="1:5">
      <c r="A2027" s="3" t="s">
        <v>2049</v>
      </c>
      <c r="B2027" s="3" t="s">
        <v>22</v>
      </c>
      <c r="C2027" s="3">
        <v>2033</v>
      </c>
      <c r="D2027" s="3">
        <v>973</v>
      </c>
      <c r="E2027" s="3" t="s">
        <v>23</v>
      </c>
    </row>
    <row r="2028" spans="1:5">
      <c r="A2028" s="3" t="s">
        <v>2050</v>
      </c>
      <c r="B2028" s="3" t="s">
        <v>22</v>
      </c>
      <c r="C2028" s="3">
        <v>560890</v>
      </c>
      <c r="D2028" s="3">
        <v>54705</v>
      </c>
      <c r="E2028" s="3" t="s">
        <v>23</v>
      </c>
    </row>
    <row r="2029" spans="1:5">
      <c r="A2029" s="3" t="s">
        <v>2051</v>
      </c>
      <c r="B2029" s="3" t="s">
        <v>22</v>
      </c>
      <c r="C2029" s="3">
        <v>303024</v>
      </c>
      <c r="D2029" s="3">
        <v>119533</v>
      </c>
      <c r="E2029" s="3" t="s">
        <v>23</v>
      </c>
    </row>
    <row r="2030" spans="1:5">
      <c r="A2030" s="3" t="s">
        <v>2052</v>
      </c>
      <c r="B2030" s="3" t="s">
        <v>22</v>
      </c>
      <c r="C2030" s="3">
        <v>698177</v>
      </c>
      <c r="D2030" s="3">
        <v>72183</v>
      </c>
      <c r="E2030" s="3" t="s">
        <v>23</v>
      </c>
    </row>
    <row r="2031" spans="1:5">
      <c r="A2031" s="3" t="s">
        <v>2053</v>
      </c>
      <c r="B2031" s="3" t="s">
        <v>22</v>
      </c>
      <c r="C2031" s="3">
        <v>688995</v>
      </c>
      <c r="D2031" s="3">
        <v>9661</v>
      </c>
      <c r="E2031" s="3" t="s">
        <v>23</v>
      </c>
    </row>
    <row r="2032" spans="1:5">
      <c r="A2032" s="3" t="s">
        <v>2054</v>
      </c>
      <c r="B2032" s="3" t="s">
        <v>22</v>
      </c>
      <c r="C2032" s="3">
        <v>617088</v>
      </c>
      <c r="D2032" s="3">
        <v>48924</v>
      </c>
      <c r="E2032" s="3" t="s">
        <v>23</v>
      </c>
    </row>
    <row r="2033" spans="1:5">
      <c r="A2033" s="3" t="s">
        <v>2055</v>
      </c>
      <c r="B2033" s="3" t="s">
        <v>22</v>
      </c>
      <c r="C2033" s="3">
        <v>428024</v>
      </c>
      <c r="D2033" s="3">
        <v>94352</v>
      </c>
      <c r="E2033" s="3" t="s">
        <v>23</v>
      </c>
    </row>
    <row r="2034" spans="1:5">
      <c r="A2034" s="3" t="s">
        <v>2056</v>
      </c>
      <c r="B2034" s="3" t="s">
        <v>22</v>
      </c>
      <c r="C2034" s="3">
        <v>608179</v>
      </c>
      <c r="D2034" s="3">
        <v>83831</v>
      </c>
      <c r="E2034" s="3" t="s">
        <v>23</v>
      </c>
    </row>
    <row r="2035" spans="1:5">
      <c r="A2035" s="3" t="s">
        <v>2057</v>
      </c>
      <c r="B2035" s="3" t="s">
        <v>22</v>
      </c>
      <c r="C2035" s="3">
        <v>352222</v>
      </c>
      <c r="D2035" s="3">
        <v>48783</v>
      </c>
      <c r="E2035" s="3" t="s">
        <v>23</v>
      </c>
    </row>
    <row r="2036" spans="1:5">
      <c r="A2036" s="3" t="s">
        <v>2058</v>
      </c>
      <c r="B2036" s="3" t="s">
        <v>22</v>
      </c>
      <c r="C2036" s="3">
        <v>697354</v>
      </c>
      <c r="D2036" s="3">
        <v>178913</v>
      </c>
      <c r="E2036" s="3" t="s">
        <v>23</v>
      </c>
    </row>
    <row r="2037" spans="1:5">
      <c r="A2037" s="3" t="s">
        <v>2059</v>
      </c>
      <c r="B2037" s="3" t="s">
        <v>22</v>
      </c>
      <c r="C2037" s="3">
        <v>414850</v>
      </c>
      <c r="D2037" s="3">
        <v>5782</v>
      </c>
      <c r="E2037" s="3" t="s">
        <v>23</v>
      </c>
    </row>
    <row r="2038" spans="1:5">
      <c r="A2038" s="3" t="s">
        <v>2060</v>
      </c>
      <c r="B2038" s="3" t="s">
        <v>22</v>
      </c>
      <c r="C2038" s="3">
        <v>526901</v>
      </c>
      <c r="D2038" s="3">
        <v>61040</v>
      </c>
      <c r="E2038" s="3" t="s">
        <v>23</v>
      </c>
    </row>
    <row r="2039" spans="1:5">
      <c r="A2039" s="3" t="s">
        <v>2061</v>
      </c>
      <c r="B2039" s="3" t="s">
        <v>22</v>
      </c>
      <c r="C2039" s="3">
        <v>374866</v>
      </c>
      <c r="D2039" s="3">
        <v>60893</v>
      </c>
      <c r="E2039" s="3" t="s">
        <v>23</v>
      </c>
    </row>
    <row r="2040" spans="1:5">
      <c r="A2040" s="3" t="s">
        <v>2062</v>
      </c>
      <c r="B2040" s="3" t="s">
        <v>22</v>
      </c>
      <c r="C2040" s="3">
        <v>623182</v>
      </c>
      <c r="D2040" s="3">
        <v>11184</v>
      </c>
      <c r="E2040" s="3" t="s">
        <v>23</v>
      </c>
    </row>
    <row r="2041" spans="1:5">
      <c r="A2041" s="3" t="s">
        <v>2063</v>
      </c>
      <c r="B2041" s="3" t="s">
        <v>22</v>
      </c>
      <c r="C2041" s="3">
        <v>623520</v>
      </c>
      <c r="D2041" s="3">
        <v>178259</v>
      </c>
      <c r="E2041" s="3" t="s">
        <v>23</v>
      </c>
    </row>
    <row r="2042" spans="1:5">
      <c r="A2042" s="3" t="s">
        <v>2064</v>
      </c>
      <c r="B2042" s="3" t="s">
        <v>22</v>
      </c>
      <c r="C2042" s="3">
        <v>623905</v>
      </c>
      <c r="D2042" s="3">
        <v>64612</v>
      </c>
      <c r="E2042" s="3" t="s">
        <v>23</v>
      </c>
    </row>
    <row r="2043" spans="1:5">
      <c r="A2043" s="3" t="s">
        <v>2065</v>
      </c>
      <c r="B2043" s="3" t="s">
        <v>22</v>
      </c>
      <c r="C2043" s="3">
        <v>777805</v>
      </c>
      <c r="D2043" s="3">
        <v>39575</v>
      </c>
      <c r="E2043" s="3" t="s">
        <v>23</v>
      </c>
    </row>
    <row r="2044" spans="1:5">
      <c r="A2044" s="3" t="s">
        <v>2066</v>
      </c>
      <c r="B2044" s="3" t="s">
        <v>22</v>
      </c>
      <c r="C2044" s="3">
        <v>415171</v>
      </c>
      <c r="D2044" s="3">
        <v>2777</v>
      </c>
      <c r="E2044" s="3" t="s">
        <v>23</v>
      </c>
    </row>
    <row r="2045" spans="1:5">
      <c r="A2045" s="3" t="s">
        <v>2067</v>
      </c>
      <c r="B2045" s="3" t="s">
        <v>22</v>
      </c>
      <c r="C2045" s="3">
        <v>288376</v>
      </c>
      <c r="D2045" s="3">
        <v>75471</v>
      </c>
      <c r="E2045" s="3" t="s">
        <v>23</v>
      </c>
    </row>
    <row r="2046" spans="1:5">
      <c r="A2046" s="3" t="s">
        <v>2068</v>
      </c>
      <c r="B2046" s="3" t="s">
        <v>22</v>
      </c>
      <c r="C2046" s="3">
        <v>734954</v>
      </c>
      <c r="D2046" s="3">
        <v>63308</v>
      </c>
      <c r="E2046" s="3" t="s">
        <v>23</v>
      </c>
    </row>
    <row r="2047" spans="1:5">
      <c r="A2047" s="3" t="s">
        <v>2069</v>
      </c>
      <c r="B2047" s="3" t="s">
        <v>22</v>
      </c>
      <c r="C2047" s="3">
        <v>586872</v>
      </c>
      <c r="D2047" s="3">
        <v>37629</v>
      </c>
      <c r="E2047" s="3" t="s">
        <v>23</v>
      </c>
    </row>
    <row r="2048" spans="1:5">
      <c r="A2048" s="3" t="s">
        <v>2070</v>
      </c>
      <c r="B2048" s="3" t="s">
        <v>22</v>
      </c>
      <c r="C2048" s="3">
        <v>838655</v>
      </c>
      <c r="D2048" s="3">
        <v>286269</v>
      </c>
      <c r="E2048" s="3" t="s">
        <v>23</v>
      </c>
    </row>
    <row r="2049" spans="1:5">
      <c r="A2049" s="3" t="s">
        <v>2071</v>
      </c>
      <c r="B2049" s="3" t="s">
        <v>22</v>
      </c>
      <c r="C2049" s="3">
        <v>472040</v>
      </c>
      <c r="D2049" s="3">
        <v>179198</v>
      </c>
      <c r="E2049" s="3" t="s">
        <v>23</v>
      </c>
    </row>
    <row r="2050" spans="1:5">
      <c r="A2050" s="3" t="s">
        <v>2072</v>
      </c>
      <c r="B2050" s="3" t="s">
        <v>22</v>
      </c>
      <c r="C2050" s="3">
        <v>707057</v>
      </c>
      <c r="D2050" s="3">
        <v>126988</v>
      </c>
      <c r="E2050" s="3" t="s">
        <v>23</v>
      </c>
    </row>
    <row r="2051" spans="1:5">
      <c r="A2051" s="3" t="s">
        <v>2073</v>
      </c>
      <c r="B2051" s="3" t="s">
        <v>22</v>
      </c>
      <c r="C2051" s="3">
        <v>742424</v>
      </c>
      <c r="D2051" s="3">
        <v>15676</v>
      </c>
      <c r="E2051" s="3" t="s">
        <v>23</v>
      </c>
    </row>
    <row r="2052" spans="1:5">
      <c r="A2052" s="3" t="s">
        <v>2074</v>
      </c>
      <c r="B2052" s="3" t="s">
        <v>22</v>
      </c>
      <c r="C2052" s="3">
        <v>352328</v>
      </c>
      <c r="D2052" s="3">
        <v>86415</v>
      </c>
      <c r="E2052" s="3" t="s">
        <v>23</v>
      </c>
    </row>
    <row r="2053" spans="1:5">
      <c r="A2053" s="3" t="s">
        <v>2075</v>
      </c>
      <c r="B2053" s="3" t="s">
        <v>22</v>
      </c>
      <c r="C2053" s="3">
        <v>424539</v>
      </c>
      <c r="D2053" s="3">
        <v>127986</v>
      </c>
      <c r="E2053" s="3" t="s">
        <v>23</v>
      </c>
    </row>
    <row r="2054" spans="1:5">
      <c r="A2054" s="3" t="s">
        <v>2076</v>
      </c>
      <c r="B2054" s="3" t="s">
        <v>22</v>
      </c>
      <c r="C2054" s="3">
        <v>395288</v>
      </c>
      <c r="D2054" s="3">
        <v>4048</v>
      </c>
      <c r="E2054" s="3" t="s">
        <v>23</v>
      </c>
    </row>
    <row r="2055" spans="1:5">
      <c r="A2055" s="3" t="s">
        <v>2077</v>
      </c>
      <c r="B2055" s="3" t="s">
        <v>22</v>
      </c>
      <c r="C2055" s="3">
        <v>465386</v>
      </c>
      <c r="D2055" s="3">
        <v>4968</v>
      </c>
      <c r="E2055" s="3" t="s">
        <v>23</v>
      </c>
    </row>
    <row r="2056" spans="1:5">
      <c r="A2056" s="3" t="s">
        <v>2078</v>
      </c>
      <c r="B2056" s="3" t="s">
        <v>22</v>
      </c>
      <c r="C2056" s="3">
        <v>698906</v>
      </c>
      <c r="D2056" s="3">
        <v>250925</v>
      </c>
      <c r="E2056" s="3" t="s">
        <v>23</v>
      </c>
    </row>
    <row r="2057" spans="1:5">
      <c r="A2057" s="3" t="s">
        <v>2079</v>
      </c>
      <c r="B2057" s="3" t="s">
        <v>22</v>
      </c>
      <c r="C2057" s="3">
        <v>720186</v>
      </c>
      <c r="D2057" s="3">
        <v>188638</v>
      </c>
      <c r="E2057" s="3" t="s">
        <v>23</v>
      </c>
    </row>
    <row r="2058" spans="1:5">
      <c r="A2058" s="3" t="s">
        <v>2080</v>
      </c>
      <c r="B2058" s="3" t="s">
        <v>22</v>
      </c>
      <c r="C2058" s="3">
        <v>421864</v>
      </c>
      <c r="D2058" s="3">
        <v>144929</v>
      </c>
      <c r="E2058" s="3" t="s">
        <v>23</v>
      </c>
    </row>
    <row r="2059" spans="1:5">
      <c r="A2059" s="3" t="s">
        <v>2081</v>
      </c>
      <c r="B2059" s="3" t="s">
        <v>22</v>
      </c>
      <c r="C2059" s="3">
        <v>591664</v>
      </c>
      <c r="D2059" s="3">
        <v>76031</v>
      </c>
      <c r="E2059" s="3" t="s">
        <v>23</v>
      </c>
    </row>
    <row r="2060" spans="1:5">
      <c r="A2060" s="3" t="s">
        <v>2082</v>
      </c>
      <c r="B2060" s="3" t="s">
        <v>22</v>
      </c>
      <c r="C2060" s="3">
        <v>333143</v>
      </c>
      <c r="D2060" s="3">
        <v>116327</v>
      </c>
      <c r="E2060" s="3" t="s">
        <v>23</v>
      </c>
    </row>
    <row r="2061" spans="1:5">
      <c r="A2061" s="3" t="s">
        <v>2083</v>
      </c>
      <c r="B2061" s="3" t="s">
        <v>22</v>
      </c>
      <c r="C2061" s="3">
        <v>679546</v>
      </c>
      <c r="D2061" s="3">
        <v>6239</v>
      </c>
      <c r="E2061" s="3" t="s">
        <v>23</v>
      </c>
    </row>
    <row r="2062" spans="1:5">
      <c r="A2062" s="3" t="s">
        <v>2084</v>
      </c>
      <c r="B2062" s="3" t="s">
        <v>22</v>
      </c>
      <c r="C2062" s="3">
        <v>883609</v>
      </c>
      <c r="D2062" s="3">
        <v>75802</v>
      </c>
      <c r="E2062" s="3" t="s">
        <v>23</v>
      </c>
    </row>
    <row r="2063" spans="1:5">
      <c r="A2063" s="3" t="s">
        <v>2085</v>
      </c>
      <c r="B2063" s="3" t="s">
        <v>22</v>
      </c>
      <c r="C2063" s="3">
        <v>508757</v>
      </c>
      <c r="D2063" s="3">
        <v>184514</v>
      </c>
      <c r="E2063" s="3" t="s">
        <v>23</v>
      </c>
    </row>
    <row r="2064" spans="1:5">
      <c r="A2064" s="3" t="s">
        <v>2086</v>
      </c>
      <c r="B2064" s="3" t="s">
        <v>22</v>
      </c>
      <c r="C2064" s="3">
        <v>716159</v>
      </c>
      <c r="D2064" s="3">
        <v>192064</v>
      </c>
      <c r="E2064" s="3" t="s">
        <v>23</v>
      </c>
    </row>
    <row r="2065" spans="1:5">
      <c r="A2065" s="3" t="s">
        <v>2087</v>
      </c>
      <c r="B2065" s="3" t="s">
        <v>22</v>
      </c>
      <c r="C2065" s="3">
        <v>571954</v>
      </c>
      <c r="D2065" s="3">
        <v>210589</v>
      </c>
      <c r="E2065" s="3" t="s">
        <v>23</v>
      </c>
    </row>
    <row r="2066" spans="1:5">
      <c r="A2066" s="3" t="s">
        <v>2088</v>
      </c>
      <c r="B2066" s="3" t="s">
        <v>22</v>
      </c>
      <c r="C2066" s="3">
        <v>759397</v>
      </c>
      <c r="D2066" s="3">
        <v>2291</v>
      </c>
      <c r="E2066" s="3" t="s">
        <v>23</v>
      </c>
    </row>
    <row r="2067" spans="1:5">
      <c r="A2067" s="3" t="s">
        <v>2089</v>
      </c>
      <c r="B2067" s="3" t="s">
        <v>22</v>
      </c>
      <c r="C2067" s="3">
        <v>585161</v>
      </c>
      <c r="D2067" s="3">
        <v>212938</v>
      </c>
      <c r="E2067" s="3" t="s">
        <v>23</v>
      </c>
    </row>
    <row r="2068" spans="1:5">
      <c r="A2068" s="3" t="s">
        <v>2090</v>
      </c>
      <c r="B2068" s="3" t="s">
        <v>22</v>
      </c>
      <c r="C2068" s="3">
        <v>744186</v>
      </c>
      <c r="D2068" s="3">
        <v>210465</v>
      </c>
      <c r="E2068" s="3" t="s">
        <v>23</v>
      </c>
    </row>
    <row r="2069" spans="1:5">
      <c r="A2069" s="3" t="s">
        <v>2091</v>
      </c>
      <c r="B2069" s="3" t="s">
        <v>22</v>
      </c>
      <c r="C2069" s="3">
        <v>389831</v>
      </c>
      <c r="D2069" s="3">
        <v>145056</v>
      </c>
      <c r="E2069" s="3" t="s">
        <v>23</v>
      </c>
    </row>
    <row r="2070" spans="1:5">
      <c r="A2070" s="3" t="s">
        <v>2092</v>
      </c>
      <c r="B2070" s="3" t="s">
        <v>22</v>
      </c>
      <c r="C2070" s="3">
        <v>771332</v>
      </c>
      <c r="D2070" s="3">
        <v>18697</v>
      </c>
      <c r="E2070" s="3" t="s">
        <v>23</v>
      </c>
    </row>
    <row r="2071" spans="1:5">
      <c r="A2071" s="3" t="s">
        <v>2093</v>
      </c>
      <c r="B2071" s="3" t="s">
        <v>22</v>
      </c>
      <c r="C2071" s="3">
        <v>624034</v>
      </c>
      <c r="D2071" s="3">
        <v>198563</v>
      </c>
      <c r="E2071" s="3" t="s">
        <v>23</v>
      </c>
    </row>
    <row r="2072" spans="1:5">
      <c r="A2072" s="3" t="s">
        <v>2094</v>
      </c>
      <c r="B2072" s="3" t="s">
        <v>22</v>
      </c>
      <c r="C2072" s="3">
        <v>664640</v>
      </c>
      <c r="D2072" s="3">
        <v>53824</v>
      </c>
      <c r="E2072" s="3" t="s">
        <v>23</v>
      </c>
    </row>
    <row r="2073" spans="1:5">
      <c r="A2073" s="3" t="s">
        <v>2095</v>
      </c>
      <c r="B2073" s="3" t="s">
        <v>22</v>
      </c>
      <c r="C2073" s="3">
        <v>717428</v>
      </c>
      <c r="D2073" s="3">
        <v>133199</v>
      </c>
      <c r="E2073" s="3" t="s">
        <v>23</v>
      </c>
    </row>
    <row r="2074" spans="1:5">
      <c r="A2074" s="3" t="s">
        <v>2096</v>
      </c>
      <c r="B2074" s="3" t="s">
        <v>22</v>
      </c>
      <c r="C2074" s="3">
        <v>702852</v>
      </c>
      <c r="D2074" s="3">
        <v>206010</v>
      </c>
      <c r="E2074" s="3" t="s">
        <v>23</v>
      </c>
    </row>
    <row r="2075" spans="1:5">
      <c r="A2075" s="3" t="s">
        <v>2097</v>
      </c>
      <c r="B2075" s="3" t="s">
        <v>22</v>
      </c>
      <c r="C2075" s="3">
        <v>566317</v>
      </c>
      <c r="D2075" s="3">
        <v>155569</v>
      </c>
      <c r="E2075" s="3" t="s">
        <v>23</v>
      </c>
    </row>
    <row r="2076" spans="1:5">
      <c r="A2076" s="3" t="s">
        <v>2098</v>
      </c>
      <c r="B2076" s="3" t="s">
        <v>22</v>
      </c>
      <c r="C2076" s="3">
        <v>86229</v>
      </c>
      <c r="D2076" s="3">
        <v>17441</v>
      </c>
      <c r="E2076" s="3" t="s">
        <v>23</v>
      </c>
    </row>
    <row r="2077" spans="1:5">
      <c r="A2077" s="3" t="s">
        <v>2099</v>
      </c>
      <c r="B2077" s="3" t="s">
        <v>22</v>
      </c>
      <c r="C2077" s="3">
        <v>714264</v>
      </c>
      <c r="D2077" s="3">
        <v>8816</v>
      </c>
      <c r="E2077" s="3" t="s">
        <v>23</v>
      </c>
    </row>
    <row r="2078" spans="1:5">
      <c r="A2078" s="3" t="s">
        <v>2100</v>
      </c>
      <c r="B2078" s="3" t="s">
        <v>22</v>
      </c>
      <c r="C2078" s="3">
        <v>775248</v>
      </c>
      <c r="D2078" s="3">
        <v>211814</v>
      </c>
      <c r="E2078" s="3" t="s">
        <v>23</v>
      </c>
    </row>
    <row r="2079" spans="1:5">
      <c r="A2079" s="3" t="s">
        <v>2101</v>
      </c>
      <c r="B2079" s="3" t="s">
        <v>22</v>
      </c>
      <c r="C2079" s="3">
        <v>1029693</v>
      </c>
      <c r="D2079" s="3">
        <v>218569</v>
      </c>
      <c r="E2079" s="3" t="s">
        <v>23</v>
      </c>
    </row>
    <row r="2080" spans="1:5">
      <c r="A2080" s="3" t="s">
        <v>2102</v>
      </c>
      <c r="B2080" s="3" t="s">
        <v>22</v>
      </c>
      <c r="C2080" s="3">
        <v>592699</v>
      </c>
      <c r="D2080" s="3">
        <v>6688</v>
      </c>
      <c r="E2080" s="3" t="s">
        <v>23</v>
      </c>
    </row>
    <row r="2081" spans="1:5">
      <c r="A2081" s="3" t="s">
        <v>2103</v>
      </c>
      <c r="B2081" s="3" t="s">
        <v>22</v>
      </c>
      <c r="C2081" s="3">
        <v>865093</v>
      </c>
      <c r="D2081" s="3">
        <v>11430</v>
      </c>
      <c r="E2081" s="3" t="s">
        <v>23</v>
      </c>
    </row>
    <row r="2082" spans="1:5">
      <c r="A2082" s="3" t="s">
        <v>2104</v>
      </c>
      <c r="B2082" s="3" t="s">
        <v>22</v>
      </c>
      <c r="C2082" s="3">
        <v>291860</v>
      </c>
      <c r="D2082" s="3">
        <v>12749</v>
      </c>
      <c r="E2082" s="3" t="s">
        <v>23</v>
      </c>
    </row>
    <row r="2083" spans="1:5">
      <c r="A2083" s="3" t="s">
        <v>2105</v>
      </c>
      <c r="B2083" s="3" t="s">
        <v>22</v>
      </c>
      <c r="C2083" s="3">
        <v>56886</v>
      </c>
      <c r="D2083" s="3">
        <v>5122</v>
      </c>
      <c r="E2083" s="3" t="s">
        <v>23</v>
      </c>
    </row>
    <row r="2084" spans="1:5">
      <c r="A2084" s="3" t="s">
        <v>2106</v>
      </c>
      <c r="B2084" s="3" t="s">
        <v>22</v>
      </c>
      <c r="C2084" s="3">
        <v>686916</v>
      </c>
      <c r="D2084" s="3">
        <v>33294</v>
      </c>
      <c r="E2084" s="3" t="s">
        <v>23</v>
      </c>
    </row>
    <row r="2085" spans="1:5">
      <c r="A2085" s="3" t="s">
        <v>2107</v>
      </c>
      <c r="B2085" s="3" t="s">
        <v>22</v>
      </c>
      <c r="C2085" s="3">
        <v>561938</v>
      </c>
      <c r="D2085" s="3">
        <v>166625</v>
      </c>
      <c r="E2085" s="3" t="s">
        <v>23</v>
      </c>
    </row>
    <row r="2086" spans="1:5">
      <c r="A2086" s="3" t="s">
        <v>2108</v>
      </c>
      <c r="B2086" s="3" t="s">
        <v>22</v>
      </c>
      <c r="C2086" s="3">
        <v>512941</v>
      </c>
      <c r="D2086" s="3">
        <v>28150</v>
      </c>
      <c r="E2086" s="3" t="s">
        <v>23</v>
      </c>
    </row>
    <row r="2087" spans="1:5">
      <c r="A2087" s="3" t="s">
        <v>2109</v>
      </c>
      <c r="B2087" s="3" t="s">
        <v>22</v>
      </c>
      <c r="C2087" s="3">
        <v>707688</v>
      </c>
      <c r="D2087" s="3">
        <v>17919</v>
      </c>
      <c r="E2087" s="3" t="s">
        <v>23</v>
      </c>
    </row>
    <row r="2088" spans="1:5">
      <c r="A2088" s="3" t="s">
        <v>2110</v>
      </c>
      <c r="B2088" s="3" t="s">
        <v>22</v>
      </c>
      <c r="C2088" s="3">
        <v>654541</v>
      </c>
      <c r="D2088" s="3">
        <v>89611</v>
      </c>
      <c r="E2088" s="3" t="s">
        <v>23</v>
      </c>
    </row>
    <row r="2089" spans="1:5">
      <c r="A2089" s="3" t="s">
        <v>2111</v>
      </c>
      <c r="B2089" s="3" t="s">
        <v>22</v>
      </c>
      <c r="C2089" s="3">
        <v>709127</v>
      </c>
      <c r="D2089" s="3">
        <v>110982</v>
      </c>
      <c r="E2089" s="3" t="s">
        <v>23</v>
      </c>
    </row>
    <row r="2090" spans="1:5">
      <c r="A2090" s="3" t="s">
        <v>2112</v>
      </c>
      <c r="B2090" s="3" t="s">
        <v>22</v>
      </c>
      <c r="C2090" s="3">
        <v>565079</v>
      </c>
      <c r="D2090" s="3">
        <v>30739</v>
      </c>
      <c r="E2090" s="3" t="s">
        <v>23</v>
      </c>
    </row>
    <row r="2091" spans="1:5">
      <c r="A2091" s="3" t="s">
        <v>2113</v>
      </c>
      <c r="B2091" s="3" t="s">
        <v>22</v>
      </c>
      <c r="C2091" s="3">
        <v>381280</v>
      </c>
      <c r="D2091" s="3">
        <v>123736</v>
      </c>
      <c r="E2091" s="3" t="s">
        <v>23</v>
      </c>
    </row>
    <row r="2092" spans="1:5">
      <c r="A2092" s="3" t="s">
        <v>2114</v>
      </c>
      <c r="B2092" s="3" t="s">
        <v>22</v>
      </c>
      <c r="C2092" s="3">
        <v>812704</v>
      </c>
      <c r="D2092" s="3">
        <v>109392</v>
      </c>
      <c r="E2092" s="3" t="s">
        <v>23</v>
      </c>
    </row>
    <row r="2093" spans="1:5">
      <c r="A2093" s="3" t="s">
        <v>2115</v>
      </c>
      <c r="B2093" s="3" t="s">
        <v>22</v>
      </c>
      <c r="C2093" s="3">
        <v>893214</v>
      </c>
      <c r="D2093" s="3">
        <v>161356</v>
      </c>
      <c r="E2093" s="3" t="s">
        <v>23</v>
      </c>
    </row>
    <row r="2094" spans="1:5">
      <c r="A2094" s="3" t="s">
        <v>2116</v>
      </c>
      <c r="B2094" s="3" t="s">
        <v>22</v>
      </c>
      <c r="C2094" s="3">
        <v>492188</v>
      </c>
      <c r="D2094" s="3">
        <v>23560</v>
      </c>
      <c r="E2094" s="3" t="s">
        <v>23</v>
      </c>
    </row>
    <row r="2095" spans="1:5">
      <c r="A2095" s="3" t="s">
        <v>2117</v>
      </c>
      <c r="B2095" s="3" t="s">
        <v>22</v>
      </c>
      <c r="C2095" s="3">
        <v>670922</v>
      </c>
      <c r="D2095" s="3">
        <v>36811</v>
      </c>
      <c r="E2095" s="3" t="s">
        <v>23</v>
      </c>
    </row>
    <row r="2096" spans="1:5">
      <c r="A2096" s="3" t="s">
        <v>2118</v>
      </c>
      <c r="B2096" s="3" t="s">
        <v>22</v>
      </c>
      <c r="C2096" s="3">
        <v>534707</v>
      </c>
      <c r="D2096" s="3">
        <v>41819</v>
      </c>
      <c r="E2096" s="3" t="s">
        <v>23</v>
      </c>
    </row>
    <row r="2097" spans="1:5">
      <c r="A2097" s="3" t="s">
        <v>2119</v>
      </c>
      <c r="B2097" s="3" t="s">
        <v>22</v>
      </c>
      <c r="C2097" s="3">
        <v>614016</v>
      </c>
      <c r="D2097" s="3">
        <v>148850</v>
      </c>
      <c r="E2097" s="3" t="s">
        <v>23</v>
      </c>
    </row>
    <row r="2098" spans="1:5">
      <c r="A2098" s="3" t="s">
        <v>2120</v>
      </c>
      <c r="B2098" s="3" t="s">
        <v>22</v>
      </c>
      <c r="C2098" s="3">
        <v>754685</v>
      </c>
      <c r="D2098" s="3">
        <v>249635</v>
      </c>
      <c r="E2098" s="3" t="s">
        <v>23</v>
      </c>
    </row>
    <row r="2099" spans="1:5">
      <c r="A2099" s="3" t="s">
        <v>2121</v>
      </c>
      <c r="B2099" s="3" t="s">
        <v>22</v>
      </c>
      <c r="C2099" s="3">
        <v>552528</v>
      </c>
      <c r="D2099" s="3">
        <v>18531</v>
      </c>
      <c r="E2099" s="3" t="s">
        <v>23</v>
      </c>
    </row>
    <row r="2100" spans="1:5">
      <c r="A2100" s="3" t="s">
        <v>2122</v>
      </c>
      <c r="B2100" s="3" t="s">
        <v>22</v>
      </c>
      <c r="C2100" s="3">
        <v>962406</v>
      </c>
      <c r="D2100" s="3">
        <v>163898</v>
      </c>
      <c r="E2100" s="3" t="s">
        <v>23</v>
      </c>
    </row>
    <row r="2101" spans="1:5">
      <c r="A2101" s="3" t="s">
        <v>2123</v>
      </c>
      <c r="B2101" s="3" t="s">
        <v>22</v>
      </c>
      <c r="C2101" s="3">
        <v>554954</v>
      </c>
      <c r="D2101" s="3">
        <v>131987</v>
      </c>
      <c r="E2101" s="3" t="s">
        <v>23</v>
      </c>
    </row>
    <row r="2102" spans="1:5">
      <c r="A2102" s="3" t="s">
        <v>2124</v>
      </c>
      <c r="B2102" s="3" t="s">
        <v>22</v>
      </c>
      <c r="C2102" s="3">
        <v>458502</v>
      </c>
      <c r="D2102" s="3">
        <v>19397</v>
      </c>
      <c r="E2102" s="3" t="s">
        <v>23</v>
      </c>
    </row>
    <row r="2103" spans="1:5">
      <c r="A2103" s="3" t="s">
        <v>2125</v>
      </c>
      <c r="B2103" s="3" t="s">
        <v>22</v>
      </c>
      <c r="C2103" s="3">
        <v>573239</v>
      </c>
      <c r="D2103" s="3">
        <v>176944</v>
      </c>
      <c r="E2103" s="3" t="s">
        <v>23</v>
      </c>
    </row>
    <row r="2104" spans="1:5">
      <c r="A2104" s="3" t="s">
        <v>2126</v>
      </c>
      <c r="B2104" s="3" t="s">
        <v>22</v>
      </c>
      <c r="C2104" s="3">
        <v>566252</v>
      </c>
      <c r="D2104" s="3">
        <v>113243</v>
      </c>
      <c r="E2104" s="3" t="s">
        <v>23</v>
      </c>
    </row>
    <row r="2105" spans="1:5">
      <c r="A2105" s="3" t="s">
        <v>2127</v>
      </c>
      <c r="B2105" s="3" t="s">
        <v>22</v>
      </c>
      <c r="C2105" s="3">
        <v>874750</v>
      </c>
      <c r="D2105" s="3">
        <v>14601</v>
      </c>
      <c r="E2105" s="3" t="s">
        <v>23</v>
      </c>
    </row>
    <row r="2106" spans="1:5">
      <c r="A2106" s="3" t="s">
        <v>2128</v>
      </c>
      <c r="B2106" s="3" t="s">
        <v>22</v>
      </c>
      <c r="C2106" s="3">
        <v>941570</v>
      </c>
      <c r="D2106" s="3">
        <v>4734</v>
      </c>
      <c r="E2106" s="3" t="s">
        <v>23</v>
      </c>
    </row>
    <row r="2107" spans="1:5">
      <c r="A2107" s="3" t="s">
        <v>2129</v>
      </c>
      <c r="B2107" s="3" t="s">
        <v>22</v>
      </c>
      <c r="C2107" s="3">
        <v>110594</v>
      </c>
      <c r="D2107" s="3">
        <v>27456</v>
      </c>
      <c r="E2107" s="3" t="s">
        <v>23</v>
      </c>
    </row>
    <row r="2108" spans="1:5">
      <c r="A2108" s="3" t="s">
        <v>2130</v>
      </c>
      <c r="B2108" s="3" t="s">
        <v>22</v>
      </c>
      <c r="C2108" s="3">
        <v>821212</v>
      </c>
      <c r="D2108" s="3">
        <v>81555</v>
      </c>
      <c r="E2108" s="3" t="s">
        <v>23</v>
      </c>
    </row>
    <row r="2109" spans="1:5">
      <c r="A2109" s="3" t="s">
        <v>2131</v>
      </c>
      <c r="B2109" s="3" t="s">
        <v>22</v>
      </c>
      <c r="C2109" s="3">
        <v>672475</v>
      </c>
      <c r="D2109" s="3">
        <v>127601</v>
      </c>
      <c r="E2109" s="3" t="s">
        <v>23</v>
      </c>
    </row>
    <row r="2110" spans="1:5">
      <c r="A2110" s="3" t="s">
        <v>2132</v>
      </c>
      <c r="B2110" s="3" t="s">
        <v>22</v>
      </c>
      <c r="C2110" s="3">
        <v>418311</v>
      </c>
      <c r="D2110" s="3">
        <v>36559</v>
      </c>
      <c r="E2110" s="3" t="s">
        <v>23</v>
      </c>
    </row>
    <row r="2111" spans="1:5">
      <c r="A2111" s="3" t="s">
        <v>2133</v>
      </c>
      <c r="B2111" s="3" t="s">
        <v>22</v>
      </c>
      <c r="C2111" s="3">
        <v>997716</v>
      </c>
      <c r="D2111" s="3">
        <v>144596</v>
      </c>
      <c r="E2111" s="3" t="s">
        <v>23</v>
      </c>
    </row>
    <row r="2112" spans="1:5">
      <c r="A2112" s="3" t="s">
        <v>2134</v>
      </c>
      <c r="B2112" s="3" t="s">
        <v>22</v>
      </c>
      <c r="C2112" s="3">
        <v>684707</v>
      </c>
      <c r="D2112" s="3">
        <v>12144</v>
      </c>
      <c r="E2112" s="3" t="s">
        <v>23</v>
      </c>
    </row>
    <row r="2113" spans="1:5">
      <c r="A2113" s="3" t="s">
        <v>2135</v>
      </c>
      <c r="B2113" s="3" t="s">
        <v>22</v>
      </c>
      <c r="C2113" s="3">
        <v>436884</v>
      </c>
      <c r="D2113" s="3">
        <v>35401</v>
      </c>
      <c r="E2113" s="3" t="s">
        <v>23</v>
      </c>
    </row>
    <row r="2114" spans="1:5">
      <c r="A2114" s="3" t="s">
        <v>2136</v>
      </c>
      <c r="B2114" s="3" t="s">
        <v>22</v>
      </c>
      <c r="C2114" s="3">
        <v>817726</v>
      </c>
      <c r="D2114" s="3">
        <v>103922</v>
      </c>
      <c r="E2114" s="3" t="s">
        <v>23</v>
      </c>
    </row>
    <row r="2115" spans="1:5">
      <c r="A2115" s="3" t="s">
        <v>2137</v>
      </c>
      <c r="B2115" s="3" t="s">
        <v>22</v>
      </c>
      <c r="C2115" s="3">
        <v>790362</v>
      </c>
      <c r="D2115" s="3">
        <v>44977</v>
      </c>
      <c r="E2115" s="3" t="s">
        <v>23</v>
      </c>
    </row>
    <row r="2116" spans="1:5">
      <c r="A2116" s="3" t="s">
        <v>2138</v>
      </c>
      <c r="B2116" s="3" t="s">
        <v>22</v>
      </c>
      <c r="C2116" s="3">
        <v>659958</v>
      </c>
      <c r="D2116" s="3">
        <v>158610</v>
      </c>
      <c r="E2116" s="3" t="s">
        <v>23</v>
      </c>
    </row>
    <row r="2117" spans="1:5">
      <c r="A2117" s="3" t="s">
        <v>2139</v>
      </c>
      <c r="B2117" s="3" t="s">
        <v>22</v>
      </c>
      <c r="C2117" s="3">
        <v>1890828</v>
      </c>
      <c r="D2117" s="3">
        <v>93484</v>
      </c>
      <c r="E2117" s="3" t="s">
        <v>23</v>
      </c>
    </row>
    <row r="2118" spans="1:5">
      <c r="A2118" s="3" t="s">
        <v>2140</v>
      </c>
      <c r="B2118" s="3" t="s">
        <v>22</v>
      </c>
      <c r="C2118" s="3">
        <v>915000</v>
      </c>
      <c r="D2118" s="3">
        <v>38241</v>
      </c>
      <c r="E2118" s="3" t="s">
        <v>23</v>
      </c>
    </row>
    <row r="2119" spans="1:5">
      <c r="A2119" s="3" t="s">
        <v>2141</v>
      </c>
      <c r="B2119" s="3" t="s">
        <v>22</v>
      </c>
      <c r="C2119" s="3">
        <v>873703</v>
      </c>
      <c r="D2119" s="3">
        <v>200254</v>
      </c>
      <c r="E2119" s="3" t="s">
        <v>23</v>
      </c>
    </row>
    <row r="2120" spans="1:5">
      <c r="A2120" s="3" t="s">
        <v>2142</v>
      </c>
      <c r="B2120" s="3" t="s">
        <v>22</v>
      </c>
      <c r="C2120" s="3">
        <v>611121</v>
      </c>
      <c r="D2120" s="3">
        <v>170413</v>
      </c>
      <c r="E2120" s="3" t="s">
        <v>23</v>
      </c>
    </row>
    <row r="2121" spans="1:5">
      <c r="A2121" s="3" t="s">
        <v>2143</v>
      </c>
      <c r="B2121" s="3" t="s">
        <v>22</v>
      </c>
      <c r="C2121" s="3">
        <v>832526</v>
      </c>
      <c r="D2121" s="3">
        <v>250192</v>
      </c>
      <c r="E2121" s="3" t="s">
        <v>23</v>
      </c>
    </row>
    <row r="2122" spans="1:5">
      <c r="A2122" s="3" t="s">
        <v>2144</v>
      </c>
      <c r="B2122" s="3" t="s">
        <v>22</v>
      </c>
      <c r="C2122" s="3">
        <v>165998</v>
      </c>
      <c r="D2122" s="3">
        <v>51545</v>
      </c>
      <c r="E2122" s="3" t="s">
        <v>23</v>
      </c>
    </row>
    <row r="2123" spans="1:5">
      <c r="A2123" s="3" t="s">
        <v>2145</v>
      </c>
      <c r="B2123" s="3" t="s">
        <v>22</v>
      </c>
      <c r="C2123" s="3">
        <v>559562</v>
      </c>
      <c r="D2123" s="3">
        <v>158953</v>
      </c>
      <c r="E2123" s="3" t="s">
        <v>23</v>
      </c>
    </row>
    <row r="2124" spans="1:5">
      <c r="A2124" s="3" t="s">
        <v>2146</v>
      </c>
      <c r="B2124" s="3" t="s">
        <v>22</v>
      </c>
      <c r="C2124" s="3">
        <v>475073</v>
      </c>
      <c r="D2124" s="3">
        <v>23053</v>
      </c>
      <c r="E2124" s="3" t="s">
        <v>23</v>
      </c>
    </row>
    <row r="2125" spans="1:5">
      <c r="A2125" s="3" t="s">
        <v>2147</v>
      </c>
      <c r="B2125" s="3" t="s">
        <v>22</v>
      </c>
      <c r="C2125" s="3">
        <v>791576</v>
      </c>
      <c r="D2125" s="3">
        <v>18940</v>
      </c>
      <c r="E2125" s="3" t="s">
        <v>23</v>
      </c>
    </row>
    <row r="2126" spans="1:5">
      <c r="A2126" s="3" t="s">
        <v>2148</v>
      </c>
      <c r="B2126" s="3" t="s">
        <v>22</v>
      </c>
      <c r="C2126" s="3">
        <v>785903</v>
      </c>
      <c r="D2126" s="3">
        <v>189112</v>
      </c>
      <c r="E2126" s="3" t="s">
        <v>23</v>
      </c>
    </row>
    <row r="2127" spans="1:5">
      <c r="A2127" s="3" t="s">
        <v>2149</v>
      </c>
      <c r="B2127" s="3" t="s">
        <v>22</v>
      </c>
      <c r="C2127" s="3">
        <v>711624</v>
      </c>
      <c r="D2127" s="3">
        <v>91513</v>
      </c>
      <c r="E2127" s="3" t="s">
        <v>23</v>
      </c>
    </row>
    <row r="2128" spans="1:5">
      <c r="A2128" s="3" t="s">
        <v>2150</v>
      </c>
      <c r="B2128" s="3" t="s">
        <v>22</v>
      </c>
      <c r="C2128" s="3">
        <v>486325</v>
      </c>
      <c r="D2128" s="3">
        <v>96746</v>
      </c>
      <c r="E2128" s="3" t="s">
        <v>23</v>
      </c>
    </row>
    <row r="2129" spans="1:5">
      <c r="A2129" s="3" t="s">
        <v>2151</v>
      </c>
      <c r="B2129" s="3" t="s">
        <v>22</v>
      </c>
      <c r="C2129" s="3">
        <v>741587</v>
      </c>
      <c r="D2129" s="3">
        <v>289346</v>
      </c>
      <c r="E2129" s="3" t="s">
        <v>23</v>
      </c>
    </row>
    <row r="2130" spans="1:5">
      <c r="A2130" s="3" t="s">
        <v>2152</v>
      </c>
      <c r="B2130" s="3" t="s">
        <v>22</v>
      </c>
      <c r="C2130" s="3">
        <v>599813</v>
      </c>
      <c r="D2130" s="3">
        <v>7595</v>
      </c>
      <c r="E2130" s="3" t="s">
        <v>23</v>
      </c>
    </row>
    <row r="2131" spans="1:5">
      <c r="A2131" s="3" t="s">
        <v>2153</v>
      </c>
      <c r="B2131" s="3" t="s">
        <v>22</v>
      </c>
      <c r="C2131" s="3">
        <v>795840</v>
      </c>
      <c r="D2131" s="3">
        <v>188863</v>
      </c>
      <c r="E2131" s="3" t="s">
        <v>23</v>
      </c>
    </row>
    <row r="2132" spans="1:5">
      <c r="A2132" s="3" t="s">
        <v>2154</v>
      </c>
      <c r="B2132" s="3" t="s">
        <v>22</v>
      </c>
      <c r="C2132" s="3">
        <v>749586</v>
      </c>
      <c r="D2132" s="3">
        <v>193259</v>
      </c>
      <c r="E2132" s="3" t="s">
        <v>23</v>
      </c>
    </row>
    <row r="2133" spans="1:5">
      <c r="A2133" s="3" t="s">
        <v>2155</v>
      </c>
      <c r="B2133" s="3" t="s">
        <v>22</v>
      </c>
      <c r="C2133" s="3">
        <v>516373</v>
      </c>
      <c r="D2133" s="3">
        <v>20262</v>
      </c>
      <c r="E2133" s="3" t="s">
        <v>23</v>
      </c>
    </row>
    <row r="2134" spans="1:5">
      <c r="A2134" s="3" t="s">
        <v>2156</v>
      </c>
      <c r="B2134" s="3" t="s">
        <v>22</v>
      </c>
      <c r="C2134" s="3">
        <v>561813</v>
      </c>
      <c r="D2134" s="3">
        <v>197136</v>
      </c>
      <c r="E2134" s="3" t="s">
        <v>23</v>
      </c>
    </row>
    <row r="2135" spans="1:5">
      <c r="A2135" s="3" t="s">
        <v>2157</v>
      </c>
      <c r="B2135" s="3" t="s">
        <v>22</v>
      </c>
      <c r="C2135" s="3">
        <v>591484</v>
      </c>
      <c r="D2135" s="3">
        <v>83103</v>
      </c>
      <c r="E2135" s="3" t="s">
        <v>23</v>
      </c>
    </row>
    <row r="2136" spans="1:5">
      <c r="A2136" s="3" t="s">
        <v>2158</v>
      </c>
      <c r="B2136" s="3" t="s">
        <v>22</v>
      </c>
      <c r="C2136" s="3">
        <v>600990</v>
      </c>
      <c r="D2136" s="3">
        <v>56658</v>
      </c>
      <c r="E2136" s="3" t="s">
        <v>23</v>
      </c>
    </row>
    <row r="2137" spans="1:5">
      <c r="A2137" s="3" t="s">
        <v>2159</v>
      </c>
      <c r="B2137" s="3" t="s">
        <v>22</v>
      </c>
      <c r="C2137" s="3">
        <v>560880</v>
      </c>
      <c r="D2137" s="3">
        <v>4808</v>
      </c>
      <c r="E2137" s="3" t="s">
        <v>23</v>
      </c>
    </row>
    <row r="2138" spans="1:5">
      <c r="A2138" s="3" t="s">
        <v>2160</v>
      </c>
      <c r="B2138" s="3" t="s">
        <v>22</v>
      </c>
      <c r="C2138" s="3">
        <v>313320</v>
      </c>
      <c r="D2138" s="3">
        <v>125976</v>
      </c>
      <c r="E2138" s="3" t="s">
        <v>23</v>
      </c>
    </row>
    <row r="2139" spans="1:5">
      <c r="A2139" s="3" t="s">
        <v>2161</v>
      </c>
      <c r="B2139" s="3" t="s">
        <v>22</v>
      </c>
      <c r="C2139" s="3">
        <v>767389</v>
      </c>
      <c r="D2139" s="3">
        <v>49619</v>
      </c>
      <c r="E2139" s="3" t="s">
        <v>23</v>
      </c>
    </row>
    <row r="2140" spans="1:5">
      <c r="A2140" s="3" t="s">
        <v>2162</v>
      </c>
      <c r="B2140" s="3" t="s">
        <v>22</v>
      </c>
      <c r="C2140" s="3">
        <v>379261</v>
      </c>
      <c r="D2140" s="3">
        <v>55009</v>
      </c>
      <c r="E2140" s="3" t="s">
        <v>23</v>
      </c>
    </row>
    <row r="2141" spans="1:5">
      <c r="A2141" s="3" t="s">
        <v>2163</v>
      </c>
      <c r="B2141" s="3" t="s">
        <v>22</v>
      </c>
      <c r="C2141" s="3">
        <v>540210</v>
      </c>
      <c r="D2141" s="3">
        <v>152902</v>
      </c>
      <c r="E2141" s="3" t="s">
        <v>23</v>
      </c>
    </row>
    <row r="2142" spans="1:5">
      <c r="A2142" s="3" t="s">
        <v>2164</v>
      </c>
      <c r="B2142" s="3" t="s">
        <v>22</v>
      </c>
      <c r="C2142" s="3">
        <v>337654</v>
      </c>
      <c r="D2142" s="3">
        <v>97165</v>
      </c>
      <c r="E2142" s="3" t="s">
        <v>23</v>
      </c>
    </row>
    <row r="2143" spans="1:5">
      <c r="A2143" s="3" t="s">
        <v>2165</v>
      </c>
      <c r="B2143" s="3" t="s">
        <v>22</v>
      </c>
      <c r="C2143" s="3">
        <v>472731</v>
      </c>
      <c r="D2143" s="3">
        <v>21261</v>
      </c>
      <c r="E2143" s="3" t="s">
        <v>23</v>
      </c>
    </row>
    <row r="2144" spans="1:5">
      <c r="A2144" s="3" t="s">
        <v>2166</v>
      </c>
      <c r="B2144" s="3" t="s">
        <v>22</v>
      </c>
      <c r="C2144" s="3">
        <v>443959</v>
      </c>
      <c r="D2144" s="3">
        <v>2074</v>
      </c>
      <c r="E2144" s="3" t="s">
        <v>23</v>
      </c>
    </row>
    <row r="2145" spans="1:5">
      <c r="A2145" s="3" t="s">
        <v>2167</v>
      </c>
      <c r="B2145" s="3" t="s">
        <v>22</v>
      </c>
      <c r="C2145" s="3">
        <v>179704</v>
      </c>
      <c r="D2145" s="3">
        <v>37522</v>
      </c>
      <c r="E2145" s="3" t="s">
        <v>23</v>
      </c>
    </row>
    <row r="2146" spans="1:5">
      <c r="A2146" s="3" t="s">
        <v>2168</v>
      </c>
      <c r="B2146" s="3" t="s">
        <v>22</v>
      </c>
      <c r="C2146" s="3">
        <v>355455</v>
      </c>
      <c r="D2146" s="3">
        <v>111403</v>
      </c>
      <c r="E2146" s="3" t="s">
        <v>23</v>
      </c>
    </row>
    <row r="2147" spans="1:5">
      <c r="A2147" s="3" t="s">
        <v>2169</v>
      </c>
      <c r="B2147" s="3" t="s">
        <v>22</v>
      </c>
      <c r="C2147" s="3">
        <v>288233</v>
      </c>
      <c r="D2147" s="3">
        <v>8950</v>
      </c>
      <c r="E2147" s="3" t="s">
        <v>23</v>
      </c>
    </row>
    <row r="2148" spans="1:5">
      <c r="A2148" s="3" t="s">
        <v>2170</v>
      </c>
      <c r="B2148" s="3" t="s">
        <v>22</v>
      </c>
      <c r="C2148" s="3">
        <v>222683</v>
      </c>
      <c r="D2148" s="3">
        <v>5490</v>
      </c>
      <c r="E2148" s="3" t="s">
        <v>23</v>
      </c>
    </row>
    <row r="2149" spans="1:5">
      <c r="A2149" s="3" t="s">
        <v>2171</v>
      </c>
      <c r="B2149" s="3" t="s">
        <v>22</v>
      </c>
      <c r="C2149" s="3">
        <v>428778</v>
      </c>
      <c r="D2149" s="3">
        <v>134780</v>
      </c>
      <c r="E2149" s="3" t="s">
        <v>23</v>
      </c>
    </row>
    <row r="2150" spans="1:5">
      <c r="A2150" s="3" t="s">
        <v>2172</v>
      </c>
      <c r="B2150" s="3" t="s">
        <v>22</v>
      </c>
      <c r="C2150" s="3">
        <v>516066</v>
      </c>
      <c r="D2150" s="3">
        <v>104590</v>
      </c>
      <c r="E2150" s="3" t="s">
        <v>23</v>
      </c>
    </row>
    <row r="2151" spans="1:5">
      <c r="A2151" s="3" t="s">
        <v>2173</v>
      </c>
      <c r="B2151" s="3" t="s">
        <v>22</v>
      </c>
      <c r="C2151" s="3">
        <v>134010</v>
      </c>
      <c r="D2151" s="3">
        <v>40327</v>
      </c>
      <c r="E2151" s="3" t="s">
        <v>23</v>
      </c>
    </row>
    <row r="2152" spans="1:5">
      <c r="A2152" s="3" t="s">
        <v>2174</v>
      </c>
      <c r="B2152" s="3" t="s">
        <v>22</v>
      </c>
      <c r="C2152" s="3">
        <v>404656</v>
      </c>
      <c r="D2152" s="3">
        <v>62125</v>
      </c>
      <c r="E2152" s="3" t="s">
        <v>23</v>
      </c>
    </row>
    <row r="2153" spans="1:5">
      <c r="A2153" s="3" t="s">
        <v>2175</v>
      </c>
      <c r="B2153" s="3" t="s">
        <v>22</v>
      </c>
      <c r="C2153" s="3">
        <v>204262</v>
      </c>
      <c r="D2153" s="3">
        <v>68872</v>
      </c>
      <c r="E2153" s="3" t="s">
        <v>23</v>
      </c>
    </row>
    <row r="2154" spans="1:5">
      <c r="A2154" s="3" t="s">
        <v>2176</v>
      </c>
      <c r="B2154" s="3" t="s">
        <v>22</v>
      </c>
      <c r="C2154" s="3">
        <v>251598</v>
      </c>
      <c r="D2154" s="3">
        <v>581</v>
      </c>
      <c r="E2154" s="3" t="s">
        <v>23</v>
      </c>
    </row>
    <row r="2155" spans="1:5">
      <c r="A2155" s="3" t="s">
        <v>2177</v>
      </c>
      <c r="B2155" s="3" t="s">
        <v>22</v>
      </c>
      <c r="C2155" s="3">
        <v>351583</v>
      </c>
      <c r="D2155" s="3">
        <v>14148</v>
      </c>
      <c r="E2155" s="3" t="s">
        <v>23</v>
      </c>
    </row>
    <row r="2156" spans="1:5">
      <c r="A2156" s="3" t="s">
        <v>2178</v>
      </c>
      <c r="B2156" s="3" t="s">
        <v>22</v>
      </c>
      <c r="C2156" s="3">
        <v>225298</v>
      </c>
      <c r="D2156" s="3">
        <v>32197</v>
      </c>
      <c r="E2156" s="3" t="s">
        <v>23</v>
      </c>
    </row>
    <row r="2157" spans="1:5">
      <c r="A2157" s="3" t="s">
        <v>2179</v>
      </c>
      <c r="B2157" s="3" t="s">
        <v>22</v>
      </c>
      <c r="C2157" s="3">
        <v>424840</v>
      </c>
      <c r="D2157" s="3">
        <v>100593</v>
      </c>
      <c r="E2157" s="3" t="s">
        <v>23</v>
      </c>
    </row>
    <row r="2158" spans="1:5">
      <c r="A2158" s="3" t="s">
        <v>2180</v>
      </c>
      <c r="B2158" s="3" t="s">
        <v>22</v>
      </c>
      <c r="C2158" s="3">
        <v>373697</v>
      </c>
      <c r="D2158" s="3">
        <v>111907</v>
      </c>
      <c r="E2158" s="3" t="s">
        <v>23</v>
      </c>
    </row>
    <row r="2159" spans="1:5">
      <c r="A2159" s="3" t="s">
        <v>2181</v>
      </c>
      <c r="B2159" s="3" t="s">
        <v>22</v>
      </c>
      <c r="C2159" s="3">
        <v>243160</v>
      </c>
      <c r="D2159" s="3">
        <v>315</v>
      </c>
      <c r="E2159" s="3" t="s">
        <v>23</v>
      </c>
    </row>
    <row r="2160" spans="1:5">
      <c r="A2160" s="3" t="s">
        <v>2182</v>
      </c>
      <c r="B2160" s="3" t="s">
        <v>22</v>
      </c>
      <c r="C2160" s="3">
        <v>363620</v>
      </c>
      <c r="D2160" s="3">
        <v>125535</v>
      </c>
      <c r="E2160" s="3" t="s">
        <v>23</v>
      </c>
    </row>
    <row r="2161" spans="1:5">
      <c r="A2161" s="3" t="s">
        <v>2183</v>
      </c>
      <c r="B2161" s="3" t="s">
        <v>22</v>
      </c>
      <c r="C2161" s="3">
        <v>503936</v>
      </c>
      <c r="D2161" s="3">
        <v>95349</v>
      </c>
      <c r="E2161" s="3" t="s">
        <v>23</v>
      </c>
    </row>
    <row r="2162" spans="1:5">
      <c r="A2162" s="3" t="s">
        <v>2184</v>
      </c>
      <c r="B2162" s="3" t="s">
        <v>22</v>
      </c>
      <c r="C2162" s="3">
        <v>378091</v>
      </c>
      <c r="D2162" s="3">
        <v>89178</v>
      </c>
      <c r="E2162" s="3" t="s">
        <v>23</v>
      </c>
    </row>
    <row r="2163" spans="1:5">
      <c r="A2163" s="3" t="s">
        <v>2185</v>
      </c>
      <c r="B2163" s="3" t="s">
        <v>22</v>
      </c>
      <c r="C2163" s="3">
        <v>477460</v>
      </c>
      <c r="D2163" s="3">
        <v>2474</v>
      </c>
      <c r="E2163" s="3" t="s">
        <v>23</v>
      </c>
    </row>
    <row r="2164" spans="1:5">
      <c r="A2164" s="3" t="s">
        <v>2186</v>
      </c>
      <c r="B2164" s="3" t="s">
        <v>22</v>
      </c>
      <c r="C2164" s="3">
        <v>463666</v>
      </c>
      <c r="D2164" s="3">
        <v>18927</v>
      </c>
      <c r="E2164" s="3" t="s">
        <v>23</v>
      </c>
    </row>
    <row r="2165" spans="1:5">
      <c r="A2165" s="3" t="s">
        <v>2187</v>
      </c>
      <c r="B2165" s="3" t="s">
        <v>22</v>
      </c>
      <c r="C2165" s="3">
        <v>427623</v>
      </c>
      <c r="D2165" s="3">
        <v>33071</v>
      </c>
      <c r="E2165" s="3" t="s">
        <v>23</v>
      </c>
    </row>
    <row r="2166" spans="1:5">
      <c r="A2166" s="3" t="s">
        <v>2188</v>
      </c>
      <c r="B2166" s="3" t="s">
        <v>22</v>
      </c>
      <c r="C2166" s="3">
        <v>500119</v>
      </c>
      <c r="D2166" s="3">
        <v>101301</v>
      </c>
      <c r="E2166" s="3" t="s">
        <v>23</v>
      </c>
    </row>
    <row r="2167" spans="1:5">
      <c r="A2167" s="3" t="s">
        <v>2189</v>
      </c>
      <c r="B2167" s="3" t="s">
        <v>22</v>
      </c>
      <c r="C2167" s="3">
        <v>480754</v>
      </c>
      <c r="D2167" s="3">
        <v>93496</v>
      </c>
      <c r="E2167" s="3" t="s">
        <v>23</v>
      </c>
    </row>
    <row r="2168" spans="1:5">
      <c r="A2168" s="3" t="s">
        <v>2190</v>
      </c>
      <c r="B2168" s="3" t="s">
        <v>22</v>
      </c>
      <c r="C2168" s="3">
        <v>338842</v>
      </c>
      <c r="D2168" s="3">
        <v>91458</v>
      </c>
      <c r="E2168" s="3" t="s">
        <v>23</v>
      </c>
    </row>
    <row r="2169" spans="1:5">
      <c r="A2169" s="3" t="s">
        <v>2191</v>
      </c>
      <c r="B2169" s="3" t="s">
        <v>22</v>
      </c>
      <c r="C2169" s="3">
        <v>156532</v>
      </c>
      <c r="D2169" s="3">
        <v>51641</v>
      </c>
      <c r="E2169" s="3" t="s">
        <v>23</v>
      </c>
    </row>
    <row r="2170" spans="1:5">
      <c r="A2170" s="3" t="s">
        <v>2192</v>
      </c>
      <c r="B2170" s="3" t="s">
        <v>22</v>
      </c>
      <c r="C2170" s="3">
        <v>463390</v>
      </c>
      <c r="D2170" s="3">
        <v>11629</v>
      </c>
      <c r="E2170" s="3" t="s">
        <v>23</v>
      </c>
    </row>
    <row r="2171" spans="1:5">
      <c r="A2171" s="3" t="s">
        <v>2193</v>
      </c>
      <c r="B2171" s="3" t="s">
        <v>22</v>
      </c>
      <c r="C2171" s="3">
        <v>368625</v>
      </c>
      <c r="D2171" s="3">
        <v>73641</v>
      </c>
      <c r="E2171" s="3" t="s">
        <v>23</v>
      </c>
    </row>
    <row r="2172" spans="1:5">
      <c r="A2172" s="3" t="s">
        <v>2194</v>
      </c>
      <c r="B2172" s="3" t="s">
        <v>22</v>
      </c>
      <c r="C2172" s="3">
        <v>561904</v>
      </c>
      <c r="D2172" s="3">
        <v>40606</v>
      </c>
      <c r="E2172" s="3" t="s">
        <v>23</v>
      </c>
    </row>
    <row r="2173" spans="1:5">
      <c r="A2173" s="3" t="s">
        <v>2195</v>
      </c>
      <c r="B2173" s="3" t="s">
        <v>22</v>
      </c>
      <c r="C2173" s="3">
        <v>526468</v>
      </c>
      <c r="D2173" s="3">
        <v>31592</v>
      </c>
      <c r="E2173" s="3" t="s">
        <v>23</v>
      </c>
    </row>
    <row r="2174" spans="1:5">
      <c r="A2174" s="3" t="s">
        <v>2196</v>
      </c>
      <c r="B2174" s="3" t="s">
        <v>22</v>
      </c>
      <c r="C2174" s="3">
        <v>616692</v>
      </c>
      <c r="D2174" s="3">
        <v>98362</v>
      </c>
      <c r="E2174" s="3" t="s">
        <v>23</v>
      </c>
    </row>
    <row r="2175" spans="1:5">
      <c r="A2175" s="3" t="s">
        <v>2197</v>
      </c>
      <c r="B2175" s="3" t="s">
        <v>22</v>
      </c>
      <c r="C2175" s="3">
        <v>103228</v>
      </c>
      <c r="D2175" s="3">
        <v>350</v>
      </c>
      <c r="E2175" s="3" t="s">
        <v>23</v>
      </c>
    </row>
    <row r="2176" spans="1:5">
      <c r="A2176" s="3" t="s">
        <v>2198</v>
      </c>
      <c r="B2176" s="3" t="s">
        <v>22</v>
      </c>
      <c r="C2176" s="3">
        <v>471176</v>
      </c>
      <c r="D2176" s="3">
        <v>94069</v>
      </c>
      <c r="E2176" s="3" t="s">
        <v>23</v>
      </c>
    </row>
    <row r="2177" spans="1:5">
      <c r="A2177" s="3" t="s">
        <v>2199</v>
      </c>
      <c r="B2177" s="3" t="s">
        <v>22</v>
      </c>
      <c r="C2177" s="3">
        <v>455908</v>
      </c>
      <c r="D2177" s="3">
        <v>48569</v>
      </c>
      <c r="E2177" s="3" t="s">
        <v>23</v>
      </c>
    </row>
    <row r="2178" spans="1:5">
      <c r="A2178" s="3" t="s">
        <v>2200</v>
      </c>
      <c r="B2178" s="3" t="s">
        <v>22</v>
      </c>
      <c r="C2178" s="3">
        <v>495170</v>
      </c>
      <c r="D2178" s="3">
        <v>91379</v>
      </c>
      <c r="E2178" s="3" t="s">
        <v>23</v>
      </c>
    </row>
    <row r="2179" spans="1:5">
      <c r="A2179" s="3" t="s">
        <v>2201</v>
      </c>
      <c r="B2179" s="3" t="s">
        <v>22</v>
      </c>
      <c r="C2179" s="3">
        <v>447256</v>
      </c>
      <c r="D2179" s="3">
        <v>52948</v>
      </c>
      <c r="E2179" s="3" t="s">
        <v>23</v>
      </c>
    </row>
    <row r="2180" spans="1:5">
      <c r="A2180" s="3" t="s">
        <v>2202</v>
      </c>
      <c r="B2180" s="3" t="s">
        <v>22</v>
      </c>
      <c r="C2180" s="3">
        <v>341597</v>
      </c>
      <c r="D2180" s="3">
        <v>45899</v>
      </c>
      <c r="E2180" s="3" t="s">
        <v>23</v>
      </c>
    </row>
    <row r="2181" spans="1:5">
      <c r="A2181" s="3" t="s">
        <v>2203</v>
      </c>
      <c r="B2181" s="3" t="s">
        <v>22</v>
      </c>
      <c r="C2181" s="3">
        <v>172482</v>
      </c>
      <c r="D2181" s="3">
        <v>15549</v>
      </c>
      <c r="E2181" s="3" t="s">
        <v>23</v>
      </c>
    </row>
    <row r="2182" spans="1:5">
      <c r="A2182" s="3" t="s">
        <v>2204</v>
      </c>
      <c r="B2182" s="3" t="s">
        <v>22</v>
      </c>
      <c r="C2182" s="3">
        <v>298023</v>
      </c>
      <c r="D2182" s="3">
        <v>41423</v>
      </c>
      <c r="E2182" s="3" t="s">
        <v>23</v>
      </c>
    </row>
    <row r="2183" spans="1:5">
      <c r="A2183" s="3" t="s">
        <v>2205</v>
      </c>
      <c r="B2183" s="3" t="s">
        <v>22</v>
      </c>
      <c r="C2183" s="3">
        <v>351481</v>
      </c>
      <c r="D2183" s="3">
        <v>50869</v>
      </c>
      <c r="E2183" s="3" t="s">
        <v>23</v>
      </c>
    </row>
    <row r="2184" spans="1:5">
      <c r="A2184" s="3" t="s">
        <v>2206</v>
      </c>
      <c r="B2184" s="3" t="s">
        <v>22</v>
      </c>
      <c r="C2184" s="3">
        <v>384269</v>
      </c>
      <c r="D2184" s="3">
        <v>119830</v>
      </c>
      <c r="E2184" s="3" t="s">
        <v>23</v>
      </c>
    </row>
    <row r="2185" spans="1:5">
      <c r="A2185" s="3" t="s">
        <v>2207</v>
      </c>
      <c r="B2185" s="3" t="s">
        <v>22</v>
      </c>
      <c r="C2185" s="3">
        <v>364572</v>
      </c>
      <c r="D2185" s="3">
        <v>13905</v>
      </c>
      <c r="E2185" s="3" t="s">
        <v>23</v>
      </c>
    </row>
    <row r="2186" spans="1:5">
      <c r="A2186" s="3" t="s">
        <v>2208</v>
      </c>
      <c r="B2186" s="3" t="s">
        <v>22</v>
      </c>
      <c r="C2186" s="3">
        <v>510358</v>
      </c>
      <c r="D2186" s="3">
        <v>63517</v>
      </c>
      <c r="E2186" s="3" t="s">
        <v>23</v>
      </c>
    </row>
    <row r="2187" spans="1:5">
      <c r="A2187" s="3" t="s">
        <v>2209</v>
      </c>
      <c r="B2187" s="3" t="s">
        <v>22</v>
      </c>
      <c r="C2187" s="3">
        <v>307526</v>
      </c>
      <c r="D2187" s="3">
        <v>35720</v>
      </c>
      <c r="E2187" s="3" t="s">
        <v>23</v>
      </c>
    </row>
    <row r="2188" spans="1:5">
      <c r="A2188" s="3" t="s">
        <v>2210</v>
      </c>
      <c r="B2188" s="3" t="s">
        <v>22</v>
      </c>
      <c r="C2188" s="3">
        <v>506154</v>
      </c>
      <c r="D2188" s="3">
        <v>90756</v>
      </c>
      <c r="E2188" s="3" t="s">
        <v>23</v>
      </c>
    </row>
    <row r="2189" spans="1:5">
      <c r="A2189" s="3" t="s">
        <v>2211</v>
      </c>
      <c r="B2189" s="3" t="s">
        <v>22</v>
      </c>
      <c r="C2189" s="3">
        <v>439343</v>
      </c>
      <c r="D2189" s="3">
        <v>42598</v>
      </c>
      <c r="E2189" s="3" t="s">
        <v>23</v>
      </c>
    </row>
    <row r="2190" spans="1:5">
      <c r="A2190" s="3" t="s">
        <v>2212</v>
      </c>
      <c r="B2190" s="3" t="s">
        <v>22</v>
      </c>
      <c r="C2190" s="3">
        <v>258171</v>
      </c>
      <c r="D2190" s="3">
        <v>41017</v>
      </c>
      <c r="E2190" s="3" t="s">
        <v>23</v>
      </c>
    </row>
    <row r="2191" spans="1:5">
      <c r="A2191" s="3" t="s">
        <v>2213</v>
      </c>
      <c r="B2191" s="3" t="s">
        <v>22</v>
      </c>
      <c r="C2191" s="3">
        <v>426475</v>
      </c>
      <c r="D2191" s="3">
        <v>84909</v>
      </c>
      <c r="E2191" s="3" t="s">
        <v>23</v>
      </c>
    </row>
    <row r="2192" spans="1:5">
      <c r="A2192" s="3" t="s">
        <v>2214</v>
      </c>
      <c r="B2192" s="3" t="s">
        <v>22</v>
      </c>
      <c r="C2192" s="3">
        <v>292117</v>
      </c>
      <c r="D2192" s="3">
        <v>34891</v>
      </c>
      <c r="E2192" s="3" t="s">
        <v>23</v>
      </c>
    </row>
    <row r="2193" spans="1:5">
      <c r="A2193" s="3" t="s">
        <v>2215</v>
      </c>
      <c r="B2193" s="3" t="s">
        <v>22</v>
      </c>
      <c r="C2193" s="3">
        <v>445003</v>
      </c>
      <c r="D2193" s="3">
        <v>32638</v>
      </c>
      <c r="E2193" s="3" t="s">
        <v>23</v>
      </c>
    </row>
    <row r="2194" spans="1:5">
      <c r="A2194" s="3" t="s">
        <v>2216</v>
      </c>
      <c r="B2194" s="3" t="s">
        <v>22</v>
      </c>
      <c r="C2194" s="3">
        <v>365572</v>
      </c>
      <c r="D2194" s="3">
        <v>86001</v>
      </c>
      <c r="E2194" s="3" t="s">
        <v>23</v>
      </c>
    </row>
    <row r="2195" spans="1:5">
      <c r="A2195" s="3" t="s">
        <v>2217</v>
      </c>
      <c r="B2195" s="3" t="s">
        <v>22</v>
      </c>
      <c r="C2195" s="3">
        <v>384967</v>
      </c>
      <c r="D2195" s="3">
        <v>21735</v>
      </c>
      <c r="E2195" s="3" t="s">
        <v>23</v>
      </c>
    </row>
    <row r="2196" spans="1:5">
      <c r="A2196" s="3" t="s">
        <v>2218</v>
      </c>
      <c r="B2196" s="3" t="s">
        <v>22</v>
      </c>
      <c r="C2196" s="3">
        <v>440371</v>
      </c>
      <c r="D2196" s="3">
        <v>98061</v>
      </c>
      <c r="E2196" s="3" t="s">
        <v>23</v>
      </c>
    </row>
    <row r="2197" spans="1:5">
      <c r="A2197" s="3" t="s">
        <v>2219</v>
      </c>
      <c r="B2197" s="3" t="s">
        <v>22</v>
      </c>
      <c r="C2197" s="3">
        <v>348790</v>
      </c>
      <c r="D2197" s="3">
        <v>79846</v>
      </c>
      <c r="E2197" s="3" t="s">
        <v>23</v>
      </c>
    </row>
    <row r="2198" spans="1:5">
      <c r="A2198" s="3" t="s">
        <v>2220</v>
      </c>
      <c r="B2198" s="3" t="s">
        <v>22</v>
      </c>
      <c r="C2198" s="3">
        <v>298397</v>
      </c>
      <c r="D2198" s="3">
        <v>1998</v>
      </c>
      <c r="E2198" s="3" t="s">
        <v>23</v>
      </c>
    </row>
    <row r="2199" spans="1:5">
      <c r="A2199" s="3" t="s">
        <v>2221</v>
      </c>
      <c r="B2199" s="3" t="s">
        <v>22</v>
      </c>
      <c r="C2199" s="3">
        <v>396868</v>
      </c>
      <c r="D2199" s="3">
        <v>10840</v>
      </c>
      <c r="E2199" s="3" t="s">
        <v>23</v>
      </c>
    </row>
    <row r="2200" spans="1:5">
      <c r="A2200" s="3" t="s">
        <v>2222</v>
      </c>
      <c r="B2200" s="3" t="s">
        <v>22</v>
      </c>
      <c r="C2200" s="3">
        <v>473701</v>
      </c>
      <c r="D2200" s="3">
        <v>125872</v>
      </c>
      <c r="E2200" s="3" t="s">
        <v>23</v>
      </c>
    </row>
    <row r="2201" spans="1:5">
      <c r="A2201" s="3" t="s">
        <v>2223</v>
      </c>
      <c r="B2201" s="3" t="s">
        <v>22</v>
      </c>
      <c r="C2201" s="3">
        <v>323414</v>
      </c>
      <c r="D2201" s="3">
        <v>29028</v>
      </c>
      <c r="E2201" s="3" t="s">
        <v>23</v>
      </c>
    </row>
    <row r="2202" spans="1:5">
      <c r="A2202" s="3" t="s">
        <v>2224</v>
      </c>
      <c r="B2202" s="3" t="s">
        <v>22</v>
      </c>
      <c r="C2202" s="3">
        <v>493763</v>
      </c>
      <c r="D2202" s="3">
        <v>75459</v>
      </c>
      <c r="E2202" s="3" t="s">
        <v>23</v>
      </c>
    </row>
    <row r="2203" spans="1:5">
      <c r="A2203" s="3" t="s">
        <v>2225</v>
      </c>
      <c r="B2203" s="3" t="s">
        <v>22</v>
      </c>
      <c r="C2203" s="3">
        <v>619657</v>
      </c>
      <c r="D2203" s="3">
        <v>112788</v>
      </c>
      <c r="E2203" s="3" t="s">
        <v>23</v>
      </c>
    </row>
    <row r="2204" spans="1:5">
      <c r="A2204" s="3" t="s">
        <v>2226</v>
      </c>
      <c r="B2204" s="3" t="s">
        <v>22</v>
      </c>
      <c r="C2204" s="3">
        <v>479202</v>
      </c>
      <c r="D2204" s="3">
        <v>43794</v>
      </c>
      <c r="E2204" s="3" t="s">
        <v>23</v>
      </c>
    </row>
    <row r="2205" spans="1:5">
      <c r="A2205" s="3" t="s">
        <v>2227</v>
      </c>
      <c r="B2205" s="3" t="s">
        <v>22</v>
      </c>
      <c r="C2205" s="3">
        <v>547306</v>
      </c>
      <c r="D2205" s="3">
        <v>47482</v>
      </c>
      <c r="E2205" s="3" t="s">
        <v>23</v>
      </c>
    </row>
    <row r="2206" spans="1:5">
      <c r="A2206" s="3" t="s">
        <v>2228</v>
      </c>
      <c r="B2206" s="3" t="s">
        <v>22</v>
      </c>
      <c r="C2206" s="3">
        <v>301809</v>
      </c>
      <c r="D2206" s="3">
        <v>34036</v>
      </c>
      <c r="E2206" s="3" t="s">
        <v>23</v>
      </c>
    </row>
    <row r="2207" spans="1:5">
      <c r="A2207" s="3" t="s">
        <v>2229</v>
      </c>
      <c r="B2207" s="3" t="s">
        <v>22</v>
      </c>
      <c r="C2207" s="3">
        <v>548263</v>
      </c>
      <c r="D2207" s="3">
        <v>131141</v>
      </c>
      <c r="E2207" s="3" t="s">
        <v>23</v>
      </c>
    </row>
    <row r="2208" spans="1:5">
      <c r="A2208" s="3" t="s">
        <v>2230</v>
      </c>
      <c r="B2208" s="3" t="s">
        <v>22</v>
      </c>
      <c r="C2208" s="3">
        <v>456161</v>
      </c>
      <c r="D2208" s="3">
        <v>43321</v>
      </c>
      <c r="E2208" s="3" t="s">
        <v>23</v>
      </c>
    </row>
    <row r="2209" spans="1:5">
      <c r="A2209" s="3" t="s">
        <v>2231</v>
      </c>
      <c r="B2209" s="3" t="s">
        <v>22</v>
      </c>
      <c r="C2209" s="3">
        <v>368937</v>
      </c>
      <c r="D2209" s="3">
        <v>79786</v>
      </c>
      <c r="E2209" s="3" t="s">
        <v>23</v>
      </c>
    </row>
    <row r="2210" spans="1:5">
      <c r="A2210" s="3" t="s">
        <v>2232</v>
      </c>
      <c r="B2210" s="3" t="s">
        <v>22</v>
      </c>
      <c r="C2210" s="3">
        <v>479797</v>
      </c>
      <c r="D2210" s="3">
        <v>26047</v>
      </c>
      <c r="E2210" s="3" t="s">
        <v>23</v>
      </c>
    </row>
    <row r="2211" spans="1:5">
      <c r="A2211" s="3" t="s">
        <v>2233</v>
      </c>
      <c r="B2211" s="3" t="s">
        <v>22</v>
      </c>
      <c r="C2211" s="3">
        <v>456550</v>
      </c>
      <c r="D2211" s="3">
        <v>26564</v>
      </c>
      <c r="E2211" s="3" t="s">
        <v>23</v>
      </c>
    </row>
    <row r="2212" spans="1:5">
      <c r="A2212" s="3" t="s">
        <v>2234</v>
      </c>
      <c r="B2212" s="3" t="s">
        <v>22</v>
      </c>
      <c r="C2212" s="3">
        <v>369262</v>
      </c>
      <c r="D2212" s="3">
        <v>8656</v>
      </c>
      <c r="E2212" s="3" t="s">
        <v>23</v>
      </c>
    </row>
    <row r="2213" spans="1:5">
      <c r="A2213" s="3" t="s">
        <v>2235</v>
      </c>
      <c r="B2213" s="3" t="s">
        <v>22</v>
      </c>
      <c r="C2213" s="3">
        <v>279950</v>
      </c>
      <c r="D2213" s="3">
        <v>60846</v>
      </c>
      <c r="E2213" s="3" t="s">
        <v>23</v>
      </c>
    </row>
    <row r="2214" spans="1:5">
      <c r="A2214" s="3" t="s">
        <v>2236</v>
      </c>
      <c r="B2214" s="3" t="s">
        <v>22</v>
      </c>
      <c r="C2214" s="3">
        <v>415018</v>
      </c>
      <c r="D2214" s="3">
        <v>53948</v>
      </c>
      <c r="E2214" s="3" t="s">
        <v>23</v>
      </c>
    </row>
    <row r="2215" spans="1:5">
      <c r="A2215" s="3" t="s">
        <v>2237</v>
      </c>
      <c r="B2215" s="3" t="s">
        <v>22</v>
      </c>
      <c r="C2215" s="3">
        <v>162510</v>
      </c>
      <c r="D2215" s="3">
        <v>38058</v>
      </c>
      <c r="E2215" s="3" t="s">
        <v>23</v>
      </c>
    </row>
    <row r="2216" spans="1:5">
      <c r="A2216" s="3" t="s">
        <v>2238</v>
      </c>
      <c r="B2216" s="3" t="s">
        <v>22</v>
      </c>
      <c r="C2216" s="3">
        <v>643680</v>
      </c>
      <c r="D2216" s="3">
        <v>88054</v>
      </c>
      <c r="E2216" s="3" t="s">
        <v>23</v>
      </c>
    </row>
    <row r="2217" spans="1:5">
      <c r="A2217" s="3" t="s">
        <v>2239</v>
      </c>
      <c r="B2217" s="3" t="s">
        <v>22</v>
      </c>
      <c r="C2217" s="3">
        <v>393443</v>
      </c>
      <c r="D2217" s="3">
        <v>17909</v>
      </c>
      <c r="E2217" s="3" t="s">
        <v>23</v>
      </c>
    </row>
    <row r="2218" spans="1:5">
      <c r="A2218" s="3" t="s">
        <v>2240</v>
      </c>
      <c r="B2218" s="3" t="s">
        <v>22</v>
      </c>
      <c r="C2218" s="3">
        <v>457250</v>
      </c>
      <c r="D2218" s="3">
        <v>31978</v>
      </c>
      <c r="E2218" s="3" t="s">
        <v>23</v>
      </c>
    </row>
    <row r="2219" spans="1:5">
      <c r="A2219" s="3" t="s">
        <v>2241</v>
      </c>
      <c r="B2219" s="3" t="s">
        <v>22</v>
      </c>
      <c r="C2219" s="3">
        <v>489391</v>
      </c>
      <c r="D2219" s="3">
        <v>85061</v>
      </c>
      <c r="E2219" s="3" t="s">
        <v>23</v>
      </c>
    </row>
    <row r="2220" spans="1:5">
      <c r="A2220" s="3" t="s">
        <v>2242</v>
      </c>
      <c r="B2220" s="3" t="s">
        <v>22</v>
      </c>
      <c r="C2220" s="3">
        <v>515869</v>
      </c>
      <c r="D2220" s="3">
        <v>86658</v>
      </c>
      <c r="E2220" s="3" t="s">
        <v>23</v>
      </c>
    </row>
    <row r="2221" spans="1:5">
      <c r="A2221" s="3" t="s">
        <v>2243</v>
      </c>
      <c r="B2221" s="3" t="s">
        <v>22</v>
      </c>
      <c r="C2221" s="3">
        <v>242079</v>
      </c>
      <c r="D2221" s="3">
        <v>17521</v>
      </c>
      <c r="E2221" s="3" t="s">
        <v>23</v>
      </c>
    </row>
    <row r="2222" spans="1:5">
      <c r="A2222" s="3" t="s">
        <v>2244</v>
      </c>
      <c r="B2222" s="3" t="s">
        <v>22</v>
      </c>
      <c r="C2222" s="3">
        <v>436437</v>
      </c>
      <c r="D2222" s="3">
        <v>62012</v>
      </c>
      <c r="E2222" s="3" t="s">
        <v>23</v>
      </c>
    </row>
    <row r="2223" spans="1:5">
      <c r="A2223" s="3" t="s">
        <v>2245</v>
      </c>
      <c r="B2223" s="3" t="s">
        <v>22</v>
      </c>
      <c r="C2223" s="3">
        <v>351734</v>
      </c>
      <c r="D2223" s="3">
        <v>14786</v>
      </c>
      <c r="E2223" s="3" t="s">
        <v>23</v>
      </c>
    </row>
    <row r="2224" spans="1:5">
      <c r="A2224" s="3" t="s">
        <v>2246</v>
      </c>
      <c r="B2224" s="3" t="s">
        <v>22</v>
      </c>
      <c r="C2224" s="3">
        <v>508021</v>
      </c>
      <c r="D2224" s="3">
        <v>81332</v>
      </c>
      <c r="E2224" s="3" t="s">
        <v>23</v>
      </c>
    </row>
    <row r="2225" spans="1:5">
      <c r="A2225" s="3" t="s">
        <v>2247</v>
      </c>
      <c r="B2225" s="3" t="s">
        <v>22</v>
      </c>
      <c r="C2225" s="3">
        <v>384727</v>
      </c>
      <c r="D2225" s="3">
        <v>108638</v>
      </c>
      <c r="E2225" s="3" t="s">
        <v>23</v>
      </c>
    </row>
    <row r="2226" spans="1:5">
      <c r="A2226" s="3" t="s">
        <v>2248</v>
      </c>
      <c r="B2226" s="3" t="s">
        <v>22</v>
      </c>
      <c r="C2226" s="3">
        <v>445917</v>
      </c>
      <c r="D2226" s="3">
        <v>34451</v>
      </c>
      <c r="E2226" s="3" t="s">
        <v>23</v>
      </c>
    </row>
    <row r="2227" spans="1:5">
      <c r="A2227" s="3" t="s">
        <v>2249</v>
      </c>
      <c r="B2227" s="3" t="s">
        <v>22</v>
      </c>
      <c r="C2227" s="3">
        <v>321637</v>
      </c>
      <c r="D2227" s="3">
        <v>88231</v>
      </c>
      <c r="E2227" s="3" t="s">
        <v>23</v>
      </c>
    </row>
    <row r="2228" spans="1:5">
      <c r="A2228" s="3" t="s">
        <v>2250</v>
      </c>
      <c r="B2228" s="3" t="s">
        <v>22</v>
      </c>
      <c r="C2228" s="3">
        <v>397441</v>
      </c>
      <c r="D2228" s="3">
        <v>58048</v>
      </c>
      <c r="E2228" s="3" t="s">
        <v>23</v>
      </c>
    </row>
    <row r="2229" spans="1:5">
      <c r="A2229" s="3" t="s">
        <v>2251</v>
      </c>
      <c r="B2229" s="3" t="s">
        <v>22</v>
      </c>
      <c r="C2229" s="3">
        <v>446070</v>
      </c>
      <c r="D2229" s="3">
        <v>28274</v>
      </c>
      <c r="E2229" s="3" t="s">
        <v>23</v>
      </c>
    </row>
    <row r="2230" spans="1:5">
      <c r="A2230" s="3" t="s">
        <v>2252</v>
      </c>
      <c r="B2230" s="3" t="s">
        <v>22</v>
      </c>
      <c r="C2230" s="3">
        <v>352049</v>
      </c>
      <c r="D2230" s="3">
        <v>2631</v>
      </c>
      <c r="E2230" s="3" t="s">
        <v>23</v>
      </c>
    </row>
    <row r="2231" spans="1:5">
      <c r="A2231" s="3" t="s">
        <v>2253</v>
      </c>
      <c r="B2231" s="3" t="s">
        <v>22</v>
      </c>
      <c r="C2231" s="3">
        <v>493453</v>
      </c>
      <c r="D2231" s="3">
        <v>168074</v>
      </c>
      <c r="E2231" s="3" t="s">
        <v>23</v>
      </c>
    </row>
    <row r="2232" spans="1:5">
      <c r="A2232" s="3" t="s">
        <v>2254</v>
      </c>
      <c r="B2232" s="3" t="s">
        <v>22</v>
      </c>
      <c r="C2232" s="3">
        <v>404010</v>
      </c>
      <c r="D2232" s="3">
        <v>18758</v>
      </c>
      <c r="E2232" s="3" t="s">
        <v>23</v>
      </c>
    </row>
    <row r="2233" spans="1:5">
      <c r="A2233" s="3" t="s">
        <v>2255</v>
      </c>
      <c r="B2233" s="3" t="s">
        <v>22</v>
      </c>
      <c r="C2233" s="3">
        <v>448316</v>
      </c>
      <c r="D2233" s="3">
        <v>45373</v>
      </c>
      <c r="E2233" s="3" t="s">
        <v>23</v>
      </c>
    </row>
    <row r="2234" spans="1:5">
      <c r="A2234" s="3" t="s">
        <v>2256</v>
      </c>
      <c r="B2234" s="3" t="s">
        <v>22</v>
      </c>
      <c r="C2234" s="3">
        <v>758231</v>
      </c>
      <c r="D2234" s="3">
        <v>279905</v>
      </c>
      <c r="E2234" s="3" t="s">
        <v>23</v>
      </c>
    </row>
    <row r="2235" spans="1:5">
      <c r="A2235" s="3" t="s">
        <v>2257</v>
      </c>
      <c r="B2235" s="3" t="s">
        <v>22</v>
      </c>
      <c r="C2235" s="3">
        <v>379494</v>
      </c>
      <c r="D2235" s="3">
        <v>119894</v>
      </c>
      <c r="E2235" s="3" t="s">
        <v>23</v>
      </c>
    </row>
    <row r="2236" spans="1:5">
      <c r="A2236" s="3" t="s">
        <v>2258</v>
      </c>
      <c r="B2236" s="3" t="s">
        <v>22</v>
      </c>
      <c r="C2236" s="3">
        <v>498278</v>
      </c>
      <c r="D2236" s="3">
        <v>84967</v>
      </c>
      <c r="E2236" s="3" t="s">
        <v>23</v>
      </c>
    </row>
    <row r="2237" spans="1:5">
      <c r="A2237" s="3" t="s">
        <v>2259</v>
      </c>
      <c r="B2237" s="3" t="s">
        <v>22</v>
      </c>
      <c r="C2237" s="3">
        <v>660591</v>
      </c>
      <c r="D2237" s="3">
        <v>11137</v>
      </c>
      <c r="E2237" s="3" t="s">
        <v>23</v>
      </c>
    </row>
    <row r="2238" spans="1:5">
      <c r="A2238" s="3" t="s">
        <v>2260</v>
      </c>
      <c r="B2238" s="3" t="s">
        <v>22</v>
      </c>
      <c r="C2238" s="3">
        <v>603185</v>
      </c>
      <c r="D2238" s="3">
        <v>216067</v>
      </c>
      <c r="E2238" s="3" t="s">
        <v>23</v>
      </c>
    </row>
    <row r="2239" spans="1:5">
      <c r="A2239" s="3" t="s">
        <v>2261</v>
      </c>
      <c r="B2239" s="3" t="s">
        <v>22</v>
      </c>
      <c r="C2239" s="3">
        <v>375454</v>
      </c>
      <c r="D2239" s="3">
        <v>76453</v>
      </c>
      <c r="E2239" s="3" t="s">
        <v>23</v>
      </c>
    </row>
    <row r="2240" spans="1:5">
      <c r="A2240" s="3" t="s">
        <v>2262</v>
      </c>
      <c r="B2240" s="3" t="s">
        <v>22</v>
      </c>
      <c r="C2240" s="3">
        <v>334684</v>
      </c>
      <c r="D2240" s="3">
        <v>8472</v>
      </c>
      <c r="E2240" s="3" t="s">
        <v>23</v>
      </c>
    </row>
    <row r="2241" spans="1:5">
      <c r="A2241" s="3" t="s">
        <v>2263</v>
      </c>
      <c r="B2241" s="3" t="s">
        <v>22</v>
      </c>
      <c r="C2241" s="3">
        <v>450687</v>
      </c>
      <c r="D2241" s="3">
        <v>51332</v>
      </c>
      <c r="E2241" s="3" t="s">
        <v>23</v>
      </c>
    </row>
    <row r="2242" spans="1:5">
      <c r="A2242" s="3" t="s">
        <v>2264</v>
      </c>
      <c r="B2242" s="3" t="s">
        <v>22</v>
      </c>
      <c r="C2242" s="3">
        <v>377941</v>
      </c>
      <c r="D2242" s="3">
        <v>73435</v>
      </c>
      <c r="E2242" s="3" t="s">
        <v>23</v>
      </c>
    </row>
    <row r="2243" spans="1:5">
      <c r="A2243" s="3" t="s">
        <v>2265</v>
      </c>
      <c r="B2243" s="3" t="s">
        <v>22</v>
      </c>
      <c r="C2243" s="3">
        <v>476421</v>
      </c>
      <c r="D2243" s="3">
        <v>31282</v>
      </c>
      <c r="E2243" s="3" t="s">
        <v>23</v>
      </c>
    </row>
    <row r="2244" spans="1:5">
      <c r="A2244" s="3" t="s">
        <v>2266</v>
      </c>
      <c r="B2244" s="3" t="s">
        <v>22</v>
      </c>
      <c r="C2244" s="3">
        <v>180054</v>
      </c>
      <c r="D2244" s="3">
        <v>41667</v>
      </c>
      <c r="E2244" s="3" t="s">
        <v>23</v>
      </c>
    </row>
    <row r="2245" spans="1:5">
      <c r="A2245" s="3" t="s">
        <v>2267</v>
      </c>
      <c r="B2245" s="3" t="s">
        <v>22</v>
      </c>
      <c r="C2245" s="3">
        <v>353064</v>
      </c>
      <c r="D2245" s="3">
        <v>27838</v>
      </c>
      <c r="E2245" s="3" t="s">
        <v>23</v>
      </c>
    </row>
    <row r="2246" spans="1:5">
      <c r="A2246" s="3" t="s">
        <v>2268</v>
      </c>
      <c r="B2246" s="3" t="s">
        <v>22</v>
      </c>
      <c r="C2246" s="3">
        <v>160601</v>
      </c>
      <c r="D2246" s="3">
        <v>39888</v>
      </c>
      <c r="E2246" s="3" t="s">
        <v>23</v>
      </c>
    </row>
    <row r="2247" spans="1:5">
      <c r="A2247" s="3" t="s">
        <v>2269</v>
      </c>
      <c r="B2247" s="3" t="s">
        <v>22</v>
      </c>
      <c r="C2247" s="3">
        <v>453764</v>
      </c>
      <c r="D2247" s="3">
        <v>1008</v>
      </c>
      <c r="E2247" s="3" t="s">
        <v>23</v>
      </c>
    </row>
    <row r="2248" spans="1:5">
      <c r="A2248" s="3" t="s">
        <v>2270</v>
      </c>
      <c r="B2248" s="3" t="s">
        <v>22</v>
      </c>
      <c r="C2248" s="3">
        <v>722058</v>
      </c>
      <c r="D2248" s="3">
        <v>33961</v>
      </c>
      <c r="E2248" s="3" t="s">
        <v>23</v>
      </c>
    </row>
    <row r="2249" spans="1:5">
      <c r="A2249" s="3" t="s">
        <v>2271</v>
      </c>
      <c r="B2249" s="3" t="s">
        <v>22</v>
      </c>
      <c r="C2249" s="3">
        <v>444757</v>
      </c>
      <c r="D2249" s="3">
        <v>134680</v>
      </c>
      <c r="E2249" s="3" t="s">
        <v>23</v>
      </c>
    </row>
    <row r="2250" spans="1:5">
      <c r="A2250" s="3" t="s">
        <v>2272</v>
      </c>
      <c r="B2250" s="3" t="s">
        <v>22</v>
      </c>
      <c r="C2250" s="3">
        <v>665957</v>
      </c>
      <c r="D2250" s="3">
        <v>176855</v>
      </c>
      <c r="E2250" s="3" t="s">
        <v>23</v>
      </c>
    </row>
    <row r="2251" spans="1:5">
      <c r="A2251" s="3" t="s">
        <v>2273</v>
      </c>
      <c r="B2251" s="3" t="s">
        <v>22</v>
      </c>
      <c r="C2251" s="3">
        <v>262888</v>
      </c>
      <c r="D2251" s="3">
        <v>55814</v>
      </c>
      <c r="E2251" s="3" t="s">
        <v>23</v>
      </c>
    </row>
    <row r="2252" spans="1:5">
      <c r="A2252" s="3" t="s">
        <v>2274</v>
      </c>
      <c r="B2252" s="3" t="s">
        <v>22</v>
      </c>
      <c r="C2252" s="3">
        <v>414342</v>
      </c>
      <c r="D2252" s="3">
        <v>3484</v>
      </c>
      <c r="E2252" s="3" t="s">
        <v>23</v>
      </c>
    </row>
    <row r="2253" spans="1:5">
      <c r="A2253" s="3" t="s">
        <v>2275</v>
      </c>
      <c r="B2253" s="3" t="s">
        <v>22</v>
      </c>
      <c r="C2253" s="3">
        <v>427420</v>
      </c>
      <c r="D2253" s="3">
        <v>108598</v>
      </c>
      <c r="E2253" s="3" t="s">
        <v>23</v>
      </c>
    </row>
    <row r="2254" spans="1:5">
      <c r="A2254" s="3" t="s">
        <v>2276</v>
      </c>
      <c r="B2254" s="3" t="s">
        <v>22</v>
      </c>
      <c r="C2254" s="3">
        <v>693243</v>
      </c>
      <c r="D2254" s="3">
        <v>151401</v>
      </c>
      <c r="E2254" s="3" t="s">
        <v>23</v>
      </c>
    </row>
    <row r="2255" spans="1:5">
      <c r="A2255" s="3" t="s">
        <v>2277</v>
      </c>
      <c r="B2255" s="3" t="s">
        <v>22</v>
      </c>
      <c r="C2255" s="3">
        <v>511096</v>
      </c>
      <c r="D2255" s="3">
        <v>88057</v>
      </c>
      <c r="E2255" s="3" t="s">
        <v>23</v>
      </c>
    </row>
    <row r="2256" spans="1:5">
      <c r="A2256" s="3" t="s">
        <v>2278</v>
      </c>
      <c r="B2256" s="3" t="s">
        <v>22</v>
      </c>
      <c r="C2256" s="3">
        <v>547502</v>
      </c>
      <c r="D2256" s="3">
        <v>16335</v>
      </c>
      <c r="E2256" s="3" t="s">
        <v>23</v>
      </c>
    </row>
    <row r="2257" spans="1:5">
      <c r="A2257" s="3" t="s">
        <v>2279</v>
      </c>
      <c r="B2257" s="3" t="s">
        <v>22</v>
      </c>
      <c r="C2257" s="3">
        <v>631559</v>
      </c>
      <c r="D2257" s="3">
        <v>112941</v>
      </c>
      <c r="E2257" s="3" t="s">
        <v>23</v>
      </c>
    </row>
    <row r="2258" spans="1:5">
      <c r="A2258" s="3" t="s">
        <v>2280</v>
      </c>
      <c r="B2258" s="3" t="s">
        <v>22</v>
      </c>
      <c r="C2258" s="3">
        <v>645110</v>
      </c>
      <c r="D2258" s="3">
        <v>20774</v>
      </c>
      <c r="E2258" s="3" t="s">
        <v>23</v>
      </c>
    </row>
    <row r="2259" spans="1:5">
      <c r="A2259" s="3" t="s">
        <v>2281</v>
      </c>
      <c r="B2259" s="3" t="s">
        <v>22</v>
      </c>
      <c r="C2259" s="3">
        <v>712230</v>
      </c>
      <c r="D2259" s="3">
        <v>132954</v>
      </c>
      <c r="E2259" s="3" t="s">
        <v>23</v>
      </c>
    </row>
    <row r="2260" spans="1:5">
      <c r="A2260" s="3" t="s">
        <v>2282</v>
      </c>
      <c r="B2260" s="3" t="s">
        <v>22</v>
      </c>
      <c r="C2260" s="3">
        <v>167878</v>
      </c>
      <c r="D2260" s="3">
        <v>44191</v>
      </c>
      <c r="E2260" s="3" t="s">
        <v>23</v>
      </c>
    </row>
    <row r="2261" spans="1:5">
      <c r="A2261" s="3" t="s">
        <v>2283</v>
      </c>
      <c r="B2261" s="3" t="s">
        <v>22</v>
      </c>
      <c r="C2261" s="3">
        <v>519915</v>
      </c>
      <c r="D2261" s="3">
        <v>154248</v>
      </c>
      <c r="E2261" s="3" t="s">
        <v>23</v>
      </c>
    </row>
    <row r="2262" spans="1:5">
      <c r="A2262" s="3" t="s">
        <v>2284</v>
      </c>
      <c r="B2262" s="3" t="s">
        <v>22</v>
      </c>
      <c r="C2262" s="3">
        <v>244283</v>
      </c>
      <c r="D2262" s="3">
        <v>80230</v>
      </c>
      <c r="E2262" s="3" t="s">
        <v>23</v>
      </c>
    </row>
    <row r="2263" spans="1:5">
      <c r="A2263" s="3" t="s">
        <v>2285</v>
      </c>
      <c r="B2263" s="3" t="s">
        <v>22</v>
      </c>
      <c r="C2263" s="3">
        <v>474811</v>
      </c>
      <c r="D2263" s="3">
        <v>9950</v>
      </c>
      <c r="E2263" s="3" t="s">
        <v>23</v>
      </c>
    </row>
    <row r="2264" spans="1:5">
      <c r="A2264" s="3" t="s">
        <v>2286</v>
      </c>
      <c r="B2264" s="3" t="s">
        <v>22</v>
      </c>
      <c r="C2264" s="3">
        <v>476023</v>
      </c>
      <c r="D2264" s="3">
        <v>20529</v>
      </c>
      <c r="E2264" s="3" t="s">
        <v>23</v>
      </c>
    </row>
    <row r="2265" spans="1:5">
      <c r="A2265" s="3" t="s">
        <v>2287</v>
      </c>
      <c r="B2265" s="3" t="s">
        <v>22</v>
      </c>
      <c r="C2265" s="3">
        <v>948018</v>
      </c>
      <c r="D2265" s="3">
        <v>85394</v>
      </c>
      <c r="E2265" s="3" t="s">
        <v>23</v>
      </c>
    </row>
    <row r="2266" spans="1:5">
      <c r="A2266" s="3" t="s">
        <v>2288</v>
      </c>
      <c r="B2266" s="3" t="s">
        <v>22</v>
      </c>
      <c r="C2266" s="3">
        <v>812041</v>
      </c>
      <c r="D2266" s="3">
        <v>118895</v>
      </c>
      <c r="E2266" s="3" t="s">
        <v>23</v>
      </c>
    </row>
    <row r="2267" spans="1:5">
      <c r="A2267" s="3" t="s">
        <v>2289</v>
      </c>
      <c r="B2267" s="3" t="s">
        <v>22</v>
      </c>
      <c r="C2267" s="3">
        <v>839165</v>
      </c>
      <c r="D2267" s="3">
        <v>11450</v>
      </c>
      <c r="E2267" s="3" t="s">
        <v>23</v>
      </c>
    </row>
    <row r="2268" spans="1:5">
      <c r="A2268" s="3" t="s">
        <v>2290</v>
      </c>
      <c r="B2268" s="3" t="s">
        <v>22</v>
      </c>
      <c r="C2268" s="3">
        <v>321855</v>
      </c>
      <c r="D2268" s="3">
        <v>54092</v>
      </c>
      <c r="E2268" s="3" t="s">
        <v>23</v>
      </c>
    </row>
    <row r="2269" spans="1:5">
      <c r="A2269" s="3" t="s">
        <v>2291</v>
      </c>
      <c r="B2269" s="3" t="s">
        <v>22</v>
      </c>
      <c r="C2269" s="3">
        <v>712364</v>
      </c>
      <c r="D2269" s="3">
        <v>126706</v>
      </c>
      <c r="E2269" s="3" t="s">
        <v>23</v>
      </c>
    </row>
    <row r="2270" spans="1:5">
      <c r="A2270" s="3" t="s">
        <v>2292</v>
      </c>
      <c r="B2270" s="3" t="s">
        <v>22</v>
      </c>
      <c r="C2270" s="3">
        <v>307788</v>
      </c>
      <c r="D2270" s="3">
        <v>6779</v>
      </c>
      <c r="E2270" s="3" t="s">
        <v>23</v>
      </c>
    </row>
    <row r="2271" spans="1:5">
      <c r="A2271" s="3" t="s">
        <v>2293</v>
      </c>
      <c r="B2271" s="3" t="s">
        <v>22</v>
      </c>
      <c r="C2271" s="3">
        <v>606954</v>
      </c>
      <c r="D2271" s="3">
        <v>97275</v>
      </c>
      <c r="E2271" s="3" t="s">
        <v>23</v>
      </c>
    </row>
    <row r="2272" spans="1:5">
      <c r="A2272" s="3" t="s">
        <v>2294</v>
      </c>
      <c r="B2272" s="3" t="s">
        <v>22</v>
      </c>
      <c r="C2272" s="3">
        <v>837613</v>
      </c>
      <c r="D2272" s="3">
        <v>58445</v>
      </c>
      <c r="E2272" s="3" t="s">
        <v>23</v>
      </c>
    </row>
    <row r="2273" spans="1:5">
      <c r="A2273" s="3" t="s">
        <v>2295</v>
      </c>
      <c r="B2273" s="3" t="s">
        <v>22</v>
      </c>
      <c r="C2273" s="3">
        <v>493038</v>
      </c>
      <c r="D2273" s="3">
        <v>43422</v>
      </c>
      <c r="E2273" s="3" t="s">
        <v>23</v>
      </c>
    </row>
    <row r="2274" spans="1:5">
      <c r="A2274" s="3" t="s">
        <v>2296</v>
      </c>
      <c r="B2274" s="3" t="s">
        <v>22</v>
      </c>
      <c r="C2274" s="3">
        <v>579876</v>
      </c>
      <c r="D2274" s="3">
        <v>30334</v>
      </c>
      <c r="E2274" s="3" t="s">
        <v>23</v>
      </c>
    </row>
    <row r="2275" spans="1:5">
      <c r="A2275" s="3" t="s">
        <v>2297</v>
      </c>
      <c r="B2275" s="3" t="s">
        <v>22</v>
      </c>
      <c r="C2275" s="3">
        <v>428573</v>
      </c>
      <c r="D2275" s="3">
        <v>65958</v>
      </c>
      <c r="E2275" s="3" t="s">
        <v>23</v>
      </c>
    </row>
    <row r="2276" spans="1:5">
      <c r="A2276" s="3" t="s">
        <v>2298</v>
      </c>
      <c r="B2276" s="3" t="s">
        <v>22</v>
      </c>
      <c r="C2276" s="3">
        <v>768419</v>
      </c>
      <c r="D2276" s="3">
        <v>186831</v>
      </c>
      <c r="E2276" s="3" t="s">
        <v>23</v>
      </c>
    </row>
    <row r="2277" spans="1:5">
      <c r="A2277" s="3" t="s">
        <v>2299</v>
      </c>
      <c r="B2277" s="3" t="s">
        <v>22</v>
      </c>
      <c r="C2277" s="3">
        <v>439069</v>
      </c>
      <c r="D2277" s="3">
        <v>153713</v>
      </c>
      <c r="E2277" s="3" t="s">
        <v>23</v>
      </c>
    </row>
    <row r="2278" spans="1:5">
      <c r="A2278" s="3" t="s">
        <v>2300</v>
      </c>
      <c r="B2278" s="3" t="s">
        <v>22</v>
      </c>
      <c r="C2278" s="3">
        <v>911954</v>
      </c>
      <c r="D2278" s="3">
        <v>126924</v>
      </c>
      <c r="E2278" s="3" t="s">
        <v>23</v>
      </c>
    </row>
    <row r="2279" spans="1:5">
      <c r="A2279" s="3" t="s">
        <v>2301</v>
      </c>
      <c r="B2279" s="3" t="s">
        <v>22</v>
      </c>
      <c r="C2279" s="3">
        <v>592939</v>
      </c>
      <c r="D2279" s="3">
        <v>76731</v>
      </c>
      <c r="E2279" s="3" t="s">
        <v>23</v>
      </c>
    </row>
    <row r="2280" spans="1:5">
      <c r="A2280" s="3" t="s">
        <v>2302</v>
      </c>
      <c r="B2280" s="3" t="s">
        <v>22</v>
      </c>
      <c r="C2280" s="3">
        <v>551464</v>
      </c>
      <c r="D2280" s="3">
        <v>9778</v>
      </c>
      <c r="E2280" s="3" t="s">
        <v>23</v>
      </c>
    </row>
    <row r="2281" spans="1:5">
      <c r="A2281" s="3" t="s">
        <v>2303</v>
      </c>
      <c r="B2281" s="3" t="s">
        <v>22</v>
      </c>
      <c r="C2281" s="3">
        <v>715044</v>
      </c>
      <c r="D2281" s="3">
        <v>102213</v>
      </c>
      <c r="E2281" s="3" t="s">
        <v>23</v>
      </c>
    </row>
    <row r="2282" spans="1:5">
      <c r="A2282" s="3" t="s">
        <v>2304</v>
      </c>
      <c r="B2282" s="3" t="s">
        <v>22</v>
      </c>
      <c r="C2282" s="3">
        <v>683019</v>
      </c>
      <c r="D2282" s="3">
        <v>111846</v>
      </c>
      <c r="E2282" s="3" t="s">
        <v>23</v>
      </c>
    </row>
    <row r="2283" spans="1:5">
      <c r="A2283" s="3" t="s">
        <v>2305</v>
      </c>
      <c r="B2283" s="3" t="s">
        <v>22</v>
      </c>
      <c r="C2283" s="3">
        <v>467553</v>
      </c>
      <c r="D2283" s="3">
        <v>115451</v>
      </c>
      <c r="E2283" s="3" t="s">
        <v>23</v>
      </c>
    </row>
    <row r="2284" spans="1:5">
      <c r="A2284" s="3" t="s">
        <v>2306</v>
      </c>
      <c r="B2284" s="3" t="s">
        <v>22</v>
      </c>
      <c r="C2284" s="3">
        <v>406652</v>
      </c>
      <c r="D2284" s="3">
        <v>97195</v>
      </c>
      <c r="E2284" s="3" t="s">
        <v>23</v>
      </c>
    </row>
    <row r="2285" spans="1:5">
      <c r="A2285" s="3" t="s">
        <v>2307</v>
      </c>
      <c r="B2285" s="3" t="s">
        <v>22</v>
      </c>
      <c r="C2285" s="3">
        <v>646307</v>
      </c>
      <c r="D2285" s="3">
        <v>73618</v>
      </c>
      <c r="E2285" s="3" t="s">
        <v>23</v>
      </c>
    </row>
    <row r="2286" spans="1:5">
      <c r="A2286" s="3" t="s">
        <v>2308</v>
      </c>
      <c r="B2286" s="3" t="s">
        <v>22</v>
      </c>
      <c r="C2286" s="3">
        <v>566020</v>
      </c>
      <c r="D2286" s="3">
        <v>57356</v>
      </c>
      <c r="E2286" s="3" t="s">
        <v>23</v>
      </c>
    </row>
    <row r="2287" spans="1:5">
      <c r="A2287" s="3" t="s">
        <v>2309</v>
      </c>
      <c r="B2287" s="3" t="s">
        <v>22</v>
      </c>
      <c r="C2287" s="3">
        <v>481999</v>
      </c>
      <c r="D2287" s="3">
        <v>99956</v>
      </c>
      <c r="E2287" s="3" t="s">
        <v>23</v>
      </c>
    </row>
    <row r="2288" spans="1:5">
      <c r="A2288" s="3" t="s">
        <v>2310</v>
      </c>
      <c r="B2288" s="3" t="s">
        <v>22</v>
      </c>
      <c r="C2288" s="3">
        <v>666278</v>
      </c>
      <c r="D2288" s="3">
        <v>31185</v>
      </c>
      <c r="E2288" s="3" t="s">
        <v>23</v>
      </c>
    </row>
    <row r="2289" spans="1:5">
      <c r="A2289" s="3" t="s">
        <v>2311</v>
      </c>
      <c r="B2289" s="3" t="s">
        <v>22</v>
      </c>
      <c r="C2289" s="3">
        <v>348485</v>
      </c>
      <c r="D2289" s="3">
        <v>44292</v>
      </c>
      <c r="E2289" s="3" t="s">
        <v>23</v>
      </c>
    </row>
    <row r="2290" spans="1:5">
      <c r="A2290" s="3" t="s">
        <v>2312</v>
      </c>
      <c r="B2290" s="3" t="s">
        <v>22</v>
      </c>
      <c r="C2290" s="3">
        <v>611342</v>
      </c>
      <c r="D2290" s="3">
        <v>102902</v>
      </c>
      <c r="E2290" s="3" t="s">
        <v>23</v>
      </c>
    </row>
    <row r="2291" spans="1:5">
      <c r="A2291" s="3" t="s">
        <v>2313</v>
      </c>
      <c r="B2291" s="3" t="s">
        <v>22</v>
      </c>
      <c r="C2291" s="3">
        <v>639787</v>
      </c>
      <c r="D2291" s="3">
        <v>13958</v>
      </c>
      <c r="E2291" s="3" t="s">
        <v>23</v>
      </c>
    </row>
    <row r="2292" spans="1:5">
      <c r="A2292" s="3" t="s">
        <v>2314</v>
      </c>
      <c r="B2292" s="3" t="s">
        <v>22</v>
      </c>
      <c r="C2292" s="3">
        <v>376898</v>
      </c>
      <c r="D2292" s="3">
        <v>5963</v>
      </c>
      <c r="E2292" s="3" t="s">
        <v>23</v>
      </c>
    </row>
    <row r="2293" spans="1:5">
      <c r="A2293" s="3" t="s">
        <v>2315</v>
      </c>
      <c r="B2293" s="3" t="s">
        <v>22</v>
      </c>
      <c r="C2293" s="3">
        <v>688267</v>
      </c>
      <c r="D2293" s="3">
        <v>215176</v>
      </c>
      <c r="E2293" s="3" t="s">
        <v>23</v>
      </c>
    </row>
    <row r="2294" spans="1:5">
      <c r="A2294" s="3" t="s">
        <v>2316</v>
      </c>
      <c r="B2294" s="3" t="s">
        <v>22</v>
      </c>
      <c r="C2294" s="3">
        <v>720294</v>
      </c>
      <c r="D2294" s="3">
        <v>28049</v>
      </c>
      <c r="E2294" s="3" t="s">
        <v>23</v>
      </c>
    </row>
    <row r="2295" spans="1:5">
      <c r="A2295" s="3" t="s">
        <v>2317</v>
      </c>
      <c r="B2295" s="3" t="s">
        <v>22</v>
      </c>
      <c r="C2295" s="3">
        <v>244982</v>
      </c>
      <c r="D2295" s="3">
        <v>15021</v>
      </c>
      <c r="E2295" s="3" t="s">
        <v>23</v>
      </c>
    </row>
    <row r="2296" spans="1:5">
      <c r="A2296" s="3" t="s">
        <v>2318</v>
      </c>
      <c r="B2296" s="3" t="s">
        <v>22</v>
      </c>
      <c r="C2296" s="3">
        <v>789337</v>
      </c>
      <c r="D2296" s="3">
        <v>26959</v>
      </c>
      <c r="E2296" s="3" t="s">
        <v>23</v>
      </c>
    </row>
    <row r="2297" spans="1:5">
      <c r="A2297" s="3" t="s">
        <v>2319</v>
      </c>
      <c r="B2297" s="3" t="s">
        <v>22</v>
      </c>
      <c r="C2297" s="3">
        <v>491985</v>
      </c>
      <c r="D2297" s="3">
        <v>20843</v>
      </c>
      <c r="E2297" s="3" t="s">
        <v>23</v>
      </c>
    </row>
    <row r="2298" spans="1:5">
      <c r="A2298" s="3" t="s">
        <v>2320</v>
      </c>
      <c r="B2298" s="3" t="s">
        <v>22</v>
      </c>
      <c r="C2298" s="3">
        <v>689256</v>
      </c>
      <c r="D2298" s="3">
        <v>47273</v>
      </c>
      <c r="E2298" s="3" t="s">
        <v>23</v>
      </c>
    </row>
    <row r="2299" spans="1:5">
      <c r="A2299" s="3" t="s">
        <v>2321</v>
      </c>
      <c r="B2299" s="3" t="s">
        <v>22</v>
      </c>
      <c r="C2299" s="3">
        <v>340760</v>
      </c>
      <c r="D2299" s="3">
        <v>38923</v>
      </c>
      <c r="E2299" s="3" t="s">
        <v>23</v>
      </c>
    </row>
    <row r="2300" spans="1:5">
      <c r="A2300" s="3" t="s">
        <v>2322</v>
      </c>
      <c r="B2300" s="3" t="s">
        <v>22</v>
      </c>
      <c r="C2300" s="3">
        <v>484828</v>
      </c>
      <c r="D2300" s="3">
        <v>60896</v>
      </c>
      <c r="E2300" s="3" t="s">
        <v>23</v>
      </c>
    </row>
    <row r="2301" spans="1:5">
      <c r="A2301" s="3" t="s">
        <v>2323</v>
      </c>
      <c r="B2301" s="3" t="s">
        <v>22</v>
      </c>
      <c r="C2301" s="3">
        <v>500746</v>
      </c>
      <c r="D2301" s="3">
        <v>25116</v>
      </c>
      <c r="E2301" s="3" t="s">
        <v>23</v>
      </c>
    </row>
    <row r="2302" spans="1:5">
      <c r="A2302" s="3" t="s">
        <v>2324</v>
      </c>
      <c r="B2302" s="3" t="s">
        <v>22</v>
      </c>
      <c r="C2302" s="3">
        <v>489667</v>
      </c>
      <c r="D2302" s="3">
        <v>108143</v>
      </c>
      <c r="E2302" s="3" t="s">
        <v>23</v>
      </c>
    </row>
    <row r="2303" spans="1:5">
      <c r="A2303" s="3" t="s">
        <v>2325</v>
      </c>
      <c r="B2303" s="3" t="s">
        <v>22</v>
      </c>
      <c r="C2303" s="3">
        <v>456030</v>
      </c>
      <c r="D2303" s="3">
        <v>25396</v>
      </c>
      <c r="E2303" s="3" t="s">
        <v>23</v>
      </c>
    </row>
    <row r="2304" spans="1:5">
      <c r="A2304" s="3" t="s">
        <v>2326</v>
      </c>
      <c r="B2304" s="3" t="s">
        <v>22</v>
      </c>
      <c r="C2304" s="3">
        <v>892681</v>
      </c>
      <c r="D2304" s="3">
        <v>139286</v>
      </c>
      <c r="E2304" s="3" t="s">
        <v>23</v>
      </c>
    </row>
    <row r="2305" spans="1:5">
      <c r="A2305" s="3" t="s">
        <v>2327</v>
      </c>
      <c r="B2305" s="3" t="s">
        <v>22</v>
      </c>
      <c r="C2305" s="3">
        <v>832280</v>
      </c>
      <c r="D2305" s="3">
        <v>150080</v>
      </c>
      <c r="E2305" s="3" t="s">
        <v>23</v>
      </c>
    </row>
    <row r="2306" spans="1:5">
      <c r="A2306" s="3" t="s">
        <v>2328</v>
      </c>
      <c r="B2306" s="3" t="s">
        <v>22</v>
      </c>
      <c r="C2306" s="3">
        <v>442865</v>
      </c>
      <c r="D2306" s="3">
        <v>55255</v>
      </c>
      <c r="E2306" s="3" t="s">
        <v>23</v>
      </c>
    </row>
    <row r="2307" spans="1:5">
      <c r="A2307" s="3" t="s">
        <v>2329</v>
      </c>
      <c r="B2307" s="3" t="s">
        <v>22</v>
      </c>
      <c r="C2307" s="3">
        <v>568241</v>
      </c>
      <c r="D2307" s="3">
        <v>115487</v>
      </c>
      <c r="E2307" s="3" t="s">
        <v>23</v>
      </c>
    </row>
    <row r="2308" spans="1:5">
      <c r="A2308" s="3" t="s">
        <v>2330</v>
      </c>
      <c r="B2308" s="3" t="s">
        <v>22</v>
      </c>
      <c r="C2308" s="3">
        <v>74283</v>
      </c>
      <c r="D2308" s="3">
        <v>18953</v>
      </c>
      <c r="E2308" s="3" t="s">
        <v>23</v>
      </c>
    </row>
    <row r="2309" spans="1:5">
      <c r="A2309" s="3" t="s">
        <v>2331</v>
      </c>
      <c r="B2309" s="3" t="s">
        <v>22</v>
      </c>
      <c r="C2309" s="3">
        <v>765898</v>
      </c>
      <c r="D2309" s="3">
        <v>251014</v>
      </c>
      <c r="E2309" s="3" t="s">
        <v>23</v>
      </c>
    </row>
    <row r="2310" spans="1:5">
      <c r="A2310" s="3" t="s">
        <v>2332</v>
      </c>
      <c r="B2310" s="3" t="s">
        <v>22</v>
      </c>
      <c r="C2310" s="3">
        <v>502816</v>
      </c>
      <c r="D2310" s="3">
        <v>23587</v>
      </c>
      <c r="E2310" s="3" t="s">
        <v>23</v>
      </c>
    </row>
    <row r="2311" spans="1:5">
      <c r="A2311" s="3" t="s">
        <v>2333</v>
      </c>
      <c r="B2311" s="3" t="s">
        <v>22</v>
      </c>
      <c r="C2311" s="3">
        <v>591138</v>
      </c>
      <c r="D2311" s="3">
        <v>31102</v>
      </c>
      <c r="E2311" s="3" t="s">
        <v>23</v>
      </c>
    </row>
    <row r="2312" spans="1:5">
      <c r="A2312" s="3" t="s">
        <v>2334</v>
      </c>
      <c r="B2312" s="3" t="s">
        <v>22</v>
      </c>
      <c r="C2312" s="3">
        <v>397160</v>
      </c>
      <c r="D2312" s="3">
        <v>50325</v>
      </c>
      <c r="E2312" s="3" t="s">
        <v>23</v>
      </c>
    </row>
    <row r="2313" spans="1:5">
      <c r="A2313" s="3" t="s">
        <v>2335</v>
      </c>
      <c r="B2313" s="3" t="s">
        <v>22</v>
      </c>
      <c r="C2313" s="3">
        <v>412988</v>
      </c>
      <c r="D2313" s="3">
        <v>53559</v>
      </c>
      <c r="E2313" s="3" t="s">
        <v>23</v>
      </c>
    </row>
    <row r="2314" spans="1:5">
      <c r="A2314" s="3" t="s">
        <v>2336</v>
      </c>
      <c r="B2314" s="3" t="s">
        <v>22</v>
      </c>
      <c r="C2314" s="3">
        <v>521652</v>
      </c>
      <c r="D2314" s="3">
        <v>83015</v>
      </c>
      <c r="E2314" s="3" t="s">
        <v>23</v>
      </c>
    </row>
    <row r="2315" spans="1:5">
      <c r="A2315" s="3" t="s">
        <v>2337</v>
      </c>
      <c r="B2315" s="3" t="s">
        <v>22</v>
      </c>
      <c r="C2315" s="3">
        <v>645046</v>
      </c>
      <c r="D2315" s="3">
        <v>143378</v>
      </c>
      <c r="E2315" s="3" t="s">
        <v>23</v>
      </c>
    </row>
    <row r="2316" spans="1:5">
      <c r="A2316" s="3" t="s">
        <v>2338</v>
      </c>
      <c r="B2316" s="3" t="s">
        <v>22</v>
      </c>
      <c r="C2316" s="3">
        <v>467262</v>
      </c>
      <c r="D2316" s="3">
        <v>55911</v>
      </c>
      <c r="E2316" s="3" t="s">
        <v>23</v>
      </c>
    </row>
    <row r="2317" spans="1:5">
      <c r="A2317" s="3" t="s">
        <v>2339</v>
      </c>
      <c r="B2317" s="3" t="s">
        <v>22</v>
      </c>
      <c r="C2317" s="3">
        <v>654128</v>
      </c>
      <c r="D2317" s="3">
        <v>52299</v>
      </c>
      <c r="E2317" s="3" t="s">
        <v>23</v>
      </c>
    </row>
    <row r="2318" spans="1:5">
      <c r="A2318" s="3" t="s">
        <v>2340</v>
      </c>
      <c r="B2318" s="3" t="s">
        <v>22</v>
      </c>
      <c r="C2318" s="3">
        <v>341170</v>
      </c>
      <c r="D2318" s="3">
        <v>53463</v>
      </c>
      <c r="E2318" s="3" t="s">
        <v>23</v>
      </c>
    </row>
    <row r="2319" spans="1:5">
      <c r="A2319" s="3" t="s">
        <v>2341</v>
      </c>
      <c r="B2319" s="3" t="s">
        <v>22</v>
      </c>
      <c r="C2319" s="3">
        <v>558397</v>
      </c>
      <c r="D2319" s="3">
        <v>24447</v>
      </c>
      <c r="E2319" s="3" t="s">
        <v>23</v>
      </c>
    </row>
    <row r="2320" spans="1:5">
      <c r="A2320" s="3" t="s">
        <v>2342</v>
      </c>
      <c r="B2320" s="3" t="s">
        <v>22</v>
      </c>
      <c r="C2320" s="3">
        <v>564517</v>
      </c>
      <c r="D2320" s="3">
        <v>147089</v>
      </c>
      <c r="E2320" s="3" t="s">
        <v>23</v>
      </c>
    </row>
    <row r="2321" spans="1:5">
      <c r="A2321" s="3" t="s">
        <v>2343</v>
      </c>
      <c r="B2321" s="3" t="s">
        <v>22</v>
      </c>
      <c r="C2321" s="3">
        <v>585742</v>
      </c>
      <c r="D2321" s="3">
        <v>90675</v>
      </c>
      <c r="E2321" s="3" t="s">
        <v>23</v>
      </c>
    </row>
    <row r="2322" spans="1:5">
      <c r="A2322" s="3" t="s">
        <v>2344</v>
      </c>
      <c r="B2322" s="3" t="s">
        <v>22</v>
      </c>
      <c r="C2322" s="3">
        <v>753538</v>
      </c>
      <c r="D2322" s="3">
        <v>88719</v>
      </c>
      <c r="E2322" s="3" t="s">
        <v>23</v>
      </c>
    </row>
    <row r="2323" spans="1:5">
      <c r="A2323" s="3" t="s">
        <v>2345</v>
      </c>
      <c r="B2323" s="3" t="s">
        <v>22</v>
      </c>
      <c r="C2323" s="3">
        <v>651970</v>
      </c>
      <c r="D2323" s="3">
        <v>6630</v>
      </c>
      <c r="E2323" s="3" t="s">
        <v>23</v>
      </c>
    </row>
    <row r="2324" spans="1:5">
      <c r="A2324" s="3" t="s">
        <v>2346</v>
      </c>
      <c r="B2324" s="3" t="s">
        <v>22</v>
      </c>
      <c r="C2324" s="3">
        <v>377725</v>
      </c>
      <c r="D2324" s="3">
        <v>102777</v>
      </c>
      <c r="E2324" s="3" t="s">
        <v>23</v>
      </c>
    </row>
    <row r="2325" spans="1:5">
      <c r="A2325" s="3" t="s">
        <v>2347</v>
      </c>
      <c r="B2325" s="3" t="s">
        <v>22</v>
      </c>
      <c r="C2325" s="3">
        <v>514674</v>
      </c>
      <c r="D2325" s="3">
        <v>11078</v>
      </c>
      <c r="E2325" s="3" t="s">
        <v>23</v>
      </c>
    </row>
    <row r="2326" spans="1:5">
      <c r="A2326" s="3" t="s">
        <v>2348</v>
      </c>
      <c r="B2326" s="3" t="s">
        <v>22</v>
      </c>
      <c r="C2326" s="3">
        <v>486328</v>
      </c>
      <c r="D2326" s="3">
        <v>57321</v>
      </c>
      <c r="E2326" s="3" t="s">
        <v>23</v>
      </c>
    </row>
    <row r="2327" spans="1:5">
      <c r="A2327" s="3" t="s">
        <v>2349</v>
      </c>
      <c r="B2327" s="3" t="s">
        <v>22</v>
      </c>
      <c r="C2327" s="3">
        <v>753879</v>
      </c>
      <c r="D2327" s="3">
        <v>217978</v>
      </c>
      <c r="E2327" s="3" t="s">
        <v>23</v>
      </c>
    </row>
    <row r="2328" spans="1:5">
      <c r="A2328" s="3" t="s">
        <v>2350</v>
      </c>
      <c r="B2328" s="3" t="s">
        <v>22</v>
      </c>
      <c r="C2328" s="3">
        <v>395694</v>
      </c>
      <c r="D2328" s="3">
        <v>103930</v>
      </c>
      <c r="E2328" s="3" t="s">
        <v>23</v>
      </c>
    </row>
    <row r="2329" spans="1:5">
      <c r="A2329" s="3" t="s">
        <v>2351</v>
      </c>
      <c r="B2329" s="3" t="s">
        <v>22</v>
      </c>
      <c r="C2329" s="3">
        <v>844976</v>
      </c>
      <c r="D2329" s="3">
        <v>75758</v>
      </c>
      <c r="E2329" s="3" t="s">
        <v>23</v>
      </c>
    </row>
    <row r="2330" spans="1:5">
      <c r="A2330" s="3" t="s">
        <v>2352</v>
      </c>
      <c r="B2330" s="3" t="s">
        <v>22</v>
      </c>
      <c r="C2330" s="3">
        <v>339504</v>
      </c>
      <c r="D2330" s="3">
        <v>5166</v>
      </c>
      <c r="E2330" s="3" t="s">
        <v>23</v>
      </c>
    </row>
    <row r="2331" spans="1:5">
      <c r="A2331" s="3" t="s">
        <v>2353</v>
      </c>
      <c r="B2331" s="3" t="s">
        <v>22</v>
      </c>
      <c r="C2331" s="3">
        <v>655804</v>
      </c>
      <c r="D2331" s="3">
        <v>212578</v>
      </c>
      <c r="E2331" s="3" t="s">
        <v>23</v>
      </c>
    </row>
    <row r="2332" spans="1:5">
      <c r="A2332" s="3" t="s">
        <v>2354</v>
      </c>
      <c r="B2332" s="3" t="s">
        <v>22</v>
      </c>
      <c r="C2332" s="3">
        <v>479773</v>
      </c>
      <c r="D2332" s="3">
        <v>114959</v>
      </c>
      <c r="E2332" s="3" t="s">
        <v>23</v>
      </c>
    </row>
    <row r="2333" spans="1:5">
      <c r="A2333" s="3" t="s">
        <v>2355</v>
      </c>
      <c r="B2333" s="3" t="s">
        <v>22</v>
      </c>
      <c r="C2333" s="3">
        <v>407035</v>
      </c>
      <c r="D2333" s="3">
        <v>8075</v>
      </c>
      <c r="E2333" s="3" t="s">
        <v>23</v>
      </c>
    </row>
    <row r="2334" spans="1:5">
      <c r="A2334" s="3" t="s">
        <v>2356</v>
      </c>
      <c r="B2334" s="3" t="s">
        <v>22</v>
      </c>
      <c r="C2334" s="3">
        <v>438681</v>
      </c>
      <c r="D2334" s="3">
        <v>2521</v>
      </c>
      <c r="E2334" s="3" t="s">
        <v>23</v>
      </c>
    </row>
    <row r="2335" spans="1:5">
      <c r="A2335" s="3" t="s">
        <v>2357</v>
      </c>
      <c r="B2335" s="3" t="s">
        <v>22</v>
      </c>
      <c r="C2335" s="3">
        <v>398570</v>
      </c>
      <c r="D2335" s="3">
        <v>98101</v>
      </c>
      <c r="E2335" s="3" t="s">
        <v>23</v>
      </c>
    </row>
    <row r="2336" spans="1:5">
      <c r="A2336" s="3" t="s">
        <v>2358</v>
      </c>
      <c r="B2336" s="3" t="s">
        <v>22</v>
      </c>
      <c r="C2336" s="3">
        <v>857755</v>
      </c>
      <c r="D2336" s="3">
        <v>171705</v>
      </c>
      <c r="E2336" s="3" t="s">
        <v>23</v>
      </c>
    </row>
    <row r="2337" spans="1:5">
      <c r="A2337" s="3" t="s">
        <v>2359</v>
      </c>
      <c r="B2337" s="3" t="s">
        <v>22</v>
      </c>
      <c r="C2337" s="3">
        <v>297453</v>
      </c>
      <c r="D2337" s="3">
        <v>87908</v>
      </c>
      <c r="E2337" s="3" t="s">
        <v>23</v>
      </c>
    </row>
    <row r="2338" spans="1:5">
      <c r="A2338" s="3" t="s">
        <v>2360</v>
      </c>
      <c r="B2338" s="3" t="s">
        <v>22</v>
      </c>
      <c r="C2338" s="3">
        <v>555617</v>
      </c>
      <c r="D2338" s="3">
        <v>113822</v>
      </c>
      <c r="E2338" s="3" t="s">
        <v>23</v>
      </c>
    </row>
    <row r="2339" spans="1:5">
      <c r="A2339" s="3" t="s">
        <v>2361</v>
      </c>
      <c r="B2339" s="3" t="s">
        <v>22</v>
      </c>
      <c r="C2339" s="3">
        <v>306175</v>
      </c>
      <c r="D2339" s="3">
        <v>96772</v>
      </c>
      <c r="E2339" s="3" t="s">
        <v>23</v>
      </c>
    </row>
    <row r="2340" spans="1:5">
      <c r="A2340" s="3" t="s">
        <v>2362</v>
      </c>
      <c r="B2340" s="3" t="s">
        <v>22</v>
      </c>
      <c r="C2340" s="3">
        <v>416143</v>
      </c>
      <c r="D2340" s="3">
        <v>2497</v>
      </c>
      <c r="E2340" s="3" t="s">
        <v>23</v>
      </c>
    </row>
    <row r="2341" spans="1:5">
      <c r="A2341" s="3" t="s">
        <v>2363</v>
      </c>
      <c r="B2341" s="3" t="s">
        <v>22</v>
      </c>
      <c r="C2341" s="3">
        <v>797698</v>
      </c>
      <c r="D2341" s="3">
        <v>22657</v>
      </c>
      <c r="E2341" s="3" t="s">
        <v>23</v>
      </c>
    </row>
    <row r="2342" spans="1:5">
      <c r="A2342" s="3" t="s">
        <v>2364</v>
      </c>
      <c r="B2342" s="3" t="s">
        <v>22</v>
      </c>
      <c r="C2342" s="3">
        <v>326207</v>
      </c>
      <c r="D2342" s="3">
        <v>76377</v>
      </c>
      <c r="E2342" s="3" t="s">
        <v>23</v>
      </c>
    </row>
    <row r="2343" spans="1:5">
      <c r="A2343" s="3" t="s">
        <v>2365</v>
      </c>
      <c r="B2343" s="3" t="s">
        <v>22</v>
      </c>
      <c r="C2343" s="3">
        <v>4245</v>
      </c>
      <c r="D2343" s="3">
        <v>1661</v>
      </c>
      <c r="E2343" s="3" t="s">
        <v>23</v>
      </c>
    </row>
    <row r="2344" spans="1:5">
      <c r="A2344" s="3" t="s">
        <v>2366</v>
      </c>
      <c r="B2344" s="3" t="s">
        <v>22</v>
      </c>
      <c r="C2344" s="3">
        <v>678609</v>
      </c>
      <c r="D2344" s="3">
        <v>206515</v>
      </c>
      <c r="E2344" s="3" t="s">
        <v>23</v>
      </c>
    </row>
    <row r="2345" spans="1:5">
      <c r="A2345" s="3" t="s">
        <v>2367</v>
      </c>
      <c r="B2345" s="3" t="s">
        <v>22</v>
      </c>
      <c r="C2345" s="3">
        <v>745928</v>
      </c>
      <c r="D2345" s="3">
        <v>3133</v>
      </c>
      <c r="E2345" s="3" t="s">
        <v>23</v>
      </c>
    </row>
    <row r="2346" spans="1:5">
      <c r="A2346" s="3" t="s">
        <v>2368</v>
      </c>
      <c r="B2346" s="3" t="s">
        <v>22</v>
      </c>
      <c r="C2346" s="3">
        <v>527613</v>
      </c>
      <c r="D2346" s="3">
        <v>159302</v>
      </c>
      <c r="E2346" s="3" t="s">
        <v>23</v>
      </c>
    </row>
    <row r="2347" spans="1:5">
      <c r="A2347" s="3" t="s">
        <v>2369</v>
      </c>
      <c r="B2347" s="3" t="s">
        <v>22</v>
      </c>
      <c r="C2347" s="3">
        <v>604913</v>
      </c>
      <c r="D2347" s="3">
        <v>105373</v>
      </c>
      <c r="E2347" s="3" t="s">
        <v>23</v>
      </c>
    </row>
    <row r="2348" spans="1:5">
      <c r="A2348" s="3" t="s">
        <v>2370</v>
      </c>
      <c r="B2348" s="3" t="s">
        <v>22</v>
      </c>
      <c r="C2348" s="3">
        <v>366553</v>
      </c>
      <c r="D2348" s="3">
        <v>104261</v>
      </c>
      <c r="E2348" s="3" t="s">
        <v>23</v>
      </c>
    </row>
    <row r="2349" spans="1:5">
      <c r="A2349" s="3" t="s">
        <v>2371</v>
      </c>
      <c r="B2349" s="3" t="s">
        <v>22</v>
      </c>
      <c r="C2349" s="3">
        <v>416731</v>
      </c>
      <c r="D2349" s="3">
        <v>2465</v>
      </c>
      <c r="E2349" s="3" t="s">
        <v>23</v>
      </c>
    </row>
    <row r="2350" spans="1:5">
      <c r="A2350" s="3" t="s">
        <v>2372</v>
      </c>
      <c r="B2350" s="3" t="s">
        <v>22</v>
      </c>
      <c r="C2350" s="3">
        <v>841282</v>
      </c>
      <c r="D2350" s="3">
        <v>244558</v>
      </c>
      <c r="E2350" s="3" t="s">
        <v>23</v>
      </c>
    </row>
    <row r="2351" spans="1:5">
      <c r="A2351" s="3" t="s">
        <v>2373</v>
      </c>
      <c r="B2351" s="3" t="s">
        <v>22</v>
      </c>
      <c r="C2351" s="3">
        <v>600220</v>
      </c>
      <c r="D2351" s="3">
        <v>11399</v>
      </c>
      <c r="E2351" s="3" t="s">
        <v>23</v>
      </c>
    </row>
    <row r="2352" spans="1:5">
      <c r="A2352" s="3" t="s">
        <v>2374</v>
      </c>
      <c r="B2352" s="3" t="s">
        <v>22</v>
      </c>
      <c r="C2352" s="3">
        <v>981969</v>
      </c>
      <c r="D2352" s="3">
        <v>182919</v>
      </c>
      <c r="E2352" s="3" t="s">
        <v>23</v>
      </c>
    </row>
    <row r="2353" spans="1:5">
      <c r="A2353" s="3" t="s">
        <v>2375</v>
      </c>
      <c r="B2353" s="3" t="s">
        <v>22</v>
      </c>
      <c r="C2353" s="3">
        <v>548276</v>
      </c>
      <c r="D2353" s="3">
        <v>90813</v>
      </c>
      <c r="E2353" s="3" t="s">
        <v>23</v>
      </c>
    </row>
    <row r="2354" spans="1:5">
      <c r="A2354" s="3" t="s">
        <v>2376</v>
      </c>
      <c r="B2354" s="3" t="s">
        <v>22</v>
      </c>
      <c r="C2354" s="3">
        <v>506928</v>
      </c>
      <c r="D2354" s="3">
        <v>145607</v>
      </c>
      <c r="E2354" s="3" t="s">
        <v>23</v>
      </c>
    </row>
    <row r="2355" spans="1:5">
      <c r="A2355" s="3" t="s">
        <v>2377</v>
      </c>
      <c r="B2355" s="3" t="s">
        <v>22</v>
      </c>
      <c r="C2355" s="3">
        <v>263159</v>
      </c>
      <c r="D2355" s="3">
        <v>77374</v>
      </c>
      <c r="E2355" s="3" t="s">
        <v>23</v>
      </c>
    </row>
    <row r="2356" spans="1:5">
      <c r="A2356" s="3" t="s">
        <v>2378</v>
      </c>
      <c r="B2356" s="3" t="s">
        <v>22</v>
      </c>
      <c r="C2356" s="3">
        <v>839604</v>
      </c>
      <c r="D2356" s="3">
        <v>110104</v>
      </c>
      <c r="E2356" s="3" t="s">
        <v>23</v>
      </c>
    </row>
    <row r="2357" spans="1:5">
      <c r="A2357" s="3" t="s">
        <v>2379</v>
      </c>
      <c r="B2357" s="3" t="s">
        <v>22</v>
      </c>
      <c r="C2357" s="3">
        <v>754807</v>
      </c>
      <c r="D2357" s="3">
        <v>92702</v>
      </c>
      <c r="E2357" s="3" t="s">
        <v>23</v>
      </c>
    </row>
    <row r="2358" spans="1:5">
      <c r="A2358" s="3" t="s">
        <v>2380</v>
      </c>
      <c r="B2358" s="3" t="s">
        <v>22</v>
      </c>
      <c r="C2358" s="3">
        <v>873439</v>
      </c>
      <c r="D2358" s="3">
        <v>84396</v>
      </c>
      <c r="E2358" s="3" t="s">
        <v>23</v>
      </c>
    </row>
    <row r="2359" spans="1:5">
      <c r="A2359" s="3" t="s">
        <v>2381</v>
      </c>
      <c r="B2359" s="3" t="s">
        <v>22</v>
      </c>
      <c r="C2359" s="3">
        <v>885374</v>
      </c>
      <c r="D2359" s="3">
        <v>35776</v>
      </c>
      <c r="E2359" s="3" t="s">
        <v>23</v>
      </c>
    </row>
    <row r="2360" spans="1:5">
      <c r="A2360" s="3" t="s">
        <v>2382</v>
      </c>
      <c r="B2360" s="3" t="s">
        <v>22</v>
      </c>
      <c r="C2360" s="3">
        <v>750920</v>
      </c>
      <c r="D2360" s="3">
        <v>15290</v>
      </c>
      <c r="E2360" s="3" t="s">
        <v>23</v>
      </c>
    </row>
    <row r="2361" spans="1:5">
      <c r="A2361" s="3" t="s">
        <v>2383</v>
      </c>
      <c r="B2361" s="3" t="s">
        <v>22</v>
      </c>
      <c r="C2361" s="3">
        <v>472363</v>
      </c>
      <c r="D2361" s="3">
        <v>2586</v>
      </c>
      <c r="E2361" s="3" t="s">
        <v>23</v>
      </c>
    </row>
    <row r="2362" spans="1:5">
      <c r="A2362" s="3" t="s">
        <v>2384</v>
      </c>
      <c r="B2362" s="3" t="s">
        <v>22</v>
      </c>
      <c r="C2362" s="3">
        <v>797451</v>
      </c>
      <c r="D2362" s="3">
        <v>105919</v>
      </c>
      <c r="E2362" s="3" t="s">
        <v>23</v>
      </c>
    </row>
    <row r="2363" spans="1:5">
      <c r="A2363" s="3" t="s">
        <v>2385</v>
      </c>
      <c r="B2363" s="3" t="s">
        <v>22</v>
      </c>
      <c r="C2363" s="3">
        <v>719656</v>
      </c>
      <c r="D2363" s="3">
        <v>29586</v>
      </c>
      <c r="E2363" s="3" t="s">
        <v>23</v>
      </c>
    </row>
    <row r="2364" spans="1:5">
      <c r="A2364" s="3" t="s">
        <v>2386</v>
      </c>
      <c r="B2364" s="3" t="s">
        <v>22</v>
      </c>
      <c r="C2364" s="3">
        <v>827112</v>
      </c>
      <c r="D2364" s="3">
        <v>254608</v>
      </c>
      <c r="E2364" s="3" t="s">
        <v>23</v>
      </c>
    </row>
    <row r="2365" spans="1:5">
      <c r="A2365" s="3" t="s">
        <v>2387</v>
      </c>
      <c r="B2365" s="3" t="s">
        <v>22</v>
      </c>
      <c r="C2365" s="3">
        <v>14557</v>
      </c>
      <c r="D2365" s="3">
        <v>254</v>
      </c>
      <c r="E2365" s="3" t="s">
        <v>23</v>
      </c>
    </row>
    <row r="2366" spans="1:5">
      <c r="A2366" s="3" t="s">
        <v>2388</v>
      </c>
      <c r="B2366" s="3" t="s">
        <v>22</v>
      </c>
      <c r="C2366" s="3">
        <v>616059</v>
      </c>
      <c r="D2366" s="3">
        <v>50744</v>
      </c>
      <c r="E2366" s="3" t="s">
        <v>23</v>
      </c>
    </row>
    <row r="2367" spans="1:5">
      <c r="A2367" s="3" t="s">
        <v>2389</v>
      </c>
      <c r="B2367" s="3" t="s">
        <v>22</v>
      </c>
      <c r="C2367" s="3">
        <v>460377</v>
      </c>
      <c r="D2367" s="3">
        <v>89180</v>
      </c>
      <c r="E2367" s="3" t="s">
        <v>23</v>
      </c>
    </row>
    <row r="2368" spans="1:5">
      <c r="A2368" s="3" t="s">
        <v>2390</v>
      </c>
      <c r="B2368" s="3" t="s">
        <v>22</v>
      </c>
      <c r="C2368" s="3">
        <v>605834</v>
      </c>
      <c r="D2368" s="3">
        <v>94867</v>
      </c>
      <c r="E2368" s="3" t="s">
        <v>23</v>
      </c>
    </row>
    <row r="2369" spans="1:5">
      <c r="A2369" s="3" t="s">
        <v>2391</v>
      </c>
      <c r="B2369" s="3" t="s">
        <v>22</v>
      </c>
      <c r="C2369" s="3">
        <v>581296</v>
      </c>
      <c r="D2369" s="3">
        <v>39967</v>
      </c>
      <c r="E2369" s="3" t="s">
        <v>23</v>
      </c>
    </row>
    <row r="2370" spans="1:5">
      <c r="A2370" s="3" t="s">
        <v>2392</v>
      </c>
      <c r="B2370" s="3" t="s">
        <v>22</v>
      </c>
      <c r="C2370" s="3">
        <v>378533</v>
      </c>
      <c r="D2370" s="3">
        <v>66859</v>
      </c>
      <c r="E2370" s="3" t="s">
        <v>23</v>
      </c>
    </row>
    <row r="2371" spans="1:5">
      <c r="A2371" s="3" t="s">
        <v>2393</v>
      </c>
      <c r="B2371" s="3" t="s">
        <v>22</v>
      </c>
      <c r="C2371" s="3">
        <v>951204</v>
      </c>
      <c r="D2371" s="3">
        <v>151768</v>
      </c>
      <c r="E2371" s="3" t="s">
        <v>23</v>
      </c>
    </row>
    <row r="2372" spans="1:5">
      <c r="A2372" s="3" t="s">
        <v>2394</v>
      </c>
      <c r="B2372" s="3" t="s">
        <v>22</v>
      </c>
      <c r="C2372" s="3">
        <v>878790</v>
      </c>
      <c r="D2372" s="3">
        <v>23451</v>
      </c>
      <c r="E2372" s="3" t="s">
        <v>23</v>
      </c>
    </row>
    <row r="2373" spans="1:5">
      <c r="A2373" s="3" t="s">
        <v>2395</v>
      </c>
      <c r="B2373" s="3" t="s">
        <v>22</v>
      </c>
      <c r="C2373" s="3">
        <v>498161</v>
      </c>
      <c r="D2373" s="3">
        <v>48597</v>
      </c>
      <c r="E2373" s="3" t="s">
        <v>23</v>
      </c>
    </row>
    <row r="2374" spans="1:5">
      <c r="A2374" s="3" t="s">
        <v>2396</v>
      </c>
      <c r="B2374" s="3" t="s">
        <v>22</v>
      </c>
      <c r="C2374" s="3">
        <v>730844</v>
      </c>
      <c r="D2374" s="3">
        <v>182276</v>
      </c>
      <c r="E2374" s="3" t="s">
        <v>23</v>
      </c>
    </row>
    <row r="2375" spans="1:5">
      <c r="A2375" s="3" t="s">
        <v>2397</v>
      </c>
      <c r="B2375" s="3" t="s">
        <v>22</v>
      </c>
      <c r="C2375" s="3">
        <v>682297</v>
      </c>
      <c r="D2375" s="3">
        <v>131750</v>
      </c>
      <c r="E2375" s="3" t="s">
        <v>23</v>
      </c>
    </row>
    <row r="2376" spans="1:5">
      <c r="A2376" s="3" t="s">
        <v>2398</v>
      </c>
      <c r="B2376" s="3" t="s">
        <v>22</v>
      </c>
      <c r="C2376" s="3">
        <v>577172</v>
      </c>
      <c r="D2376" s="3">
        <v>83837</v>
      </c>
      <c r="E2376" s="3" t="s">
        <v>23</v>
      </c>
    </row>
    <row r="2377" spans="1:5">
      <c r="A2377" s="3" t="s">
        <v>2399</v>
      </c>
      <c r="B2377" s="3" t="s">
        <v>22</v>
      </c>
      <c r="C2377" s="3">
        <v>773941</v>
      </c>
      <c r="D2377" s="3">
        <v>176916</v>
      </c>
      <c r="E2377" s="3" t="s">
        <v>23</v>
      </c>
    </row>
    <row r="2378" spans="1:5">
      <c r="A2378" s="3" t="s">
        <v>2400</v>
      </c>
      <c r="B2378" s="3" t="s">
        <v>22</v>
      </c>
      <c r="C2378" s="3">
        <v>536382</v>
      </c>
      <c r="D2378" s="3">
        <v>11717</v>
      </c>
      <c r="E2378" s="3" t="s">
        <v>23</v>
      </c>
    </row>
    <row r="2379" spans="1:5">
      <c r="A2379" s="3" t="s">
        <v>2401</v>
      </c>
      <c r="B2379" s="3" t="s">
        <v>22</v>
      </c>
      <c r="C2379" s="3">
        <v>918097</v>
      </c>
      <c r="D2379" s="3">
        <v>113937</v>
      </c>
      <c r="E2379" s="3" t="s">
        <v>23</v>
      </c>
    </row>
    <row r="2380" spans="1:5">
      <c r="A2380" s="3" t="s">
        <v>2402</v>
      </c>
      <c r="B2380" s="3" t="s">
        <v>22</v>
      </c>
      <c r="C2380" s="3">
        <v>571462</v>
      </c>
      <c r="D2380" s="3">
        <v>171476</v>
      </c>
      <c r="E2380" s="3" t="s">
        <v>23</v>
      </c>
    </row>
    <row r="2381" spans="1:5">
      <c r="A2381" s="3" t="s">
        <v>2403</v>
      </c>
      <c r="B2381" s="3" t="s">
        <v>22</v>
      </c>
      <c r="C2381" s="3">
        <v>581248</v>
      </c>
      <c r="D2381" s="3">
        <v>4563</v>
      </c>
      <c r="E2381" s="3" t="s">
        <v>23</v>
      </c>
    </row>
    <row r="2382" spans="1:5">
      <c r="A2382" s="3" t="s">
        <v>2404</v>
      </c>
      <c r="B2382" s="3" t="s">
        <v>22</v>
      </c>
      <c r="C2382" s="3">
        <v>4116</v>
      </c>
      <c r="D2382" s="3">
        <v>1494</v>
      </c>
      <c r="E2382" s="3" t="s">
        <v>23</v>
      </c>
    </row>
    <row r="2383" spans="1:5">
      <c r="A2383" s="3" t="s">
        <v>2405</v>
      </c>
      <c r="B2383" s="3" t="s">
        <v>22</v>
      </c>
      <c r="C2383" s="3">
        <v>544223</v>
      </c>
      <c r="D2383" s="3">
        <v>37171</v>
      </c>
      <c r="E2383" s="3" t="s">
        <v>23</v>
      </c>
    </row>
    <row r="2384" spans="1:5">
      <c r="A2384" s="3" t="s">
        <v>2406</v>
      </c>
      <c r="B2384" s="3" t="s">
        <v>22</v>
      </c>
      <c r="C2384" s="3">
        <v>885802</v>
      </c>
      <c r="D2384" s="3">
        <v>33066</v>
      </c>
      <c r="E2384" s="3" t="s">
        <v>23</v>
      </c>
    </row>
    <row r="2385" spans="1:5">
      <c r="A2385" s="3" t="s">
        <v>2407</v>
      </c>
      <c r="B2385" s="3" t="s">
        <v>22</v>
      </c>
      <c r="C2385" s="3">
        <v>472526</v>
      </c>
      <c r="D2385" s="3">
        <v>1522</v>
      </c>
      <c r="E2385" s="3" t="s">
        <v>23</v>
      </c>
    </row>
    <row r="2386" spans="1:5">
      <c r="A2386" s="3" t="s">
        <v>2408</v>
      </c>
      <c r="B2386" s="3" t="s">
        <v>22</v>
      </c>
      <c r="C2386" s="3">
        <v>328881</v>
      </c>
      <c r="D2386" s="3">
        <v>58707</v>
      </c>
      <c r="E2386" s="3" t="s">
        <v>23</v>
      </c>
    </row>
    <row r="2387" spans="1:5">
      <c r="A2387" s="3" t="s">
        <v>2409</v>
      </c>
      <c r="B2387" s="3" t="s">
        <v>22</v>
      </c>
      <c r="C2387" s="3">
        <v>83894</v>
      </c>
      <c r="D2387" s="3">
        <v>3682</v>
      </c>
      <c r="E2387" s="3" t="s">
        <v>23</v>
      </c>
    </row>
    <row r="2388" spans="1:5">
      <c r="A2388" s="3" t="s">
        <v>2410</v>
      </c>
      <c r="B2388" s="3" t="s">
        <v>22</v>
      </c>
      <c r="C2388" s="3">
        <v>1157143</v>
      </c>
      <c r="D2388" s="3">
        <v>337947</v>
      </c>
      <c r="E2388" s="3" t="s">
        <v>23</v>
      </c>
    </row>
    <row r="2389" spans="1:5">
      <c r="A2389" s="3" t="s">
        <v>2411</v>
      </c>
      <c r="B2389" s="3" t="s">
        <v>22</v>
      </c>
      <c r="C2389" s="3">
        <v>819062</v>
      </c>
      <c r="D2389" s="3">
        <v>33232</v>
      </c>
      <c r="E2389" s="3" t="s">
        <v>23</v>
      </c>
    </row>
    <row r="2390" spans="1:5">
      <c r="A2390" s="3" t="s">
        <v>2412</v>
      </c>
      <c r="B2390" s="3" t="s">
        <v>22</v>
      </c>
      <c r="C2390" s="3">
        <v>854090</v>
      </c>
      <c r="D2390" s="3">
        <v>29867</v>
      </c>
      <c r="E2390" s="3" t="s">
        <v>23</v>
      </c>
    </row>
    <row r="2391" spans="1:5">
      <c r="A2391" s="3" t="s">
        <v>2413</v>
      </c>
      <c r="B2391" s="3" t="s">
        <v>22</v>
      </c>
      <c r="C2391" s="3">
        <v>683571</v>
      </c>
      <c r="D2391" s="3">
        <v>10838</v>
      </c>
      <c r="E2391" s="3" t="s">
        <v>23</v>
      </c>
    </row>
    <row r="2392" spans="1:5">
      <c r="A2392" s="3" t="s">
        <v>2414</v>
      </c>
      <c r="B2392" s="3" t="s">
        <v>22</v>
      </c>
      <c r="C2392" s="3">
        <v>466214</v>
      </c>
      <c r="D2392" s="3">
        <v>2217</v>
      </c>
      <c r="E2392" s="3" t="s">
        <v>23</v>
      </c>
    </row>
    <row r="2393" spans="1:5">
      <c r="A2393" s="3" t="s">
        <v>2415</v>
      </c>
      <c r="B2393" s="3" t="s">
        <v>22</v>
      </c>
      <c r="C2393" s="3">
        <v>1044541</v>
      </c>
      <c r="D2393" s="3">
        <v>163595</v>
      </c>
      <c r="E2393" s="3" t="s">
        <v>23</v>
      </c>
    </row>
    <row r="2394" spans="1:5">
      <c r="A2394" s="3" t="s">
        <v>2416</v>
      </c>
      <c r="B2394" s="3" t="s">
        <v>22</v>
      </c>
      <c r="C2394" s="3">
        <v>769705</v>
      </c>
      <c r="D2394" s="3">
        <v>92807</v>
      </c>
      <c r="E2394" s="3" t="s">
        <v>23</v>
      </c>
    </row>
    <row r="2395" spans="1:5">
      <c r="A2395" s="3" t="s">
        <v>2417</v>
      </c>
      <c r="B2395" s="3" t="s">
        <v>22</v>
      </c>
      <c r="C2395" s="3">
        <v>630433</v>
      </c>
      <c r="D2395" s="3">
        <v>91980</v>
      </c>
      <c r="E2395" s="3" t="s">
        <v>23</v>
      </c>
    </row>
    <row r="2396" spans="1:5">
      <c r="A2396" s="3" t="s">
        <v>2418</v>
      </c>
      <c r="B2396" s="3" t="s">
        <v>22</v>
      </c>
      <c r="C2396" s="3">
        <v>813757</v>
      </c>
      <c r="D2396" s="3">
        <v>59241</v>
      </c>
      <c r="E2396" s="3" t="s">
        <v>23</v>
      </c>
    </row>
    <row r="2397" spans="1:5">
      <c r="A2397" s="3" t="s">
        <v>2419</v>
      </c>
      <c r="B2397" s="3" t="s">
        <v>22</v>
      </c>
      <c r="C2397" s="3">
        <v>921674</v>
      </c>
      <c r="D2397" s="3">
        <v>19664</v>
      </c>
      <c r="E2397" s="3" t="s">
        <v>23</v>
      </c>
    </row>
    <row r="2398" spans="1:5">
      <c r="A2398" s="3" t="s">
        <v>2420</v>
      </c>
      <c r="B2398" s="3" t="s">
        <v>22</v>
      </c>
      <c r="C2398" s="3">
        <v>930833</v>
      </c>
      <c r="D2398" s="3">
        <v>133023</v>
      </c>
      <c r="E2398" s="3" t="s">
        <v>23</v>
      </c>
    </row>
    <row r="2399" spans="1:5">
      <c r="A2399" s="3" t="s">
        <v>2421</v>
      </c>
      <c r="B2399" s="3" t="s">
        <v>22</v>
      </c>
      <c r="C2399" s="3">
        <v>547010</v>
      </c>
      <c r="D2399" s="3">
        <v>164742</v>
      </c>
      <c r="E2399" s="3" t="s">
        <v>23</v>
      </c>
    </row>
    <row r="2400" spans="1:5">
      <c r="A2400" s="3" t="s">
        <v>2422</v>
      </c>
      <c r="B2400" s="3" t="s">
        <v>22</v>
      </c>
      <c r="C2400" s="3">
        <v>231983</v>
      </c>
      <c r="D2400" s="3">
        <v>15530</v>
      </c>
      <c r="E2400" s="3" t="s">
        <v>23</v>
      </c>
    </row>
    <row r="2401" spans="1:5">
      <c r="A2401" s="3" t="s">
        <v>2423</v>
      </c>
      <c r="B2401" s="3" t="s">
        <v>22</v>
      </c>
      <c r="C2401" s="3">
        <v>181275</v>
      </c>
      <c r="D2401" s="3">
        <v>46888</v>
      </c>
      <c r="E2401" s="3" t="s">
        <v>23</v>
      </c>
    </row>
    <row r="2402" spans="1:5">
      <c r="A2402" s="3" t="s">
        <v>2424</v>
      </c>
      <c r="B2402" s="3" t="s">
        <v>22</v>
      </c>
      <c r="C2402" s="3">
        <v>704075</v>
      </c>
      <c r="D2402" s="3">
        <v>176654</v>
      </c>
      <c r="E2402" s="3" t="s">
        <v>23</v>
      </c>
    </row>
    <row r="2403" spans="1:5">
      <c r="A2403" s="3" t="s">
        <v>2425</v>
      </c>
      <c r="B2403" s="3" t="s">
        <v>22</v>
      </c>
      <c r="C2403" s="3">
        <v>809296</v>
      </c>
      <c r="D2403" s="3">
        <v>114515</v>
      </c>
      <c r="E2403" s="3" t="s">
        <v>23</v>
      </c>
    </row>
    <row r="2404" spans="1:5">
      <c r="A2404" s="3" t="s">
        <v>2426</v>
      </c>
      <c r="B2404" s="3" t="s">
        <v>22</v>
      </c>
      <c r="C2404" s="3">
        <v>869374</v>
      </c>
      <c r="D2404" s="3">
        <v>118335</v>
      </c>
      <c r="E2404" s="3" t="s">
        <v>23</v>
      </c>
    </row>
    <row r="2405" spans="1:5">
      <c r="A2405" s="3" t="s">
        <v>2427</v>
      </c>
      <c r="B2405" s="3" t="s">
        <v>22</v>
      </c>
      <c r="C2405" s="3">
        <v>578808</v>
      </c>
      <c r="D2405" s="3">
        <v>90560</v>
      </c>
      <c r="E2405" s="3" t="s">
        <v>23</v>
      </c>
    </row>
    <row r="2406" spans="1:5">
      <c r="A2406" s="3" t="s">
        <v>2428</v>
      </c>
      <c r="B2406" s="3" t="s">
        <v>22</v>
      </c>
      <c r="C2406" s="3">
        <v>767537</v>
      </c>
      <c r="D2406" s="3">
        <v>79666</v>
      </c>
      <c r="E2406" s="3" t="s">
        <v>23</v>
      </c>
    </row>
    <row r="2407" spans="1:5">
      <c r="A2407" s="3" t="s">
        <v>2429</v>
      </c>
      <c r="B2407" s="3" t="s">
        <v>22</v>
      </c>
      <c r="C2407" s="3">
        <v>479791</v>
      </c>
      <c r="D2407" s="3">
        <v>113571</v>
      </c>
      <c r="E2407" s="3" t="s">
        <v>23</v>
      </c>
    </row>
    <row r="2408" spans="1:5">
      <c r="A2408" s="3" t="s">
        <v>2430</v>
      </c>
      <c r="B2408" s="3" t="s">
        <v>22</v>
      </c>
      <c r="C2408" s="3">
        <v>678332</v>
      </c>
      <c r="D2408" s="3">
        <v>111507</v>
      </c>
      <c r="E2408" s="3" t="s">
        <v>23</v>
      </c>
    </row>
    <row r="2409" spans="1:5">
      <c r="A2409" s="3" t="s">
        <v>2431</v>
      </c>
      <c r="B2409" s="3" t="s">
        <v>22</v>
      </c>
      <c r="C2409" s="3">
        <v>633391</v>
      </c>
      <c r="D2409" s="3">
        <v>16023</v>
      </c>
      <c r="E2409" s="3" t="s">
        <v>23</v>
      </c>
    </row>
    <row r="2410" spans="1:5">
      <c r="A2410" s="3" t="s">
        <v>2432</v>
      </c>
      <c r="B2410" s="3" t="s">
        <v>22</v>
      </c>
      <c r="C2410" s="3">
        <v>817771</v>
      </c>
      <c r="D2410" s="3">
        <v>174634</v>
      </c>
      <c r="E2410" s="3" t="s">
        <v>23</v>
      </c>
    </row>
    <row r="2411" spans="1:5">
      <c r="A2411" s="3" t="s">
        <v>2433</v>
      </c>
      <c r="B2411" s="3" t="s">
        <v>22</v>
      </c>
      <c r="C2411" s="3">
        <v>728002</v>
      </c>
      <c r="D2411" s="3">
        <v>44343</v>
      </c>
      <c r="E2411" s="3" t="s">
        <v>23</v>
      </c>
    </row>
    <row r="2412" spans="1:5">
      <c r="A2412" s="3" t="s">
        <v>2434</v>
      </c>
      <c r="B2412" s="3" t="s">
        <v>22</v>
      </c>
      <c r="C2412" s="3">
        <v>772986</v>
      </c>
      <c r="D2412" s="3">
        <v>71788</v>
      </c>
      <c r="E2412" s="3" t="s">
        <v>23</v>
      </c>
    </row>
    <row r="2413" spans="1:5">
      <c r="A2413" s="3" t="s">
        <v>2435</v>
      </c>
      <c r="B2413" s="3" t="s">
        <v>22</v>
      </c>
      <c r="C2413" s="3">
        <v>541703</v>
      </c>
      <c r="D2413" s="3">
        <v>143625</v>
      </c>
      <c r="E2413" s="3" t="s">
        <v>23</v>
      </c>
    </row>
    <row r="2414" spans="1:5">
      <c r="A2414" s="3" t="s">
        <v>2436</v>
      </c>
      <c r="B2414" s="3" t="s">
        <v>22</v>
      </c>
      <c r="C2414" s="3">
        <v>705755</v>
      </c>
      <c r="D2414" s="3">
        <v>77858</v>
      </c>
      <c r="E2414" s="3" t="s">
        <v>23</v>
      </c>
    </row>
    <row r="2415" spans="1:5">
      <c r="A2415" s="3" t="s">
        <v>2437</v>
      </c>
      <c r="B2415" s="3" t="s">
        <v>22</v>
      </c>
      <c r="C2415" s="3">
        <v>863714</v>
      </c>
      <c r="D2415" s="3">
        <v>57297</v>
      </c>
      <c r="E2415" s="3" t="s">
        <v>23</v>
      </c>
    </row>
    <row r="2416" spans="1:5">
      <c r="A2416" s="3" t="s">
        <v>2438</v>
      </c>
      <c r="B2416" s="3" t="s">
        <v>22</v>
      </c>
      <c r="C2416" s="3">
        <v>597668</v>
      </c>
      <c r="D2416" s="3">
        <v>13834</v>
      </c>
      <c r="E2416" s="3" t="s">
        <v>23</v>
      </c>
    </row>
    <row r="2417" spans="1:5">
      <c r="A2417" s="3" t="s">
        <v>2439</v>
      </c>
      <c r="B2417" s="3" t="s">
        <v>22</v>
      </c>
      <c r="C2417" s="3">
        <v>457289</v>
      </c>
      <c r="D2417" s="3">
        <v>152543</v>
      </c>
      <c r="E2417" s="3" t="s">
        <v>23</v>
      </c>
    </row>
    <row r="2418" spans="1:5">
      <c r="A2418" s="3" t="s">
        <v>2440</v>
      </c>
      <c r="B2418" s="3" t="s">
        <v>22</v>
      </c>
      <c r="C2418" s="3">
        <v>562486</v>
      </c>
      <c r="D2418" s="3">
        <v>88211</v>
      </c>
      <c r="E2418" s="3" t="s">
        <v>23</v>
      </c>
    </row>
    <row r="2419" spans="1:5">
      <c r="A2419" s="3" t="s">
        <v>2441</v>
      </c>
      <c r="B2419" s="3" t="s">
        <v>22</v>
      </c>
      <c r="C2419" s="3">
        <v>325491</v>
      </c>
      <c r="D2419" s="3">
        <v>16730</v>
      </c>
      <c r="E2419" s="3" t="s">
        <v>23</v>
      </c>
    </row>
    <row r="2420" spans="1:5">
      <c r="A2420" s="3" t="s">
        <v>2442</v>
      </c>
      <c r="B2420" s="3" t="s">
        <v>22</v>
      </c>
      <c r="C2420" s="3">
        <v>423583</v>
      </c>
      <c r="D2420" s="3">
        <v>135457</v>
      </c>
      <c r="E2420" s="3" t="s">
        <v>23</v>
      </c>
    </row>
    <row r="2421" spans="1:5">
      <c r="A2421" s="3" t="s">
        <v>2443</v>
      </c>
      <c r="B2421" s="3" t="s">
        <v>22</v>
      </c>
      <c r="C2421" s="3">
        <v>222685</v>
      </c>
      <c r="D2421" s="3">
        <v>51053</v>
      </c>
      <c r="E2421" s="3" t="s">
        <v>23</v>
      </c>
    </row>
    <row r="2422" spans="1:5">
      <c r="A2422" s="3" t="s">
        <v>2444</v>
      </c>
      <c r="B2422" s="3" t="s">
        <v>22</v>
      </c>
      <c r="C2422" s="3">
        <v>363138</v>
      </c>
      <c r="D2422" s="3">
        <v>14259</v>
      </c>
      <c r="E2422" s="3" t="s">
        <v>23</v>
      </c>
    </row>
    <row r="2423" spans="1:5">
      <c r="A2423" s="3" t="s">
        <v>2445</v>
      </c>
      <c r="B2423" s="3" t="s">
        <v>22</v>
      </c>
      <c r="C2423" s="3">
        <v>485022</v>
      </c>
      <c r="D2423" s="3">
        <v>12031</v>
      </c>
      <c r="E2423" s="3" t="s">
        <v>23</v>
      </c>
    </row>
    <row r="2424" spans="1:5">
      <c r="A2424" s="3" t="s">
        <v>2446</v>
      </c>
      <c r="B2424" s="3" t="s">
        <v>22</v>
      </c>
      <c r="C2424" s="3">
        <v>400643</v>
      </c>
      <c r="D2424" s="3">
        <v>119595</v>
      </c>
      <c r="E2424" s="3" t="s">
        <v>23</v>
      </c>
    </row>
    <row r="2425" spans="1:5">
      <c r="A2425" s="3" t="s">
        <v>2447</v>
      </c>
      <c r="B2425" s="3" t="s">
        <v>22</v>
      </c>
      <c r="C2425" s="3">
        <v>320831</v>
      </c>
      <c r="D2425" s="3">
        <v>77501</v>
      </c>
      <c r="E2425" s="3" t="s">
        <v>23</v>
      </c>
    </row>
    <row r="2426" spans="1:5">
      <c r="A2426" s="3" t="s">
        <v>2448</v>
      </c>
      <c r="B2426" s="3" t="s">
        <v>22</v>
      </c>
      <c r="C2426" s="3">
        <v>283426</v>
      </c>
      <c r="D2426" s="3">
        <v>13145</v>
      </c>
      <c r="E2426" s="3" t="s">
        <v>23</v>
      </c>
    </row>
    <row r="2427" spans="1:5">
      <c r="A2427" s="3" t="s">
        <v>2449</v>
      </c>
      <c r="B2427" s="3" t="s">
        <v>22</v>
      </c>
      <c r="C2427" s="3">
        <v>281574</v>
      </c>
      <c r="D2427" s="3">
        <v>4034</v>
      </c>
      <c r="E2427" s="3" t="s">
        <v>23</v>
      </c>
    </row>
    <row r="2428" spans="1:5">
      <c r="A2428" s="3" t="s">
        <v>2450</v>
      </c>
      <c r="B2428" s="3" t="s">
        <v>22</v>
      </c>
      <c r="C2428" s="3">
        <v>319091</v>
      </c>
      <c r="D2428" s="3">
        <v>80424</v>
      </c>
      <c r="E2428" s="3" t="s">
        <v>23</v>
      </c>
    </row>
    <row r="2429" spans="1:5">
      <c r="A2429" s="3" t="s">
        <v>2451</v>
      </c>
      <c r="B2429" s="3" t="s">
        <v>22</v>
      </c>
      <c r="C2429" s="3">
        <v>389469</v>
      </c>
      <c r="D2429" s="3">
        <v>66816</v>
      </c>
      <c r="E2429" s="3" t="s">
        <v>23</v>
      </c>
    </row>
    <row r="2430" spans="1:5">
      <c r="A2430" s="3" t="s">
        <v>2452</v>
      </c>
      <c r="B2430" s="3" t="s">
        <v>22</v>
      </c>
      <c r="C2430" s="3">
        <v>212397</v>
      </c>
      <c r="D2430" s="3">
        <v>60090</v>
      </c>
      <c r="E2430" s="3" t="s">
        <v>23</v>
      </c>
    </row>
    <row r="2431" spans="1:5">
      <c r="A2431" s="3" t="s">
        <v>2453</v>
      </c>
      <c r="B2431" s="3" t="s">
        <v>22</v>
      </c>
      <c r="C2431" s="3">
        <v>317124</v>
      </c>
      <c r="D2431" s="3">
        <v>53980</v>
      </c>
      <c r="E2431" s="3" t="s">
        <v>23</v>
      </c>
    </row>
    <row r="2432" spans="1:5">
      <c r="A2432" s="3" t="s">
        <v>2454</v>
      </c>
      <c r="B2432" s="3" t="s">
        <v>22</v>
      </c>
      <c r="C2432" s="3">
        <v>108600</v>
      </c>
      <c r="D2432" s="3">
        <v>27723</v>
      </c>
      <c r="E2432" s="3" t="s">
        <v>23</v>
      </c>
    </row>
    <row r="2433" spans="1:5">
      <c r="A2433" s="3" t="s">
        <v>2455</v>
      </c>
      <c r="B2433" s="3" t="s">
        <v>22</v>
      </c>
      <c r="C2433" s="3">
        <v>249847</v>
      </c>
      <c r="D2433" s="3">
        <v>647</v>
      </c>
      <c r="E2433" s="3" t="s">
        <v>23</v>
      </c>
    </row>
    <row r="2434" spans="1:5">
      <c r="A2434" s="3" t="s">
        <v>2456</v>
      </c>
      <c r="B2434" s="3" t="s">
        <v>22</v>
      </c>
      <c r="C2434" s="3">
        <v>499832</v>
      </c>
      <c r="D2434" s="3">
        <v>11052</v>
      </c>
      <c r="E2434" s="3" t="s">
        <v>23</v>
      </c>
    </row>
    <row r="2435" spans="1:5">
      <c r="A2435" s="3" t="s">
        <v>2457</v>
      </c>
      <c r="B2435" s="3" t="s">
        <v>22</v>
      </c>
      <c r="C2435" s="3">
        <v>396909</v>
      </c>
      <c r="D2435" s="3">
        <v>89536</v>
      </c>
      <c r="E2435" s="3" t="s">
        <v>23</v>
      </c>
    </row>
    <row r="2436" spans="1:5">
      <c r="A2436" s="3" t="s">
        <v>2458</v>
      </c>
      <c r="B2436" s="3" t="s">
        <v>22</v>
      </c>
      <c r="C2436" s="3">
        <v>30095</v>
      </c>
      <c r="D2436" s="3">
        <v>5723</v>
      </c>
      <c r="E2436" s="3" t="s">
        <v>23</v>
      </c>
    </row>
    <row r="2437" spans="1:5">
      <c r="A2437" s="3" t="s">
        <v>2459</v>
      </c>
      <c r="B2437" s="3" t="s">
        <v>22</v>
      </c>
      <c r="C2437" s="3">
        <v>270762</v>
      </c>
      <c r="D2437" s="3">
        <v>52146</v>
      </c>
      <c r="E2437" s="3" t="s">
        <v>23</v>
      </c>
    </row>
    <row r="2438" spans="1:5">
      <c r="A2438" s="3" t="s">
        <v>2460</v>
      </c>
      <c r="B2438" s="3" t="s">
        <v>22</v>
      </c>
      <c r="C2438" s="3">
        <v>244372</v>
      </c>
      <c r="D2438" s="3">
        <v>317</v>
      </c>
      <c r="E2438" s="3" t="s">
        <v>23</v>
      </c>
    </row>
    <row r="2439" spans="1:5">
      <c r="A2439" s="3" t="s">
        <v>2461</v>
      </c>
      <c r="B2439" s="3" t="s">
        <v>22</v>
      </c>
      <c r="C2439" s="3">
        <v>331719</v>
      </c>
      <c r="D2439" s="3">
        <v>89817</v>
      </c>
      <c r="E2439" s="3" t="s">
        <v>23</v>
      </c>
    </row>
    <row r="2440" spans="1:5">
      <c r="A2440" s="3" t="s">
        <v>2462</v>
      </c>
      <c r="B2440" s="3" t="s">
        <v>22</v>
      </c>
      <c r="C2440" s="3">
        <v>466883</v>
      </c>
      <c r="D2440" s="3">
        <v>88475</v>
      </c>
      <c r="E2440" s="3" t="s">
        <v>23</v>
      </c>
    </row>
    <row r="2441" spans="1:5">
      <c r="A2441" s="3" t="s">
        <v>2463</v>
      </c>
      <c r="B2441" s="3" t="s">
        <v>22</v>
      </c>
      <c r="C2441" s="3">
        <v>237620</v>
      </c>
      <c r="D2441" s="3">
        <v>55994</v>
      </c>
      <c r="E2441" s="3" t="s">
        <v>23</v>
      </c>
    </row>
    <row r="2442" spans="1:5">
      <c r="A2442" s="3" t="s">
        <v>2464</v>
      </c>
      <c r="B2442" s="3" t="s">
        <v>22</v>
      </c>
      <c r="C2442" s="3">
        <v>471922</v>
      </c>
      <c r="D2442" s="3">
        <v>2252</v>
      </c>
      <c r="E2442" s="3" t="s">
        <v>23</v>
      </c>
    </row>
    <row r="2443" spans="1:5">
      <c r="A2443" s="3" t="s">
        <v>2465</v>
      </c>
      <c r="B2443" s="3" t="s">
        <v>22</v>
      </c>
      <c r="C2443" s="3">
        <v>556432</v>
      </c>
      <c r="D2443" s="3">
        <v>176525</v>
      </c>
      <c r="E2443" s="3" t="s">
        <v>23</v>
      </c>
    </row>
    <row r="2444" spans="1:5">
      <c r="A2444" s="3" t="s">
        <v>2466</v>
      </c>
      <c r="B2444" s="3" t="s">
        <v>22</v>
      </c>
      <c r="C2444" s="3">
        <v>504129</v>
      </c>
      <c r="D2444" s="3">
        <v>31518</v>
      </c>
      <c r="E2444" s="3" t="s">
        <v>23</v>
      </c>
    </row>
    <row r="2445" spans="1:5">
      <c r="A2445" s="3" t="s">
        <v>2467</v>
      </c>
      <c r="B2445" s="3" t="s">
        <v>22</v>
      </c>
      <c r="C2445" s="3">
        <v>383608</v>
      </c>
      <c r="D2445" s="3">
        <v>54923</v>
      </c>
      <c r="E2445" s="3" t="s">
        <v>23</v>
      </c>
    </row>
    <row r="2446" spans="1:5">
      <c r="A2446" s="3" t="s">
        <v>2468</v>
      </c>
      <c r="B2446" s="3" t="s">
        <v>22</v>
      </c>
      <c r="C2446" s="3">
        <v>368742</v>
      </c>
      <c r="D2446" s="3">
        <v>77724</v>
      </c>
      <c r="E2446" s="3" t="s">
        <v>23</v>
      </c>
    </row>
    <row r="2447" spans="1:5">
      <c r="A2447" s="3" t="s">
        <v>2469</v>
      </c>
      <c r="B2447" s="3" t="s">
        <v>22</v>
      </c>
      <c r="C2447" s="3">
        <v>387948</v>
      </c>
      <c r="D2447" s="3">
        <v>96636</v>
      </c>
      <c r="E2447" s="3" t="s">
        <v>23</v>
      </c>
    </row>
    <row r="2448" spans="1:5">
      <c r="A2448" s="3" t="s">
        <v>2470</v>
      </c>
      <c r="B2448" s="3" t="s">
        <v>22</v>
      </c>
      <c r="C2448" s="3">
        <v>214361</v>
      </c>
      <c r="D2448" s="3">
        <v>60629</v>
      </c>
      <c r="E2448" s="3" t="s">
        <v>23</v>
      </c>
    </row>
    <row r="2449" spans="1:5">
      <c r="A2449" s="3" t="s">
        <v>2471</v>
      </c>
      <c r="B2449" s="3" t="s">
        <v>22</v>
      </c>
      <c r="C2449" s="3">
        <v>367916</v>
      </c>
      <c r="D2449" s="3">
        <v>6994</v>
      </c>
      <c r="E2449" s="3" t="s">
        <v>23</v>
      </c>
    </row>
    <row r="2450" spans="1:5">
      <c r="A2450" s="3" t="s">
        <v>2472</v>
      </c>
      <c r="B2450" s="3" t="s">
        <v>22</v>
      </c>
      <c r="C2450" s="3">
        <v>327634</v>
      </c>
      <c r="D2450" s="3">
        <v>39966</v>
      </c>
      <c r="E2450" s="3" t="s">
        <v>23</v>
      </c>
    </row>
    <row r="2451" spans="1:5">
      <c r="A2451" s="3" t="s">
        <v>2473</v>
      </c>
      <c r="B2451" s="3" t="s">
        <v>22</v>
      </c>
      <c r="C2451" s="3">
        <v>459979</v>
      </c>
      <c r="D2451" s="3">
        <v>32749</v>
      </c>
      <c r="E2451" s="3" t="s">
        <v>23</v>
      </c>
    </row>
    <row r="2452" spans="1:5">
      <c r="A2452" s="3" t="s">
        <v>2474</v>
      </c>
      <c r="B2452" s="3" t="s">
        <v>22</v>
      </c>
      <c r="C2452" s="3">
        <v>571447</v>
      </c>
      <c r="D2452" s="3">
        <v>50880</v>
      </c>
      <c r="E2452" s="3" t="s">
        <v>23</v>
      </c>
    </row>
    <row r="2453" spans="1:5">
      <c r="A2453" s="3" t="s">
        <v>2475</v>
      </c>
      <c r="B2453" s="3" t="s">
        <v>22</v>
      </c>
      <c r="C2453" s="3">
        <v>467545</v>
      </c>
      <c r="D2453" s="3">
        <v>87456</v>
      </c>
      <c r="E2453" s="3" t="s">
        <v>23</v>
      </c>
    </row>
    <row r="2454" spans="1:5">
      <c r="A2454" s="3" t="s">
        <v>2476</v>
      </c>
      <c r="B2454" s="3" t="s">
        <v>22</v>
      </c>
      <c r="C2454" s="3">
        <v>237195</v>
      </c>
      <c r="D2454" s="3">
        <v>30475</v>
      </c>
      <c r="E2454" s="3" t="s">
        <v>23</v>
      </c>
    </row>
    <row r="2455" spans="1:5">
      <c r="A2455" s="3" t="s">
        <v>2477</v>
      </c>
      <c r="B2455" s="3" t="s">
        <v>22</v>
      </c>
      <c r="C2455" s="3">
        <v>586688</v>
      </c>
      <c r="D2455" s="3">
        <v>108435</v>
      </c>
      <c r="E2455" s="3" t="s">
        <v>23</v>
      </c>
    </row>
    <row r="2456" spans="1:5">
      <c r="A2456" s="3" t="s">
        <v>2478</v>
      </c>
      <c r="B2456" s="3" t="s">
        <v>22</v>
      </c>
      <c r="C2456" s="3">
        <v>422212</v>
      </c>
      <c r="D2456" s="3">
        <v>19798</v>
      </c>
      <c r="E2456" s="3" t="s">
        <v>23</v>
      </c>
    </row>
    <row r="2457" spans="1:5">
      <c r="A2457" s="3" t="s">
        <v>2479</v>
      </c>
      <c r="B2457" s="3" t="s">
        <v>22</v>
      </c>
      <c r="C2457" s="3">
        <v>334366</v>
      </c>
      <c r="D2457" s="3">
        <v>66766</v>
      </c>
      <c r="E2457" s="3" t="s">
        <v>23</v>
      </c>
    </row>
    <row r="2458" spans="1:5">
      <c r="A2458" s="3" t="s">
        <v>2480</v>
      </c>
      <c r="B2458" s="3" t="s">
        <v>22</v>
      </c>
      <c r="C2458" s="3">
        <v>449909</v>
      </c>
      <c r="D2458" s="3">
        <v>29552</v>
      </c>
      <c r="E2458" s="3" t="s">
        <v>23</v>
      </c>
    </row>
    <row r="2459" spans="1:5">
      <c r="A2459" s="3" t="s">
        <v>2481</v>
      </c>
      <c r="B2459" s="3" t="s">
        <v>22</v>
      </c>
      <c r="C2459" s="3">
        <v>485418</v>
      </c>
      <c r="D2459" s="3">
        <v>39870</v>
      </c>
      <c r="E2459" s="3" t="s">
        <v>23</v>
      </c>
    </row>
    <row r="2460" spans="1:5">
      <c r="A2460" s="3" t="s">
        <v>2482</v>
      </c>
      <c r="B2460" s="3" t="s">
        <v>22</v>
      </c>
      <c r="C2460" s="3">
        <v>252135</v>
      </c>
      <c r="D2460" s="3">
        <v>25107</v>
      </c>
      <c r="E2460" s="3" t="s">
        <v>23</v>
      </c>
    </row>
    <row r="2461" spans="1:5">
      <c r="A2461" s="3" t="s">
        <v>2483</v>
      </c>
      <c r="B2461" s="3" t="s">
        <v>22</v>
      </c>
      <c r="C2461" s="3">
        <v>332371</v>
      </c>
      <c r="D2461" s="3">
        <v>70654</v>
      </c>
      <c r="E2461" s="3" t="s">
        <v>23</v>
      </c>
    </row>
    <row r="2462" spans="1:5">
      <c r="A2462" s="3" t="s">
        <v>2484</v>
      </c>
      <c r="B2462" s="3" t="s">
        <v>22</v>
      </c>
      <c r="C2462" s="3">
        <v>380139</v>
      </c>
      <c r="D2462" s="3">
        <v>61177</v>
      </c>
      <c r="E2462" s="3" t="s">
        <v>23</v>
      </c>
    </row>
    <row r="2463" spans="1:5">
      <c r="A2463" s="3" t="s">
        <v>2485</v>
      </c>
      <c r="B2463" s="3" t="s">
        <v>22</v>
      </c>
      <c r="C2463" s="3">
        <v>236116</v>
      </c>
      <c r="D2463" s="3">
        <v>53245</v>
      </c>
      <c r="E2463" s="3" t="s">
        <v>23</v>
      </c>
    </row>
    <row r="2464" spans="1:5">
      <c r="A2464" s="3" t="s">
        <v>2486</v>
      </c>
      <c r="B2464" s="3" t="s">
        <v>22</v>
      </c>
      <c r="C2464" s="3">
        <v>455938</v>
      </c>
      <c r="D2464" s="3">
        <v>39570</v>
      </c>
      <c r="E2464" s="3" t="s">
        <v>23</v>
      </c>
    </row>
    <row r="2465" spans="1:5">
      <c r="A2465" s="3" t="s">
        <v>2487</v>
      </c>
      <c r="B2465" s="3" t="s">
        <v>22</v>
      </c>
      <c r="C2465" s="3">
        <v>523843</v>
      </c>
      <c r="D2465" s="3">
        <v>57813</v>
      </c>
      <c r="E2465" s="3" t="s">
        <v>23</v>
      </c>
    </row>
    <row r="2466" spans="1:5">
      <c r="A2466" s="3" t="s">
        <v>2488</v>
      </c>
      <c r="B2466" s="3" t="s">
        <v>22</v>
      </c>
      <c r="C2466" s="3">
        <v>441090</v>
      </c>
      <c r="D2466" s="3">
        <v>12158</v>
      </c>
      <c r="E2466" s="3" t="s">
        <v>23</v>
      </c>
    </row>
    <row r="2467" spans="1:5">
      <c r="A2467" s="3" t="s">
        <v>2489</v>
      </c>
      <c r="B2467" s="3" t="s">
        <v>22</v>
      </c>
      <c r="C2467" s="3">
        <v>488787</v>
      </c>
      <c r="D2467" s="3">
        <v>80958</v>
      </c>
      <c r="E2467" s="3" t="s">
        <v>23</v>
      </c>
    </row>
    <row r="2468" spans="1:5">
      <c r="A2468" s="3" t="s">
        <v>2490</v>
      </c>
      <c r="B2468" s="3" t="s">
        <v>22</v>
      </c>
      <c r="C2468" s="3">
        <v>421616</v>
      </c>
      <c r="D2468" s="3">
        <v>54159</v>
      </c>
      <c r="E2468" s="3" t="s">
        <v>23</v>
      </c>
    </row>
    <row r="2469" spans="1:5">
      <c r="A2469" s="3" t="s">
        <v>2491</v>
      </c>
      <c r="B2469" s="3" t="s">
        <v>22</v>
      </c>
      <c r="C2469" s="3">
        <v>385266</v>
      </c>
      <c r="D2469" s="3">
        <v>62546</v>
      </c>
      <c r="E2469" s="3" t="s">
        <v>23</v>
      </c>
    </row>
    <row r="2470" spans="1:5">
      <c r="A2470" s="3" t="s">
        <v>2492</v>
      </c>
      <c r="B2470" s="3" t="s">
        <v>22</v>
      </c>
      <c r="C2470" s="3">
        <v>378208</v>
      </c>
      <c r="D2470" s="3">
        <v>62586</v>
      </c>
      <c r="E2470" s="3" t="s">
        <v>23</v>
      </c>
    </row>
    <row r="2471" spans="1:5">
      <c r="A2471" s="3" t="s">
        <v>2493</v>
      </c>
      <c r="B2471" s="3" t="s">
        <v>22</v>
      </c>
      <c r="C2471" s="3">
        <v>403090</v>
      </c>
      <c r="D2471" s="3">
        <v>61492</v>
      </c>
      <c r="E2471" s="3" t="s">
        <v>23</v>
      </c>
    </row>
    <row r="2472" spans="1:5">
      <c r="A2472" s="3" t="s">
        <v>2494</v>
      </c>
      <c r="B2472" s="3" t="s">
        <v>22</v>
      </c>
      <c r="C2472" s="3">
        <v>669083</v>
      </c>
      <c r="D2472" s="3">
        <v>156618</v>
      </c>
      <c r="E2472" s="3" t="s">
        <v>23</v>
      </c>
    </row>
    <row r="2473" spans="1:5">
      <c r="A2473" s="3" t="s">
        <v>2495</v>
      </c>
      <c r="B2473" s="3" t="s">
        <v>22</v>
      </c>
      <c r="C2473" s="3">
        <v>289515</v>
      </c>
      <c r="D2473" s="3">
        <v>52020</v>
      </c>
      <c r="E2473" s="3" t="s">
        <v>23</v>
      </c>
    </row>
    <row r="2474" spans="1:5">
      <c r="A2474" s="3" t="s">
        <v>2496</v>
      </c>
      <c r="B2474" s="3" t="s">
        <v>22</v>
      </c>
      <c r="C2474" s="3">
        <v>239427</v>
      </c>
      <c r="D2474" s="3">
        <v>14784</v>
      </c>
      <c r="E2474" s="3" t="s">
        <v>23</v>
      </c>
    </row>
    <row r="2475" spans="1:5">
      <c r="A2475" s="3" t="s">
        <v>2497</v>
      </c>
      <c r="B2475" s="3" t="s">
        <v>22</v>
      </c>
      <c r="C2475" s="3">
        <v>416114</v>
      </c>
      <c r="D2475" s="3">
        <v>86810</v>
      </c>
      <c r="E2475" s="3" t="s">
        <v>23</v>
      </c>
    </row>
    <row r="2476" spans="1:5">
      <c r="A2476" s="3" t="s">
        <v>2498</v>
      </c>
      <c r="B2476" s="3" t="s">
        <v>22</v>
      </c>
      <c r="C2476" s="3">
        <v>253432</v>
      </c>
      <c r="D2476" s="3">
        <v>50282</v>
      </c>
      <c r="E2476" s="3" t="s">
        <v>23</v>
      </c>
    </row>
    <row r="2477" spans="1:5">
      <c r="A2477" s="3" t="s">
        <v>2499</v>
      </c>
      <c r="B2477" s="3" t="s">
        <v>22</v>
      </c>
      <c r="C2477" s="3">
        <v>483261</v>
      </c>
      <c r="D2477" s="3">
        <v>12451</v>
      </c>
      <c r="E2477" s="3" t="s">
        <v>23</v>
      </c>
    </row>
    <row r="2478" spans="1:5">
      <c r="A2478" s="3" t="s">
        <v>2500</v>
      </c>
      <c r="B2478" s="3" t="s">
        <v>22</v>
      </c>
      <c r="C2478" s="3">
        <v>274495</v>
      </c>
      <c r="D2478" s="3">
        <v>320</v>
      </c>
      <c r="E2478" s="3" t="s">
        <v>23</v>
      </c>
    </row>
    <row r="2479" spans="1:5">
      <c r="A2479" s="3" t="s">
        <v>2501</v>
      </c>
      <c r="B2479" s="3" t="s">
        <v>22</v>
      </c>
      <c r="C2479" s="3">
        <v>325138</v>
      </c>
      <c r="D2479" s="3">
        <v>70216</v>
      </c>
      <c r="E2479" s="3" t="s">
        <v>23</v>
      </c>
    </row>
    <row r="2480" spans="1:5">
      <c r="A2480" s="3" t="s">
        <v>2502</v>
      </c>
      <c r="B2480" s="3" t="s">
        <v>22</v>
      </c>
      <c r="C2480" s="3">
        <v>490450</v>
      </c>
      <c r="D2480" s="3">
        <v>7563</v>
      </c>
      <c r="E2480" s="3" t="s">
        <v>23</v>
      </c>
    </row>
    <row r="2481" spans="1:5">
      <c r="A2481" s="3" t="s">
        <v>2503</v>
      </c>
      <c r="B2481" s="3" t="s">
        <v>22</v>
      </c>
      <c r="C2481" s="3">
        <v>386300</v>
      </c>
      <c r="D2481" s="3">
        <v>31997</v>
      </c>
      <c r="E2481" s="3" t="s">
        <v>23</v>
      </c>
    </row>
    <row r="2482" spans="1:5">
      <c r="A2482" s="3" t="s">
        <v>2504</v>
      </c>
      <c r="B2482" s="3" t="s">
        <v>22</v>
      </c>
      <c r="C2482" s="3">
        <v>565448</v>
      </c>
      <c r="D2482" s="3">
        <v>91268</v>
      </c>
      <c r="E2482" s="3" t="s">
        <v>23</v>
      </c>
    </row>
    <row r="2483" spans="1:5">
      <c r="A2483" s="3" t="s">
        <v>2505</v>
      </c>
      <c r="B2483" s="3" t="s">
        <v>22</v>
      </c>
      <c r="C2483" s="3">
        <v>515386</v>
      </c>
      <c r="D2483" s="3">
        <v>38573</v>
      </c>
      <c r="E2483" s="3" t="s">
        <v>23</v>
      </c>
    </row>
    <row r="2484" spans="1:5">
      <c r="A2484" s="3" t="s">
        <v>2506</v>
      </c>
      <c r="B2484" s="3" t="s">
        <v>22</v>
      </c>
      <c r="C2484" s="3">
        <v>513378</v>
      </c>
      <c r="D2484" s="3">
        <v>83462</v>
      </c>
      <c r="E2484" s="3" t="s">
        <v>23</v>
      </c>
    </row>
    <row r="2485" spans="1:5">
      <c r="A2485" s="3" t="s">
        <v>2507</v>
      </c>
      <c r="B2485" s="3" t="s">
        <v>22</v>
      </c>
      <c r="C2485" s="3">
        <v>261696</v>
      </c>
      <c r="D2485" s="3">
        <v>25915</v>
      </c>
      <c r="E2485" s="3" t="s">
        <v>23</v>
      </c>
    </row>
    <row r="2486" spans="1:5">
      <c r="A2486" s="3" t="s">
        <v>2508</v>
      </c>
      <c r="B2486" s="3" t="s">
        <v>22</v>
      </c>
      <c r="C2486" s="3">
        <v>391428</v>
      </c>
      <c r="D2486" s="3">
        <v>47428</v>
      </c>
      <c r="E2486" s="3" t="s">
        <v>23</v>
      </c>
    </row>
    <row r="2487" spans="1:5">
      <c r="A2487" s="3" t="s">
        <v>2509</v>
      </c>
      <c r="B2487" s="3" t="s">
        <v>22</v>
      </c>
      <c r="C2487" s="3">
        <v>452345</v>
      </c>
      <c r="D2487" s="3">
        <v>65894</v>
      </c>
      <c r="E2487" s="3" t="s">
        <v>23</v>
      </c>
    </row>
    <row r="2488" spans="1:5">
      <c r="A2488" s="3" t="s">
        <v>2510</v>
      </c>
      <c r="B2488" s="3" t="s">
        <v>22</v>
      </c>
      <c r="C2488" s="3">
        <v>410444</v>
      </c>
      <c r="D2488" s="3">
        <v>70982</v>
      </c>
      <c r="E2488" s="3" t="s">
        <v>23</v>
      </c>
    </row>
    <row r="2489" spans="1:5">
      <c r="A2489" s="3" t="s">
        <v>2511</v>
      </c>
      <c r="B2489" s="3" t="s">
        <v>22</v>
      </c>
      <c r="C2489" s="3">
        <v>493560</v>
      </c>
      <c r="D2489" s="3">
        <v>60403</v>
      </c>
      <c r="E2489" s="3" t="s">
        <v>23</v>
      </c>
    </row>
    <row r="2490" spans="1:5">
      <c r="A2490" s="3" t="s">
        <v>2512</v>
      </c>
      <c r="B2490" s="3" t="s">
        <v>22</v>
      </c>
      <c r="C2490" s="3">
        <v>468281</v>
      </c>
      <c r="D2490" s="3">
        <v>65033</v>
      </c>
      <c r="E2490" s="3" t="s">
        <v>23</v>
      </c>
    </row>
    <row r="2491" spans="1:5">
      <c r="A2491" s="3" t="s">
        <v>2513</v>
      </c>
      <c r="B2491" s="3" t="s">
        <v>22</v>
      </c>
      <c r="C2491" s="3">
        <v>492682</v>
      </c>
      <c r="D2491" s="3">
        <v>39604</v>
      </c>
      <c r="E2491" s="3" t="s">
        <v>23</v>
      </c>
    </row>
    <row r="2492" spans="1:5">
      <c r="A2492" s="3" t="s">
        <v>2514</v>
      </c>
      <c r="B2492" s="3" t="s">
        <v>22</v>
      </c>
      <c r="C2492" s="3">
        <v>260523</v>
      </c>
      <c r="D2492" s="3">
        <v>52930</v>
      </c>
      <c r="E2492" s="3" t="s">
        <v>23</v>
      </c>
    </row>
    <row r="2493" spans="1:5">
      <c r="A2493" s="3" t="s">
        <v>2515</v>
      </c>
      <c r="B2493" s="3" t="s">
        <v>22</v>
      </c>
      <c r="C2493" s="3">
        <v>531133</v>
      </c>
      <c r="D2493" s="3">
        <v>100990</v>
      </c>
      <c r="E2493" s="3" t="s">
        <v>23</v>
      </c>
    </row>
    <row r="2494" spans="1:5">
      <c r="A2494" s="3" t="s">
        <v>2516</v>
      </c>
      <c r="B2494" s="3" t="s">
        <v>22</v>
      </c>
      <c r="C2494" s="3">
        <v>128396</v>
      </c>
      <c r="D2494" s="3">
        <v>30460</v>
      </c>
      <c r="E2494" s="3" t="s">
        <v>23</v>
      </c>
    </row>
    <row r="2495" spans="1:5">
      <c r="A2495" s="3" t="s">
        <v>2517</v>
      </c>
      <c r="B2495" s="3" t="s">
        <v>22</v>
      </c>
      <c r="C2495" s="3">
        <v>450401</v>
      </c>
      <c r="D2495" s="3">
        <v>71619</v>
      </c>
      <c r="E2495" s="3" t="s">
        <v>23</v>
      </c>
    </row>
    <row r="2496" spans="1:5">
      <c r="A2496" s="3" t="s">
        <v>2518</v>
      </c>
      <c r="B2496" s="3" t="s">
        <v>22</v>
      </c>
      <c r="C2496" s="3">
        <v>409967</v>
      </c>
      <c r="D2496" s="3">
        <v>30364</v>
      </c>
      <c r="E2496" s="3" t="s">
        <v>23</v>
      </c>
    </row>
    <row r="2497" spans="1:5">
      <c r="A2497" s="3" t="s">
        <v>2519</v>
      </c>
      <c r="B2497" s="3" t="s">
        <v>22</v>
      </c>
      <c r="C2497" s="3">
        <v>432799</v>
      </c>
      <c r="D2497" s="3">
        <v>27489</v>
      </c>
      <c r="E2497" s="3" t="s">
        <v>23</v>
      </c>
    </row>
    <row r="2498" spans="1:5">
      <c r="A2498" s="3" t="s">
        <v>2520</v>
      </c>
      <c r="B2498" s="3" t="s">
        <v>22</v>
      </c>
      <c r="C2498" s="3">
        <v>428240</v>
      </c>
      <c r="D2498" s="3">
        <v>45570</v>
      </c>
      <c r="E2498" s="3" t="s">
        <v>23</v>
      </c>
    </row>
    <row r="2499" spans="1:5">
      <c r="A2499" s="3" t="s">
        <v>2521</v>
      </c>
      <c r="B2499" s="3" t="s">
        <v>22</v>
      </c>
      <c r="C2499" s="3">
        <v>371817</v>
      </c>
      <c r="D2499" s="3">
        <v>68597</v>
      </c>
      <c r="E2499" s="3" t="s">
        <v>23</v>
      </c>
    </row>
    <row r="2500" spans="1:5">
      <c r="A2500" s="3" t="s">
        <v>2522</v>
      </c>
      <c r="B2500" s="3" t="s">
        <v>22</v>
      </c>
      <c r="C2500" s="3">
        <v>398895</v>
      </c>
      <c r="D2500" s="3">
        <v>30226</v>
      </c>
      <c r="E2500" s="3" t="s">
        <v>23</v>
      </c>
    </row>
    <row r="2501" spans="1:5">
      <c r="A2501" s="3" t="s">
        <v>2523</v>
      </c>
      <c r="B2501" s="3" t="s">
        <v>22</v>
      </c>
      <c r="C2501" s="3">
        <v>354807</v>
      </c>
      <c r="D2501" s="3">
        <v>62491</v>
      </c>
      <c r="E2501" s="3" t="s">
        <v>23</v>
      </c>
    </row>
    <row r="2502" spans="1:5">
      <c r="A2502" s="3" t="s">
        <v>2524</v>
      </c>
      <c r="B2502" s="3" t="s">
        <v>22</v>
      </c>
      <c r="C2502" s="3">
        <v>448695</v>
      </c>
      <c r="D2502" s="3">
        <v>71780</v>
      </c>
      <c r="E2502" s="3" t="s">
        <v>23</v>
      </c>
    </row>
    <row r="2503" spans="1:5">
      <c r="A2503" s="3" t="s">
        <v>2525</v>
      </c>
      <c r="B2503" s="3" t="s">
        <v>22</v>
      </c>
      <c r="C2503" s="3">
        <v>366136</v>
      </c>
      <c r="D2503" s="3">
        <v>68970</v>
      </c>
      <c r="E2503" s="3" t="s">
        <v>23</v>
      </c>
    </row>
    <row r="2504" spans="1:5">
      <c r="A2504" s="3" t="s">
        <v>2526</v>
      </c>
      <c r="B2504" s="3" t="s">
        <v>22</v>
      </c>
      <c r="C2504" s="3">
        <v>299614</v>
      </c>
      <c r="D2504" s="3">
        <v>45858</v>
      </c>
      <c r="E2504" s="3" t="s">
        <v>23</v>
      </c>
    </row>
    <row r="2505" spans="1:5">
      <c r="A2505" s="3" t="s">
        <v>2527</v>
      </c>
      <c r="B2505" s="3" t="s">
        <v>22</v>
      </c>
      <c r="C2505" s="3">
        <v>399738</v>
      </c>
      <c r="D2505" s="3">
        <v>26557</v>
      </c>
      <c r="E2505" s="3" t="s">
        <v>23</v>
      </c>
    </row>
    <row r="2506" spans="1:5">
      <c r="A2506" s="3" t="s">
        <v>2528</v>
      </c>
      <c r="B2506" s="3" t="s">
        <v>22</v>
      </c>
      <c r="C2506" s="3">
        <v>295691</v>
      </c>
      <c r="D2506" s="3">
        <v>59059</v>
      </c>
      <c r="E2506" s="3" t="s">
        <v>23</v>
      </c>
    </row>
    <row r="2507" spans="1:5">
      <c r="A2507" s="3" t="s">
        <v>2529</v>
      </c>
      <c r="B2507" s="3" t="s">
        <v>22</v>
      </c>
      <c r="C2507" s="3">
        <v>282425</v>
      </c>
      <c r="D2507" s="3">
        <v>36338</v>
      </c>
      <c r="E2507" s="3" t="s">
        <v>23</v>
      </c>
    </row>
    <row r="2508" spans="1:5">
      <c r="A2508" s="3" t="s">
        <v>2530</v>
      </c>
      <c r="B2508" s="3" t="s">
        <v>22</v>
      </c>
      <c r="C2508" s="3">
        <v>499432</v>
      </c>
      <c r="D2508" s="3">
        <v>27034</v>
      </c>
      <c r="E2508" s="3" t="s">
        <v>23</v>
      </c>
    </row>
    <row r="2509" spans="1:5">
      <c r="A2509" s="3" t="s">
        <v>2531</v>
      </c>
      <c r="B2509" s="3" t="s">
        <v>22</v>
      </c>
      <c r="C2509" s="3">
        <v>316170</v>
      </c>
      <c r="D2509" s="3">
        <v>5724</v>
      </c>
      <c r="E2509" s="3" t="s">
        <v>23</v>
      </c>
    </row>
    <row r="2510" spans="1:5">
      <c r="A2510" s="3" t="s">
        <v>2532</v>
      </c>
      <c r="B2510" s="3" t="s">
        <v>22</v>
      </c>
      <c r="C2510" s="3">
        <v>309578</v>
      </c>
      <c r="D2510" s="3">
        <v>61117</v>
      </c>
      <c r="E2510" s="3" t="s">
        <v>23</v>
      </c>
    </row>
    <row r="2511" spans="1:5">
      <c r="A2511" s="3" t="s">
        <v>2533</v>
      </c>
      <c r="B2511" s="3" t="s">
        <v>22</v>
      </c>
      <c r="C2511" s="3">
        <v>487932</v>
      </c>
      <c r="D2511" s="3">
        <v>33541</v>
      </c>
      <c r="E2511" s="3" t="s">
        <v>23</v>
      </c>
    </row>
    <row r="2512" spans="1:5">
      <c r="A2512" s="3" t="s">
        <v>2534</v>
      </c>
      <c r="B2512" s="3" t="s">
        <v>22</v>
      </c>
      <c r="C2512" s="3">
        <v>464179</v>
      </c>
      <c r="D2512" s="3">
        <v>50019</v>
      </c>
      <c r="E2512" s="3" t="s">
        <v>23</v>
      </c>
    </row>
    <row r="2513" spans="1:5">
      <c r="A2513" s="3" t="s">
        <v>2535</v>
      </c>
      <c r="B2513" s="3" t="s">
        <v>22</v>
      </c>
      <c r="C2513" s="3">
        <v>622486</v>
      </c>
      <c r="D2513" s="3">
        <v>228769</v>
      </c>
      <c r="E2513" s="3" t="s">
        <v>23</v>
      </c>
    </row>
    <row r="2514" spans="1:5">
      <c r="A2514" s="3" t="s">
        <v>2536</v>
      </c>
      <c r="B2514" s="3" t="s">
        <v>22</v>
      </c>
      <c r="C2514" s="3">
        <v>276298</v>
      </c>
      <c r="D2514" s="3">
        <v>85600</v>
      </c>
      <c r="E2514" s="3" t="s">
        <v>23</v>
      </c>
    </row>
    <row r="2515" spans="1:5">
      <c r="A2515" s="3" t="s">
        <v>2537</v>
      </c>
      <c r="B2515" s="3" t="s">
        <v>22</v>
      </c>
      <c r="C2515" s="3">
        <v>650679</v>
      </c>
      <c r="D2515" s="3">
        <v>26591</v>
      </c>
      <c r="E2515" s="3" t="s">
        <v>23</v>
      </c>
    </row>
    <row r="2516" spans="1:5">
      <c r="A2516" s="3" t="s">
        <v>2538</v>
      </c>
      <c r="B2516" s="3" t="s">
        <v>22</v>
      </c>
      <c r="C2516" s="3">
        <v>627958</v>
      </c>
      <c r="D2516" s="3">
        <v>2347</v>
      </c>
      <c r="E2516" s="3" t="s">
        <v>23</v>
      </c>
    </row>
    <row r="2517" spans="1:5">
      <c r="A2517" s="3" t="s">
        <v>2539</v>
      </c>
      <c r="B2517" s="3" t="s">
        <v>22</v>
      </c>
      <c r="C2517" s="3">
        <v>506866</v>
      </c>
      <c r="D2517" s="3">
        <v>196356</v>
      </c>
      <c r="E2517" s="3" t="s">
        <v>23</v>
      </c>
    </row>
    <row r="2518" spans="1:5">
      <c r="A2518" s="3" t="s">
        <v>2540</v>
      </c>
      <c r="B2518" s="3" t="s">
        <v>22</v>
      </c>
      <c r="C2518" s="3">
        <v>499808</v>
      </c>
      <c r="D2518" s="3">
        <v>176453</v>
      </c>
      <c r="E2518" s="3" t="s">
        <v>23</v>
      </c>
    </row>
    <row r="2519" spans="1:5">
      <c r="A2519" s="3" t="s">
        <v>2541</v>
      </c>
      <c r="B2519" s="3" t="s">
        <v>22</v>
      </c>
      <c r="C2519" s="3">
        <v>434181</v>
      </c>
      <c r="D2519" s="3">
        <v>8890</v>
      </c>
      <c r="E2519" s="3" t="s">
        <v>23</v>
      </c>
    </row>
    <row r="2520" spans="1:5">
      <c r="A2520" s="3" t="s">
        <v>2542</v>
      </c>
      <c r="B2520" s="3" t="s">
        <v>22</v>
      </c>
      <c r="C2520" s="3">
        <v>415831</v>
      </c>
      <c r="D2520" s="3">
        <v>38245</v>
      </c>
      <c r="E2520" s="3" t="s">
        <v>23</v>
      </c>
    </row>
    <row r="2521" spans="1:5">
      <c r="A2521" s="3" t="s">
        <v>2543</v>
      </c>
      <c r="B2521" s="3" t="s">
        <v>22</v>
      </c>
      <c r="C2521" s="3">
        <v>419021</v>
      </c>
      <c r="D2521" s="3">
        <v>161105</v>
      </c>
      <c r="E2521" s="3" t="s">
        <v>23</v>
      </c>
    </row>
    <row r="2522" spans="1:5">
      <c r="A2522" s="3" t="s">
        <v>2544</v>
      </c>
      <c r="B2522" s="3" t="s">
        <v>22</v>
      </c>
      <c r="C2522" s="3">
        <v>491677</v>
      </c>
      <c r="D2522" s="3">
        <v>97515</v>
      </c>
      <c r="E2522" s="3" t="s">
        <v>23</v>
      </c>
    </row>
    <row r="2523" spans="1:5">
      <c r="A2523" s="3" t="s">
        <v>2545</v>
      </c>
      <c r="B2523" s="3" t="s">
        <v>22</v>
      </c>
      <c r="C2523" s="3">
        <v>250944</v>
      </c>
      <c r="D2523" s="3">
        <v>87337</v>
      </c>
      <c r="E2523" s="3" t="s">
        <v>23</v>
      </c>
    </row>
    <row r="2524" spans="1:5">
      <c r="A2524" s="3" t="s">
        <v>2546</v>
      </c>
      <c r="B2524" s="3" t="s">
        <v>22</v>
      </c>
      <c r="C2524" s="3">
        <v>395897</v>
      </c>
      <c r="D2524" s="3">
        <v>76886</v>
      </c>
      <c r="E2524" s="3" t="s">
        <v>23</v>
      </c>
    </row>
    <row r="2525" spans="1:5">
      <c r="A2525" s="3" t="s">
        <v>2547</v>
      </c>
      <c r="B2525" s="3" t="s">
        <v>22</v>
      </c>
      <c r="C2525" s="3">
        <v>178478</v>
      </c>
      <c r="D2525" s="3">
        <v>65314</v>
      </c>
      <c r="E2525" s="3" t="s">
        <v>23</v>
      </c>
    </row>
    <row r="2526" spans="1:5">
      <c r="A2526" s="3" t="s">
        <v>2548</v>
      </c>
      <c r="B2526" s="3" t="s">
        <v>22</v>
      </c>
      <c r="C2526" s="3">
        <v>340312</v>
      </c>
      <c r="D2526" s="3">
        <v>1420</v>
      </c>
      <c r="E2526" s="3" t="s">
        <v>23</v>
      </c>
    </row>
    <row r="2527" spans="1:5">
      <c r="A2527" s="3" t="s">
        <v>2549</v>
      </c>
      <c r="B2527" s="3" t="s">
        <v>22</v>
      </c>
      <c r="C2527" s="3">
        <v>301053</v>
      </c>
      <c r="D2527" s="3">
        <v>13565</v>
      </c>
      <c r="E2527" s="3" t="s">
        <v>23</v>
      </c>
    </row>
    <row r="2528" spans="1:5">
      <c r="A2528" s="3" t="s">
        <v>2550</v>
      </c>
      <c r="B2528" s="3" t="s">
        <v>22</v>
      </c>
      <c r="C2528" s="3">
        <v>377651</v>
      </c>
      <c r="D2528" s="3">
        <v>163487</v>
      </c>
      <c r="E2528" s="3" t="s">
        <v>23</v>
      </c>
    </row>
    <row r="2529" spans="1:5">
      <c r="A2529" s="3" t="s">
        <v>2551</v>
      </c>
      <c r="B2529" s="3" t="s">
        <v>22</v>
      </c>
      <c r="C2529" s="3">
        <v>580338</v>
      </c>
      <c r="D2529" s="3">
        <v>188025</v>
      </c>
      <c r="E2529" s="3" t="s">
        <v>23</v>
      </c>
    </row>
    <row r="2530" spans="1:5">
      <c r="A2530" s="3" t="s">
        <v>2552</v>
      </c>
      <c r="B2530" s="3" t="s">
        <v>22</v>
      </c>
      <c r="C2530" s="3">
        <v>427567</v>
      </c>
      <c r="D2530" s="3">
        <v>101750</v>
      </c>
      <c r="E2530" s="3" t="s">
        <v>23</v>
      </c>
    </row>
    <row r="2531" spans="1:5">
      <c r="A2531" s="3" t="s">
        <v>2553</v>
      </c>
      <c r="B2531" s="3" t="s">
        <v>22</v>
      </c>
      <c r="C2531" s="3">
        <v>323134</v>
      </c>
      <c r="D2531" s="3">
        <v>334</v>
      </c>
      <c r="E2531" s="3" t="s">
        <v>23</v>
      </c>
    </row>
    <row r="2532" spans="1:5">
      <c r="A2532" s="3" t="s">
        <v>2554</v>
      </c>
      <c r="B2532" s="3" t="s">
        <v>22</v>
      </c>
      <c r="C2532" s="3">
        <v>367537</v>
      </c>
      <c r="D2532" s="3">
        <v>133536</v>
      </c>
      <c r="E2532" s="3" t="s">
        <v>23</v>
      </c>
    </row>
    <row r="2533" spans="1:5">
      <c r="A2533" s="3" t="s">
        <v>2555</v>
      </c>
      <c r="B2533" s="3" t="s">
        <v>22</v>
      </c>
      <c r="C2533" s="3">
        <v>617022</v>
      </c>
      <c r="D2533" s="3">
        <v>151227</v>
      </c>
      <c r="E2533" s="3" t="s">
        <v>23</v>
      </c>
    </row>
    <row r="2534" spans="1:5">
      <c r="A2534" s="3" t="s">
        <v>2556</v>
      </c>
      <c r="B2534" s="3" t="s">
        <v>22</v>
      </c>
      <c r="C2534" s="3">
        <v>330246</v>
      </c>
      <c r="D2534" s="3">
        <v>106735</v>
      </c>
      <c r="E2534" s="3" t="s">
        <v>23</v>
      </c>
    </row>
    <row r="2535" spans="1:5">
      <c r="A2535" s="3" t="s">
        <v>2557</v>
      </c>
      <c r="B2535" s="3" t="s">
        <v>22</v>
      </c>
      <c r="C2535" s="3">
        <v>600979</v>
      </c>
      <c r="D2535" s="3">
        <v>3881</v>
      </c>
      <c r="E2535" s="3" t="s">
        <v>23</v>
      </c>
    </row>
    <row r="2536" spans="1:5">
      <c r="A2536" s="3" t="s">
        <v>2558</v>
      </c>
      <c r="B2536" s="3" t="s">
        <v>22</v>
      </c>
      <c r="C2536" s="3">
        <v>682107</v>
      </c>
      <c r="D2536" s="3">
        <v>249560</v>
      </c>
      <c r="E2536" s="3" t="s">
        <v>23</v>
      </c>
    </row>
    <row r="2537" spans="1:5">
      <c r="A2537" s="3" t="s">
        <v>2559</v>
      </c>
      <c r="B2537" s="3" t="s">
        <v>22</v>
      </c>
      <c r="C2537" s="3">
        <v>511189</v>
      </c>
      <c r="D2537" s="3">
        <v>54867</v>
      </c>
      <c r="E2537" s="3" t="s">
        <v>23</v>
      </c>
    </row>
    <row r="2538" spans="1:5">
      <c r="A2538" s="3" t="s">
        <v>2560</v>
      </c>
      <c r="B2538" s="3" t="s">
        <v>22</v>
      </c>
      <c r="C2538" s="3">
        <v>734231</v>
      </c>
      <c r="D2538" s="3">
        <v>158586</v>
      </c>
      <c r="E2538" s="3" t="s">
        <v>23</v>
      </c>
    </row>
    <row r="2539" spans="1:5">
      <c r="A2539" s="3" t="s">
        <v>2561</v>
      </c>
      <c r="B2539" s="3" t="s">
        <v>22</v>
      </c>
      <c r="C2539" s="3">
        <v>498918</v>
      </c>
      <c r="D2539" s="3">
        <v>170288</v>
      </c>
      <c r="E2539" s="3" t="s">
        <v>23</v>
      </c>
    </row>
    <row r="2540" spans="1:5">
      <c r="A2540" s="3" t="s">
        <v>2562</v>
      </c>
      <c r="B2540" s="3" t="s">
        <v>22</v>
      </c>
      <c r="C2540" s="3">
        <v>387569</v>
      </c>
      <c r="D2540" s="3">
        <v>120681</v>
      </c>
      <c r="E2540" s="3" t="s">
        <v>23</v>
      </c>
    </row>
    <row r="2541" spans="1:5">
      <c r="A2541" s="3" t="s">
        <v>2563</v>
      </c>
      <c r="B2541" s="3" t="s">
        <v>22</v>
      </c>
      <c r="C2541" s="3">
        <v>329854</v>
      </c>
      <c r="D2541" s="3">
        <v>140166</v>
      </c>
      <c r="E2541" s="3" t="s">
        <v>23</v>
      </c>
    </row>
    <row r="2542" spans="1:5">
      <c r="A2542" s="3" t="s">
        <v>2564</v>
      </c>
      <c r="B2542" s="3" t="s">
        <v>22</v>
      </c>
      <c r="C2542" s="3">
        <v>647957</v>
      </c>
      <c r="D2542" s="3">
        <v>106658</v>
      </c>
      <c r="E2542" s="3" t="s">
        <v>23</v>
      </c>
    </row>
    <row r="2543" spans="1:5">
      <c r="A2543" s="3" t="s">
        <v>2565</v>
      </c>
      <c r="B2543" s="3" t="s">
        <v>22</v>
      </c>
      <c r="C2543" s="3">
        <v>490232</v>
      </c>
      <c r="D2543" s="3">
        <v>84712</v>
      </c>
      <c r="E2543" s="3" t="s">
        <v>23</v>
      </c>
    </row>
    <row r="2544" spans="1:5">
      <c r="A2544" s="3" t="s">
        <v>2566</v>
      </c>
      <c r="B2544" s="3" t="s">
        <v>22</v>
      </c>
      <c r="C2544" s="3">
        <v>831371</v>
      </c>
      <c r="D2544" s="3">
        <v>91888</v>
      </c>
      <c r="E2544" s="3" t="s">
        <v>23</v>
      </c>
    </row>
    <row r="2545" spans="1:5">
      <c r="A2545" s="3" t="s">
        <v>2567</v>
      </c>
      <c r="B2545" s="3" t="s">
        <v>22</v>
      </c>
      <c r="C2545" s="3">
        <v>805789</v>
      </c>
      <c r="D2545" s="3">
        <v>21886</v>
      </c>
      <c r="E2545" s="3" t="s">
        <v>23</v>
      </c>
    </row>
    <row r="2546" spans="1:5">
      <c r="A2546" s="3" t="s">
        <v>2568</v>
      </c>
      <c r="B2546" s="3" t="s">
        <v>22</v>
      </c>
      <c r="C2546" s="3">
        <v>595695</v>
      </c>
      <c r="D2546" s="3">
        <v>30521</v>
      </c>
      <c r="E2546" s="3" t="s">
        <v>23</v>
      </c>
    </row>
    <row r="2547" spans="1:5">
      <c r="A2547" s="3" t="s">
        <v>2569</v>
      </c>
      <c r="B2547" s="3" t="s">
        <v>22</v>
      </c>
      <c r="C2547" s="3">
        <v>302828</v>
      </c>
      <c r="D2547" s="3">
        <v>59223</v>
      </c>
      <c r="E2547" s="3" t="s">
        <v>23</v>
      </c>
    </row>
    <row r="2548" spans="1:5">
      <c r="A2548" s="3" t="s">
        <v>2570</v>
      </c>
      <c r="B2548" s="3" t="s">
        <v>22</v>
      </c>
      <c r="C2548" s="3">
        <v>613417</v>
      </c>
      <c r="D2548" s="3">
        <v>143919</v>
      </c>
      <c r="E2548" s="3" t="s">
        <v>23</v>
      </c>
    </row>
    <row r="2549" spans="1:5">
      <c r="A2549" s="3" t="s">
        <v>2571</v>
      </c>
      <c r="B2549" s="3" t="s">
        <v>22</v>
      </c>
      <c r="C2549" s="3">
        <v>550070</v>
      </c>
      <c r="D2549" s="3">
        <v>58563</v>
      </c>
      <c r="E2549" s="3" t="s">
        <v>23</v>
      </c>
    </row>
    <row r="2550" spans="1:5">
      <c r="A2550" s="3" t="s">
        <v>2572</v>
      </c>
      <c r="B2550" s="3" t="s">
        <v>22</v>
      </c>
      <c r="C2550" s="3">
        <v>661976</v>
      </c>
      <c r="D2550" s="3">
        <v>211847</v>
      </c>
      <c r="E2550" s="3" t="s">
        <v>23</v>
      </c>
    </row>
    <row r="2551" spans="1:5">
      <c r="A2551" s="3" t="s">
        <v>2573</v>
      </c>
      <c r="B2551" s="3" t="s">
        <v>22</v>
      </c>
      <c r="C2551" s="3">
        <v>816751</v>
      </c>
      <c r="D2551" s="3">
        <v>204787</v>
      </c>
      <c r="E2551" s="3" t="s">
        <v>23</v>
      </c>
    </row>
    <row r="2552" spans="1:5">
      <c r="A2552" s="3" t="s">
        <v>2574</v>
      </c>
      <c r="B2552" s="3" t="s">
        <v>22</v>
      </c>
      <c r="C2552" s="3">
        <v>642665</v>
      </c>
      <c r="D2552" s="3">
        <v>122305</v>
      </c>
      <c r="E2552" s="3" t="s">
        <v>23</v>
      </c>
    </row>
    <row r="2553" spans="1:5">
      <c r="A2553" s="3" t="s">
        <v>2575</v>
      </c>
      <c r="B2553" s="3" t="s">
        <v>22</v>
      </c>
      <c r="C2553" s="3">
        <v>568005</v>
      </c>
      <c r="D2553" s="3">
        <v>62725</v>
      </c>
      <c r="E2553" s="3" t="s">
        <v>23</v>
      </c>
    </row>
    <row r="2554" spans="1:5">
      <c r="A2554" s="3" t="s">
        <v>2576</v>
      </c>
      <c r="B2554" s="3" t="s">
        <v>22</v>
      </c>
      <c r="C2554" s="3">
        <v>744263</v>
      </c>
      <c r="D2554" s="3">
        <v>215184</v>
      </c>
      <c r="E2554" s="3" t="s">
        <v>23</v>
      </c>
    </row>
    <row r="2555" spans="1:5">
      <c r="A2555" s="3" t="s">
        <v>2577</v>
      </c>
      <c r="B2555" s="3" t="s">
        <v>22</v>
      </c>
      <c r="C2555" s="3">
        <v>842297</v>
      </c>
      <c r="D2555" s="3">
        <v>255774</v>
      </c>
      <c r="E2555" s="3" t="s">
        <v>23</v>
      </c>
    </row>
    <row r="2556" spans="1:5">
      <c r="A2556" s="3" t="s">
        <v>2578</v>
      </c>
      <c r="B2556" s="3" t="s">
        <v>22</v>
      </c>
      <c r="C2556" s="3">
        <v>337061</v>
      </c>
      <c r="D2556" s="3">
        <v>118283</v>
      </c>
      <c r="E2556" s="3" t="s">
        <v>23</v>
      </c>
    </row>
    <row r="2557" spans="1:5">
      <c r="A2557" s="3" t="s">
        <v>2579</v>
      </c>
      <c r="B2557" s="3" t="s">
        <v>22</v>
      </c>
      <c r="C2557" s="3">
        <v>692414</v>
      </c>
      <c r="D2557" s="3">
        <v>99344</v>
      </c>
      <c r="E2557" s="3" t="s">
        <v>23</v>
      </c>
    </row>
    <row r="2558" spans="1:5">
      <c r="A2558" s="3" t="s">
        <v>2580</v>
      </c>
      <c r="B2558" s="3" t="s">
        <v>22</v>
      </c>
      <c r="C2558" s="3">
        <v>885032</v>
      </c>
      <c r="D2558" s="3">
        <v>172325</v>
      </c>
      <c r="E2558" s="3" t="s">
        <v>23</v>
      </c>
    </row>
    <row r="2559" spans="1:5">
      <c r="A2559" s="3" t="s">
        <v>2581</v>
      </c>
      <c r="B2559" s="3" t="s">
        <v>22</v>
      </c>
      <c r="C2559" s="3">
        <v>573664</v>
      </c>
      <c r="D2559" s="3">
        <v>43678</v>
      </c>
      <c r="E2559" s="3" t="s">
        <v>23</v>
      </c>
    </row>
    <row r="2560" spans="1:5">
      <c r="A2560" s="3" t="s">
        <v>2582</v>
      </c>
      <c r="B2560" s="3" t="s">
        <v>22</v>
      </c>
      <c r="C2560" s="3">
        <v>455717</v>
      </c>
      <c r="D2560" s="3">
        <v>34246</v>
      </c>
      <c r="E2560" s="3" t="s">
        <v>23</v>
      </c>
    </row>
    <row r="2561" spans="1:5">
      <c r="A2561" s="3" t="s">
        <v>2583</v>
      </c>
      <c r="B2561" s="3" t="s">
        <v>22</v>
      </c>
      <c r="C2561" s="3">
        <v>582961</v>
      </c>
      <c r="D2561" s="3">
        <v>94058</v>
      </c>
      <c r="E2561" s="3" t="s">
        <v>23</v>
      </c>
    </row>
    <row r="2562" spans="1:5">
      <c r="A2562" s="3" t="s">
        <v>2584</v>
      </c>
      <c r="B2562" s="3" t="s">
        <v>22</v>
      </c>
      <c r="C2562" s="3">
        <v>560254</v>
      </c>
      <c r="D2562" s="3">
        <v>183851</v>
      </c>
      <c r="E2562" s="3" t="s">
        <v>23</v>
      </c>
    </row>
    <row r="2563" spans="1:5">
      <c r="A2563" s="3" t="s">
        <v>2585</v>
      </c>
      <c r="B2563" s="3" t="s">
        <v>22</v>
      </c>
      <c r="C2563" s="3">
        <v>671524</v>
      </c>
      <c r="D2563" s="3">
        <v>215848</v>
      </c>
      <c r="E2563" s="3" t="s">
        <v>23</v>
      </c>
    </row>
    <row r="2564" spans="1:5">
      <c r="A2564" s="3" t="s">
        <v>2586</v>
      </c>
      <c r="B2564" s="3" t="s">
        <v>22</v>
      </c>
      <c r="C2564" s="3">
        <v>590237</v>
      </c>
      <c r="D2564" s="3">
        <v>115871</v>
      </c>
      <c r="E2564" s="3" t="s">
        <v>23</v>
      </c>
    </row>
    <row r="2565" spans="1:5">
      <c r="A2565" s="3" t="s">
        <v>2587</v>
      </c>
      <c r="B2565" s="3" t="s">
        <v>22</v>
      </c>
      <c r="C2565" s="3">
        <v>832051</v>
      </c>
      <c r="D2565" s="3">
        <v>86750</v>
      </c>
      <c r="E2565" s="3" t="s">
        <v>23</v>
      </c>
    </row>
    <row r="2566" spans="1:5">
      <c r="A2566" s="3" t="s">
        <v>2588</v>
      </c>
      <c r="B2566" s="3" t="s">
        <v>22</v>
      </c>
      <c r="C2566" s="3">
        <v>460735</v>
      </c>
      <c r="D2566" s="3">
        <v>111746</v>
      </c>
      <c r="E2566" s="3" t="s">
        <v>23</v>
      </c>
    </row>
    <row r="2567" spans="1:5">
      <c r="A2567" s="3" t="s">
        <v>2589</v>
      </c>
      <c r="B2567" s="3" t="s">
        <v>22</v>
      </c>
      <c r="C2567" s="3">
        <v>571320</v>
      </c>
      <c r="D2567" s="3">
        <v>37741</v>
      </c>
      <c r="E2567" s="3" t="s">
        <v>23</v>
      </c>
    </row>
    <row r="2568" spans="1:5">
      <c r="A2568" s="3" t="s">
        <v>2590</v>
      </c>
      <c r="B2568" s="3" t="s">
        <v>22</v>
      </c>
      <c r="C2568" s="3">
        <v>624377</v>
      </c>
      <c r="D2568" s="3">
        <v>195198</v>
      </c>
      <c r="E2568" s="3" t="s">
        <v>23</v>
      </c>
    </row>
    <row r="2569" spans="1:5">
      <c r="A2569" s="3" t="s">
        <v>2591</v>
      </c>
      <c r="B2569" s="3" t="s">
        <v>22</v>
      </c>
      <c r="C2569" s="3">
        <v>603605</v>
      </c>
      <c r="D2569" s="3">
        <v>163340</v>
      </c>
      <c r="E2569" s="3" t="s">
        <v>23</v>
      </c>
    </row>
    <row r="2570" spans="1:5">
      <c r="A2570" s="3" t="s">
        <v>2592</v>
      </c>
      <c r="B2570" s="3" t="s">
        <v>22</v>
      </c>
      <c r="C2570" s="3">
        <v>516628</v>
      </c>
      <c r="D2570" s="3">
        <v>1474</v>
      </c>
      <c r="E2570" s="3" t="s">
        <v>23</v>
      </c>
    </row>
    <row r="2571" spans="1:5">
      <c r="A2571" s="3" t="s">
        <v>2593</v>
      </c>
      <c r="B2571" s="3" t="s">
        <v>22</v>
      </c>
      <c r="C2571" s="3">
        <v>421854</v>
      </c>
      <c r="D2571" s="3">
        <v>2387</v>
      </c>
      <c r="E2571" s="3" t="s">
        <v>23</v>
      </c>
    </row>
    <row r="2572" spans="1:5">
      <c r="A2572" s="3" t="s">
        <v>2594</v>
      </c>
      <c r="B2572" s="3" t="s">
        <v>22</v>
      </c>
      <c r="C2572" s="3">
        <v>486150</v>
      </c>
      <c r="D2572" s="3">
        <v>119970</v>
      </c>
      <c r="E2572" s="3" t="s">
        <v>23</v>
      </c>
    </row>
    <row r="2573" spans="1:5">
      <c r="A2573" s="3" t="s">
        <v>2595</v>
      </c>
      <c r="B2573" s="3" t="s">
        <v>22</v>
      </c>
      <c r="C2573" s="3">
        <v>677208</v>
      </c>
      <c r="D2573" s="3">
        <v>159701</v>
      </c>
      <c r="E2573" s="3" t="s">
        <v>23</v>
      </c>
    </row>
    <row r="2574" spans="1:5">
      <c r="A2574" s="3" t="s">
        <v>2596</v>
      </c>
      <c r="B2574" s="3" t="s">
        <v>22</v>
      </c>
      <c r="C2574" s="3">
        <v>438698</v>
      </c>
      <c r="D2574" s="3">
        <v>56205</v>
      </c>
      <c r="E2574" s="3" t="s">
        <v>23</v>
      </c>
    </row>
    <row r="2575" spans="1:5">
      <c r="A2575" s="3" t="s">
        <v>2597</v>
      </c>
      <c r="B2575" s="3" t="s">
        <v>22</v>
      </c>
      <c r="C2575" s="3">
        <v>811334</v>
      </c>
      <c r="D2575" s="3">
        <v>160123</v>
      </c>
      <c r="E2575" s="3" t="s">
        <v>23</v>
      </c>
    </row>
    <row r="2576" spans="1:5">
      <c r="A2576" s="3" t="s">
        <v>2598</v>
      </c>
      <c r="B2576" s="3" t="s">
        <v>22</v>
      </c>
      <c r="C2576" s="3">
        <v>595535</v>
      </c>
      <c r="D2576" s="3">
        <v>31927</v>
      </c>
      <c r="E2576" s="3" t="s">
        <v>23</v>
      </c>
    </row>
    <row r="2577" spans="1:5">
      <c r="A2577" s="3" t="s">
        <v>2599</v>
      </c>
      <c r="B2577" s="3" t="s">
        <v>22</v>
      </c>
      <c r="C2577" s="3">
        <v>803781</v>
      </c>
      <c r="D2577" s="3">
        <v>43346</v>
      </c>
      <c r="E2577" s="3" t="s">
        <v>23</v>
      </c>
    </row>
    <row r="2578" spans="1:5">
      <c r="A2578" s="3" t="s">
        <v>2600</v>
      </c>
      <c r="B2578" s="3" t="s">
        <v>22</v>
      </c>
      <c r="C2578" s="3">
        <v>398302</v>
      </c>
      <c r="D2578" s="3">
        <v>41489</v>
      </c>
      <c r="E2578" s="3" t="s">
        <v>23</v>
      </c>
    </row>
    <row r="2579" spans="1:5">
      <c r="A2579" s="3" t="s">
        <v>2601</v>
      </c>
      <c r="B2579" s="3" t="s">
        <v>22</v>
      </c>
      <c r="C2579" s="3">
        <v>733495</v>
      </c>
      <c r="D2579" s="3">
        <v>184361</v>
      </c>
      <c r="E2579" s="3" t="s">
        <v>23</v>
      </c>
    </row>
    <row r="2580" spans="1:5">
      <c r="A2580" s="3" t="s">
        <v>2602</v>
      </c>
      <c r="B2580" s="3" t="s">
        <v>22</v>
      </c>
      <c r="C2580" s="3">
        <v>490361</v>
      </c>
      <c r="D2580" s="3">
        <v>71824</v>
      </c>
      <c r="E2580" s="3" t="s">
        <v>23</v>
      </c>
    </row>
    <row r="2581" spans="1:5">
      <c r="A2581" s="3" t="s">
        <v>2603</v>
      </c>
      <c r="B2581" s="3" t="s">
        <v>22</v>
      </c>
      <c r="C2581" s="3">
        <v>519337</v>
      </c>
      <c r="D2581" s="3">
        <v>84490</v>
      </c>
      <c r="E2581" s="3" t="s">
        <v>23</v>
      </c>
    </row>
    <row r="2582" spans="1:5">
      <c r="A2582" s="3" t="s">
        <v>2604</v>
      </c>
      <c r="B2582" s="3" t="s">
        <v>22</v>
      </c>
      <c r="C2582" s="3">
        <v>798202</v>
      </c>
      <c r="D2582" s="3">
        <v>136435</v>
      </c>
      <c r="E2582" s="3" t="s">
        <v>23</v>
      </c>
    </row>
    <row r="2583" spans="1:5">
      <c r="A2583" s="3" t="s">
        <v>2605</v>
      </c>
      <c r="B2583" s="3" t="s">
        <v>22</v>
      </c>
      <c r="C2583" s="3">
        <v>608988</v>
      </c>
      <c r="D2583" s="3">
        <v>30431</v>
      </c>
      <c r="E2583" s="3" t="s">
        <v>23</v>
      </c>
    </row>
    <row r="2584" spans="1:5">
      <c r="A2584" s="3" t="s">
        <v>2606</v>
      </c>
      <c r="B2584" s="3" t="s">
        <v>22</v>
      </c>
      <c r="C2584" s="3">
        <v>559266</v>
      </c>
      <c r="D2584" s="3">
        <v>92060</v>
      </c>
      <c r="E2584" s="3" t="s">
        <v>23</v>
      </c>
    </row>
    <row r="2585" spans="1:5">
      <c r="A2585" s="3" t="s">
        <v>2607</v>
      </c>
      <c r="B2585" s="3" t="s">
        <v>22</v>
      </c>
      <c r="C2585" s="3">
        <v>508152</v>
      </c>
      <c r="D2585" s="3">
        <v>138062</v>
      </c>
      <c r="E2585" s="3" t="s">
        <v>23</v>
      </c>
    </row>
    <row r="2586" spans="1:5">
      <c r="A2586" s="3" t="s">
        <v>2608</v>
      </c>
      <c r="B2586" s="3" t="s">
        <v>22</v>
      </c>
      <c r="C2586" s="3">
        <v>192654</v>
      </c>
      <c r="D2586" s="3">
        <v>58677</v>
      </c>
      <c r="E2586" s="3" t="s">
        <v>23</v>
      </c>
    </row>
    <row r="2587" spans="1:5">
      <c r="A2587" s="3" t="s">
        <v>2609</v>
      </c>
      <c r="B2587" s="3" t="s">
        <v>22</v>
      </c>
      <c r="C2587" s="3">
        <v>263305</v>
      </c>
      <c r="D2587" s="3">
        <v>83801</v>
      </c>
      <c r="E2587" s="3" t="s">
        <v>23</v>
      </c>
    </row>
    <row r="2588" spans="1:5">
      <c r="A2588" s="3" t="s">
        <v>2610</v>
      </c>
      <c r="B2588" s="3" t="s">
        <v>22</v>
      </c>
      <c r="C2588" s="3">
        <v>629863</v>
      </c>
      <c r="D2588" s="3">
        <v>173834</v>
      </c>
      <c r="E2588" s="3" t="s">
        <v>23</v>
      </c>
    </row>
    <row r="2589" spans="1:5">
      <c r="A2589" s="3" t="s">
        <v>2611</v>
      </c>
      <c r="B2589" s="3" t="s">
        <v>22</v>
      </c>
      <c r="C2589" s="3">
        <v>831219</v>
      </c>
      <c r="D2589" s="3">
        <v>131924</v>
      </c>
      <c r="E2589" s="3" t="s">
        <v>23</v>
      </c>
    </row>
    <row r="2590" spans="1:5">
      <c r="A2590" s="3" t="s">
        <v>2612</v>
      </c>
      <c r="B2590" s="3" t="s">
        <v>22</v>
      </c>
      <c r="C2590" s="3">
        <v>722679</v>
      </c>
      <c r="D2590" s="3">
        <v>257468</v>
      </c>
      <c r="E2590" s="3" t="s">
        <v>23</v>
      </c>
    </row>
    <row r="2591" spans="1:5">
      <c r="A2591" s="3" t="s">
        <v>2613</v>
      </c>
      <c r="B2591" s="3" t="s">
        <v>22</v>
      </c>
      <c r="C2591" s="3">
        <v>728124</v>
      </c>
      <c r="D2591" s="3">
        <v>145648</v>
      </c>
      <c r="E2591" s="3" t="s">
        <v>23</v>
      </c>
    </row>
    <row r="2592" spans="1:5">
      <c r="A2592" s="3" t="s">
        <v>2614</v>
      </c>
      <c r="B2592" s="3" t="s">
        <v>22</v>
      </c>
      <c r="C2592" s="3">
        <v>684219</v>
      </c>
      <c r="D2592" s="3">
        <v>100231</v>
      </c>
      <c r="E2592" s="3" t="s">
        <v>23</v>
      </c>
    </row>
    <row r="2593" spans="1:5">
      <c r="A2593" s="3" t="s">
        <v>2615</v>
      </c>
      <c r="B2593" s="3" t="s">
        <v>22</v>
      </c>
      <c r="C2593" s="3">
        <v>466972</v>
      </c>
      <c r="D2593" s="3">
        <v>111939</v>
      </c>
      <c r="E2593" s="3" t="s">
        <v>23</v>
      </c>
    </row>
    <row r="2594" spans="1:5">
      <c r="A2594" s="3" t="s">
        <v>2616</v>
      </c>
      <c r="B2594" s="3" t="s">
        <v>22</v>
      </c>
      <c r="C2594" s="3">
        <v>718968</v>
      </c>
      <c r="D2594" s="3">
        <v>212484</v>
      </c>
      <c r="E2594" s="3" t="s">
        <v>23</v>
      </c>
    </row>
    <row r="2595" spans="1:5">
      <c r="A2595" s="3" t="s">
        <v>2617</v>
      </c>
      <c r="B2595" s="3" t="s">
        <v>22</v>
      </c>
      <c r="C2595" s="3">
        <v>682573</v>
      </c>
      <c r="D2595" s="3">
        <v>20220</v>
      </c>
      <c r="E2595" s="3" t="s">
        <v>23</v>
      </c>
    </row>
    <row r="2596" spans="1:5">
      <c r="A2596" s="3" t="s">
        <v>2618</v>
      </c>
      <c r="B2596" s="3" t="s">
        <v>22</v>
      </c>
      <c r="C2596" s="3">
        <v>752614</v>
      </c>
      <c r="D2596" s="3">
        <v>190979</v>
      </c>
      <c r="E2596" s="3" t="s">
        <v>23</v>
      </c>
    </row>
    <row r="2597" spans="1:5">
      <c r="A2597" s="3" t="s">
        <v>2619</v>
      </c>
      <c r="B2597" s="3" t="s">
        <v>22</v>
      </c>
      <c r="C2597" s="3">
        <v>434448</v>
      </c>
      <c r="D2597" s="3">
        <v>90577</v>
      </c>
      <c r="E2597" s="3" t="s">
        <v>23</v>
      </c>
    </row>
    <row r="2598" spans="1:5">
      <c r="A2598" s="3" t="s">
        <v>2620</v>
      </c>
      <c r="B2598" s="3" t="s">
        <v>22</v>
      </c>
      <c r="C2598" s="3">
        <v>766058</v>
      </c>
      <c r="D2598" s="3">
        <v>16186</v>
      </c>
      <c r="E2598" s="3" t="s">
        <v>23</v>
      </c>
    </row>
    <row r="2599" spans="1:5">
      <c r="A2599" s="3" t="s">
        <v>2621</v>
      </c>
      <c r="B2599" s="3" t="s">
        <v>22</v>
      </c>
      <c r="C2599" s="3">
        <v>577430</v>
      </c>
      <c r="D2599" s="3">
        <v>226959</v>
      </c>
      <c r="E2599" s="3" t="s">
        <v>23</v>
      </c>
    </row>
    <row r="2600" spans="1:5">
      <c r="A2600" s="3" t="s">
        <v>2622</v>
      </c>
      <c r="B2600" s="3" t="s">
        <v>22</v>
      </c>
      <c r="C2600" s="3">
        <v>692928</v>
      </c>
      <c r="D2600" s="3">
        <v>50131</v>
      </c>
      <c r="E2600" s="3" t="s">
        <v>23</v>
      </c>
    </row>
    <row r="2601" spans="1:5">
      <c r="A2601" s="3" t="s">
        <v>2623</v>
      </c>
      <c r="B2601" s="3" t="s">
        <v>22</v>
      </c>
      <c r="C2601" s="3">
        <v>431019</v>
      </c>
      <c r="D2601" s="3">
        <v>38272</v>
      </c>
      <c r="E2601" s="3" t="s">
        <v>23</v>
      </c>
    </row>
    <row r="2602" spans="1:5">
      <c r="A2602" s="3" t="s">
        <v>2624</v>
      </c>
      <c r="B2602" s="3" t="s">
        <v>22</v>
      </c>
      <c r="C2602" s="3">
        <v>834663</v>
      </c>
      <c r="D2602" s="3">
        <v>28715</v>
      </c>
      <c r="E2602" s="3" t="s">
        <v>23</v>
      </c>
    </row>
    <row r="2603" spans="1:5">
      <c r="A2603" s="3" t="s">
        <v>2625</v>
      </c>
      <c r="B2603" s="3" t="s">
        <v>22</v>
      </c>
      <c r="C2603" s="3">
        <v>519812</v>
      </c>
      <c r="D2603" s="3">
        <v>172086</v>
      </c>
      <c r="E2603" s="3" t="s">
        <v>23</v>
      </c>
    </row>
    <row r="2604" spans="1:5">
      <c r="A2604" s="3" t="s">
        <v>2626</v>
      </c>
      <c r="B2604" s="3" t="s">
        <v>22</v>
      </c>
      <c r="C2604" s="3">
        <v>413642</v>
      </c>
      <c r="D2604" s="3">
        <v>38456</v>
      </c>
      <c r="E2604" s="3" t="s">
        <v>23</v>
      </c>
    </row>
    <row r="2605" spans="1:5">
      <c r="A2605" s="3" t="s">
        <v>2627</v>
      </c>
      <c r="B2605" s="3" t="s">
        <v>22</v>
      </c>
      <c r="C2605" s="3">
        <v>563103</v>
      </c>
      <c r="D2605" s="3">
        <v>33846</v>
      </c>
      <c r="E2605" s="3" t="s">
        <v>23</v>
      </c>
    </row>
    <row r="2606" spans="1:5">
      <c r="A2606" s="3" t="s">
        <v>2628</v>
      </c>
      <c r="B2606" s="3" t="s">
        <v>22</v>
      </c>
      <c r="C2606" s="3">
        <v>800962</v>
      </c>
      <c r="D2606" s="3">
        <v>264754</v>
      </c>
      <c r="E2606" s="3" t="s">
        <v>23</v>
      </c>
    </row>
    <row r="2607" spans="1:5">
      <c r="A2607" s="3" t="s">
        <v>2629</v>
      </c>
      <c r="B2607" s="3" t="s">
        <v>22</v>
      </c>
      <c r="C2607" s="3">
        <v>449289</v>
      </c>
      <c r="D2607" s="3">
        <v>178539</v>
      </c>
      <c r="E2607" s="3" t="s">
        <v>23</v>
      </c>
    </row>
    <row r="2608" spans="1:5">
      <c r="A2608" s="3" t="s">
        <v>2630</v>
      </c>
      <c r="B2608" s="3" t="s">
        <v>22</v>
      </c>
      <c r="C2608" s="3">
        <v>589532</v>
      </c>
      <c r="D2608" s="3">
        <v>112418</v>
      </c>
      <c r="E2608" s="3" t="s">
        <v>23</v>
      </c>
    </row>
    <row r="2609" spans="1:5">
      <c r="A2609" s="3" t="s">
        <v>2631</v>
      </c>
      <c r="B2609" s="3" t="s">
        <v>22</v>
      </c>
      <c r="C2609" s="3">
        <v>795009</v>
      </c>
      <c r="D2609" s="3">
        <v>125051</v>
      </c>
      <c r="E2609" s="3" t="s">
        <v>23</v>
      </c>
    </row>
    <row r="2610" spans="1:5">
      <c r="A2610" s="3" t="s">
        <v>2632</v>
      </c>
      <c r="B2610" s="3" t="s">
        <v>22</v>
      </c>
      <c r="C2610" s="3">
        <v>576753</v>
      </c>
      <c r="D2610" s="3">
        <v>228297</v>
      </c>
      <c r="E2610" s="3" t="s">
        <v>23</v>
      </c>
    </row>
    <row r="2611" spans="1:5">
      <c r="A2611" s="3" t="s">
        <v>2633</v>
      </c>
      <c r="B2611" s="3" t="s">
        <v>22</v>
      </c>
      <c r="C2611" s="3">
        <v>524839</v>
      </c>
      <c r="D2611" s="3">
        <v>219699</v>
      </c>
      <c r="E2611" s="3" t="s">
        <v>23</v>
      </c>
    </row>
    <row r="2612" spans="1:5">
      <c r="A2612" s="3" t="s">
        <v>2634</v>
      </c>
      <c r="B2612" s="3" t="s">
        <v>22</v>
      </c>
      <c r="C2612" s="3">
        <v>444521</v>
      </c>
      <c r="D2612" s="3">
        <v>24992</v>
      </c>
      <c r="E2612" s="3" t="s">
        <v>23</v>
      </c>
    </row>
    <row r="2613" spans="1:5">
      <c r="A2613" s="3" t="s">
        <v>2635</v>
      </c>
      <c r="B2613" s="3" t="s">
        <v>22</v>
      </c>
      <c r="C2613" s="3">
        <v>511061</v>
      </c>
      <c r="D2613" s="3">
        <v>80786</v>
      </c>
      <c r="E2613" s="3" t="s">
        <v>23</v>
      </c>
    </row>
    <row r="2614" spans="1:5">
      <c r="A2614" s="3" t="s">
        <v>2636</v>
      </c>
      <c r="B2614" s="3" t="s">
        <v>22</v>
      </c>
      <c r="C2614" s="3">
        <v>409365</v>
      </c>
      <c r="D2614" s="3">
        <v>163781</v>
      </c>
      <c r="E2614" s="3" t="s">
        <v>23</v>
      </c>
    </row>
    <row r="2615" spans="1:5">
      <c r="A2615" s="3" t="s">
        <v>2637</v>
      </c>
      <c r="B2615" s="3" t="s">
        <v>22</v>
      </c>
      <c r="C2615" s="3">
        <v>490512</v>
      </c>
      <c r="D2615" s="3">
        <v>131480</v>
      </c>
      <c r="E2615" s="3" t="s">
        <v>23</v>
      </c>
    </row>
    <row r="2616" spans="1:5">
      <c r="A2616" s="3" t="s">
        <v>2638</v>
      </c>
      <c r="B2616" s="3" t="s">
        <v>22</v>
      </c>
      <c r="C2616" s="3">
        <v>252684</v>
      </c>
      <c r="D2616" s="3">
        <v>94107</v>
      </c>
      <c r="E2616" s="3" t="s">
        <v>23</v>
      </c>
    </row>
    <row r="2617" spans="1:5">
      <c r="A2617" s="3" t="s">
        <v>2639</v>
      </c>
      <c r="B2617" s="3" t="s">
        <v>22</v>
      </c>
      <c r="C2617" s="3">
        <v>505309</v>
      </c>
      <c r="D2617" s="3">
        <v>96664</v>
      </c>
      <c r="E2617" s="3" t="s">
        <v>23</v>
      </c>
    </row>
    <row r="2618" spans="1:5">
      <c r="A2618" s="3" t="s">
        <v>2640</v>
      </c>
      <c r="B2618" s="3" t="s">
        <v>22</v>
      </c>
      <c r="C2618" s="3">
        <v>418878</v>
      </c>
      <c r="D2618" s="3">
        <v>139612</v>
      </c>
      <c r="E2618" s="3" t="s">
        <v>23</v>
      </c>
    </row>
    <row r="2619" spans="1:5">
      <c r="A2619" s="3" t="s">
        <v>2641</v>
      </c>
      <c r="B2619" s="3" t="s">
        <v>22</v>
      </c>
      <c r="C2619" s="3">
        <v>388450</v>
      </c>
      <c r="D2619" s="3">
        <v>745</v>
      </c>
      <c r="E2619" s="3" t="s">
        <v>23</v>
      </c>
    </row>
    <row r="2620" spans="1:5">
      <c r="A2620" s="3" t="s">
        <v>2642</v>
      </c>
      <c r="B2620" s="3" t="s">
        <v>22</v>
      </c>
      <c r="C2620" s="3">
        <v>666988</v>
      </c>
      <c r="D2620" s="3">
        <v>6970</v>
      </c>
      <c r="E2620" s="3" t="s">
        <v>23</v>
      </c>
    </row>
    <row r="2621" spans="1:5">
      <c r="A2621" s="3" t="s">
        <v>2643</v>
      </c>
      <c r="B2621" s="3" t="s">
        <v>22</v>
      </c>
      <c r="C2621" s="3">
        <v>475704</v>
      </c>
      <c r="D2621" s="3">
        <v>158402</v>
      </c>
      <c r="E2621" s="3" t="s">
        <v>23</v>
      </c>
    </row>
    <row r="2622" spans="1:5">
      <c r="A2622" s="3" t="s">
        <v>2644</v>
      </c>
      <c r="B2622" s="3" t="s">
        <v>22</v>
      </c>
      <c r="C2622" s="3">
        <v>565154</v>
      </c>
      <c r="D2622" s="3">
        <v>205047</v>
      </c>
      <c r="E2622" s="3" t="s">
        <v>23</v>
      </c>
    </row>
    <row r="2623" spans="1:5">
      <c r="A2623" s="3" t="s">
        <v>2645</v>
      </c>
      <c r="B2623" s="3" t="s">
        <v>22</v>
      </c>
      <c r="C2623" s="3">
        <v>540381</v>
      </c>
      <c r="D2623" s="3">
        <v>204973</v>
      </c>
      <c r="E2623" s="3" t="s">
        <v>23</v>
      </c>
    </row>
    <row r="2624" spans="1:5">
      <c r="A2624" s="3" t="s">
        <v>2646</v>
      </c>
      <c r="B2624" s="3" t="s">
        <v>22</v>
      </c>
      <c r="C2624" s="3">
        <v>765634</v>
      </c>
      <c r="D2624" s="3">
        <v>1759</v>
      </c>
      <c r="E2624" s="3" t="s">
        <v>23</v>
      </c>
    </row>
    <row r="2625" spans="1:5">
      <c r="A2625" s="3" t="s">
        <v>2647</v>
      </c>
      <c r="B2625" s="3" t="s">
        <v>22</v>
      </c>
      <c r="C2625" s="3">
        <v>557034</v>
      </c>
      <c r="D2625" s="3">
        <v>203473</v>
      </c>
      <c r="E2625" s="3" t="s">
        <v>23</v>
      </c>
    </row>
    <row r="2626" spans="1:5">
      <c r="A2626" s="3" t="s">
        <v>2648</v>
      </c>
      <c r="B2626" s="3" t="s">
        <v>22</v>
      </c>
      <c r="C2626" s="3">
        <v>865043</v>
      </c>
      <c r="D2626" s="3">
        <v>310305</v>
      </c>
      <c r="E2626" s="3" t="s">
        <v>23</v>
      </c>
    </row>
    <row r="2627" spans="1:5">
      <c r="A2627" s="3" t="s">
        <v>2649</v>
      </c>
      <c r="B2627" s="3" t="s">
        <v>22</v>
      </c>
      <c r="C2627" s="3">
        <v>65541</v>
      </c>
      <c r="D2627" s="3">
        <v>19001</v>
      </c>
      <c r="E2627" s="3" t="s">
        <v>23</v>
      </c>
    </row>
    <row r="2628" spans="1:5">
      <c r="A2628" s="3" t="s">
        <v>2650</v>
      </c>
      <c r="B2628" s="3" t="s">
        <v>22</v>
      </c>
      <c r="C2628" s="3">
        <v>605072</v>
      </c>
      <c r="D2628" s="3">
        <v>15828</v>
      </c>
      <c r="E2628" s="3" t="s">
        <v>23</v>
      </c>
    </row>
    <row r="2629" spans="1:5">
      <c r="A2629" s="3" t="s">
        <v>2651</v>
      </c>
      <c r="B2629" s="3" t="s">
        <v>22</v>
      </c>
      <c r="C2629" s="3">
        <v>676999</v>
      </c>
      <c r="D2629" s="3">
        <v>213151</v>
      </c>
      <c r="E2629" s="3" t="s">
        <v>23</v>
      </c>
    </row>
    <row r="2630" spans="1:5">
      <c r="A2630" s="3" t="s">
        <v>2652</v>
      </c>
      <c r="B2630" s="3" t="s">
        <v>22</v>
      </c>
      <c r="C2630" s="3">
        <v>503099</v>
      </c>
      <c r="D2630" s="3">
        <v>36569</v>
      </c>
      <c r="E2630" s="3" t="s">
        <v>23</v>
      </c>
    </row>
    <row r="2631" spans="1:5">
      <c r="A2631" s="3" t="s">
        <v>2653</v>
      </c>
      <c r="B2631" s="3" t="s">
        <v>22</v>
      </c>
      <c r="C2631" s="3">
        <v>667086</v>
      </c>
      <c r="D2631" s="3">
        <v>188868</v>
      </c>
      <c r="E2631" s="3" t="s">
        <v>23</v>
      </c>
    </row>
    <row r="2632" spans="1:5">
      <c r="A2632" s="3" t="s">
        <v>2654</v>
      </c>
      <c r="B2632" s="3" t="s">
        <v>22</v>
      </c>
      <c r="C2632" s="3">
        <v>602602</v>
      </c>
      <c r="D2632" s="3">
        <v>190177</v>
      </c>
      <c r="E2632" s="3" t="s">
        <v>23</v>
      </c>
    </row>
    <row r="2633" spans="1:5">
      <c r="A2633" s="3" t="s">
        <v>2655</v>
      </c>
      <c r="B2633" s="3" t="s">
        <v>22</v>
      </c>
      <c r="C2633" s="3">
        <v>505621</v>
      </c>
      <c r="D2633" s="3">
        <v>178726</v>
      </c>
      <c r="E2633" s="3" t="s">
        <v>23</v>
      </c>
    </row>
    <row r="2634" spans="1:5">
      <c r="A2634" s="3" t="s">
        <v>2656</v>
      </c>
      <c r="B2634" s="3" t="s">
        <v>22</v>
      </c>
      <c r="C2634" s="3">
        <v>399188</v>
      </c>
      <c r="D2634" s="3">
        <v>158760</v>
      </c>
      <c r="E2634" s="3" t="s">
        <v>23</v>
      </c>
    </row>
    <row r="2635" spans="1:5">
      <c r="A2635" s="3" t="s">
        <v>2657</v>
      </c>
      <c r="B2635" s="3" t="s">
        <v>22</v>
      </c>
      <c r="C2635" s="3">
        <v>543809</v>
      </c>
      <c r="D2635" s="3">
        <v>6243</v>
      </c>
      <c r="E2635" s="3" t="s">
        <v>23</v>
      </c>
    </row>
    <row r="2636" spans="1:5">
      <c r="A2636" s="3" t="s">
        <v>2658</v>
      </c>
      <c r="B2636" s="3" t="s">
        <v>22</v>
      </c>
      <c r="C2636" s="3">
        <v>630641</v>
      </c>
      <c r="D2636" s="3">
        <v>49313</v>
      </c>
      <c r="E2636" s="3" t="s">
        <v>23</v>
      </c>
    </row>
    <row r="2637" spans="1:5">
      <c r="A2637" s="3" t="s">
        <v>2659</v>
      </c>
      <c r="B2637" s="3" t="s">
        <v>22</v>
      </c>
      <c r="C2637" s="3">
        <v>673461</v>
      </c>
      <c r="D2637" s="3">
        <v>31936</v>
      </c>
      <c r="E2637" s="3" t="s">
        <v>23</v>
      </c>
    </row>
    <row r="2638" spans="1:5">
      <c r="A2638" s="3" t="s">
        <v>2660</v>
      </c>
      <c r="B2638" s="3" t="s">
        <v>22</v>
      </c>
      <c r="C2638" s="3">
        <v>786964</v>
      </c>
      <c r="D2638" s="3">
        <v>215654</v>
      </c>
      <c r="E2638" s="3" t="s">
        <v>23</v>
      </c>
    </row>
    <row r="2639" spans="1:5">
      <c r="A2639" s="3" t="s">
        <v>2661</v>
      </c>
      <c r="B2639" s="3" t="s">
        <v>22</v>
      </c>
      <c r="C2639" s="3">
        <v>700422</v>
      </c>
      <c r="D2639" s="3">
        <v>74532</v>
      </c>
      <c r="E2639" s="3" t="s">
        <v>23</v>
      </c>
    </row>
    <row r="2640" spans="1:5">
      <c r="A2640" s="3" t="s">
        <v>2662</v>
      </c>
      <c r="B2640" s="3" t="s">
        <v>22</v>
      </c>
      <c r="C2640" s="3">
        <v>414316</v>
      </c>
      <c r="D2640" s="3">
        <v>65376</v>
      </c>
      <c r="E2640" s="3" t="s">
        <v>23</v>
      </c>
    </row>
    <row r="2641" spans="1:5">
      <c r="A2641" s="3" t="s">
        <v>2663</v>
      </c>
      <c r="B2641" s="3" t="s">
        <v>22</v>
      </c>
      <c r="C2641" s="3">
        <v>632964</v>
      </c>
      <c r="D2641" s="3">
        <v>145394</v>
      </c>
      <c r="E2641" s="3" t="s">
        <v>23</v>
      </c>
    </row>
    <row r="2642" spans="1:5">
      <c r="A2642" s="3" t="s">
        <v>2664</v>
      </c>
      <c r="B2642" s="3" t="s">
        <v>22</v>
      </c>
      <c r="C2642" s="3">
        <v>783776</v>
      </c>
      <c r="D2642" s="3">
        <v>102812</v>
      </c>
      <c r="E2642" s="3" t="s">
        <v>23</v>
      </c>
    </row>
    <row r="2643" spans="1:5">
      <c r="A2643" s="3" t="s">
        <v>2665</v>
      </c>
      <c r="B2643" s="3" t="s">
        <v>22</v>
      </c>
      <c r="C2643" s="3">
        <v>107131</v>
      </c>
      <c r="D2643" s="3">
        <v>2558</v>
      </c>
      <c r="E2643" s="3" t="s">
        <v>23</v>
      </c>
    </row>
    <row r="2644" spans="1:5">
      <c r="A2644" s="3" t="s">
        <v>2666</v>
      </c>
      <c r="B2644" s="3" t="s">
        <v>22</v>
      </c>
      <c r="C2644" s="3">
        <v>594344</v>
      </c>
      <c r="D2644" s="3">
        <v>54423</v>
      </c>
      <c r="E2644" s="3" t="s">
        <v>23</v>
      </c>
    </row>
    <row r="2645" spans="1:5">
      <c r="A2645" s="3" t="s">
        <v>2667</v>
      </c>
      <c r="B2645" s="3" t="s">
        <v>22</v>
      </c>
      <c r="C2645" s="3">
        <v>711633</v>
      </c>
      <c r="D2645" s="3">
        <v>40048</v>
      </c>
      <c r="E2645" s="3" t="s">
        <v>23</v>
      </c>
    </row>
    <row r="2646" spans="1:5">
      <c r="A2646" s="3" t="s">
        <v>2668</v>
      </c>
      <c r="B2646" s="3" t="s">
        <v>22</v>
      </c>
      <c r="C2646" s="3">
        <v>511583</v>
      </c>
      <c r="D2646" s="3">
        <v>81012</v>
      </c>
      <c r="E2646" s="3" t="s">
        <v>23</v>
      </c>
    </row>
    <row r="2647" spans="1:5">
      <c r="A2647" s="3" t="s">
        <v>2669</v>
      </c>
      <c r="B2647" s="3" t="s">
        <v>22</v>
      </c>
      <c r="C2647" s="3">
        <v>763749</v>
      </c>
      <c r="D2647" s="3">
        <v>255315</v>
      </c>
      <c r="E2647" s="3" t="s">
        <v>23</v>
      </c>
    </row>
    <row r="2648" spans="1:5">
      <c r="A2648" s="3" t="s">
        <v>2670</v>
      </c>
      <c r="B2648" s="3" t="s">
        <v>22</v>
      </c>
      <c r="C2648" s="3">
        <v>799470</v>
      </c>
      <c r="D2648" s="3">
        <v>164008</v>
      </c>
      <c r="E2648" s="3" t="s">
        <v>23</v>
      </c>
    </row>
    <row r="2649" spans="1:5">
      <c r="A2649" s="3" t="s">
        <v>2671</v>
      </c>
      <c r="B2649" s="3" t="s">
        <v>22</v>
      </c>
      <c r="C2649" s="3">
        <v>491656</v>
      </c>
      <c r="D2649" s="3">
        <v>174384</v>
      </c>
      <c r="E2649" s="3" t="s">
        <v>23</v>
      </c>
    </row>
    <row r="2650" spans="1:5">
      <c r="A2650" s="3" t="s">
        <v>2672</v>
      </c>
      <c r="B2650" s="3" t="s">
        <v>22</v>
      </c>
      <c r="C2650" s="3">
        <v>1204421</v>
      </c>
      <c r="D2650" s="3">
        <v>359946</v>
      </c>
      <c r="E2650" s="3" t="s">
        <v>23</v>
      </c>
    </row>
    <row r="2651" spans="1:5">
      <c r="A2651" s="3" t="s">
        <v>2673</v>
      </c>
      <c r="B2651" s="3" t="s">
        <v>22</v>
      </c>
      <c r="C2651" s="3">
        <v>852680</v>
      </c>
      <c r="D2651" s="3">
        <v>64350</v>
      </c>
      <c r="E2651" s="3" t="s">
        <v>23</v>
      </c>
    </row>
    <row r="2652" spans="1:5">
      <c r="A2652" s="3" t="s">
        <v>2674</v>
      </c>
      <c r="B2652" s="3" t="s">
        <v>22</v>
      </c>
      <c r="C2652" s="3">
        <v>625816</v>
      </c>
      <c r="D2652" s="3">
        <v>122307</v>
      </c>
      <c r="E2652" s="3" t="s">
        <v>23</v>
      </c>
    </row>
    <row r="2653" spans="1:5">
      <c r="A2653" s="3" t="s">
        <v>2675</v>
      </c>
      <c r="B2653" s="3" t="s">
        <v>22</v>
      </c>
      <c r="C2653" s="3">
        <v>593756</v>
      </c>
      <c r="D2653" s="3">
        <v>78016</v>
      </c>
      <c r="E2653" s="3" t="s">
        <v>23</v>
      </c>
    </row>
    <row r="2654" spans="1:5">
      <c r="A2654" s="3" t="s">
        <v>2676</v>
      </c>
      <c r="B2654" s="3" t="s">
        <v>22</v>
      </c>
      <c r="C2654" s="3">
        <v>584443</v>
      </c>
      <c r="D2654" s="3">
        <v>169087</v>
      </c>
      <c r="E2654" s="3" t="s">
        <v>23</v>
      </c>
    </row>
    <row r="2655" spans="1:5">
      <c r="A2655" s="3" t="s">
        <v>2677</v>
      </c>
      <c r="B2655" s="3" t="s">
        <v>22</v>
      </c>
      <c r="C2655" s="3">
        <v>518404</v>
      </c>
      <c r="D2655" s="3">
        <v>155494</v>
      </c>
      <c r="E2655" s="3" t="s">
        <v>23</v>
      </c>
    </row>
    <row r="2656" spans="1:5">
      <c r="A2656" s="3" t="s">
        <v>2678</v>
      </c>
      <c r="B2656" s="3" t="s">
        <v>22</v>
      </c>
      <c r="C2656" s="3">
        <v>753826</v>
      </c>
      <c r="D2656" s="3">
        <v>285452</v>
      </c>
      <c r="E2656" s="3" t="s">
        <v>23</v>
      </c>
    </row>
    <row r="2657" spans="1:5">
      <c r="A2657" s="3" t="s">
        <v>2679</v>
      </c>
      <c r="B2657" s="3" t="s">
        <v>22</v>
      </c>
      <c r="C2657" s="3">
        <v>530225</v>
      </c>
      <c r="D2657" s="3">
        <v>106116</v>
      </c>
      <c r="E2657" s="3" t="s">
        <v>23</v>
      </c>
    </row>
    <row r="2658" spans="1:5">
      <c r="A2658" s="3" t="s">
        <v>2680</v>
      </c>
      <c r="B2658" s="3" t="s">
        <v>22</v>
      </c>
      <c r="C2658" s="3">
        <v>910595</v>
      </c>
      <c r="D2658" s="3">
        <v>238257</v>
      </c>
      <c r="E2658" s="3" t="s">
        <v>23</v>
      </c>
    </row>
    <row r="2659" spans="1:5">
      <c r="A2659" s="3" t="s">
        <v>2681</v>
      </c>
      <c r="B2659" s="3" t="s">
        <v>22</v>
      </c>
      <c r="C2659" s="3">
        <v>697541</v>
      </c>
      <c r="D2659" s="3">
        <v>36758</v>
      </c>
      <c r="E2659" s="3" t="s">
        <v>23</v>
      </c>
    </row>
    <row r="2660" spans="1:5">
      <c r="A2660" s="3" t="s">
        <v>2682</v>
      </c>
      <c r="B2660" s="3" t="s">
        <v>22</v>
      </c>
      <c r="C2660" s="3">
        <v>851522</v>
      </c>
      <c r="D2660" s="3">
        <v>162782</v>
      </c>
      <c r="E2660" s="3" t="s">
        <v>23</v>
      </c>
    </row>
    <row r="2661" spans="1:5">
      <c r="A2661" s="3" t="s">
        <v>2683</v>
      </c>
      <c r="B2661" s="3" t="s">
        <v>22</v>
      </c>
      <c r="C2661" s="3">
        <v>571127</v>
      </c>
      <c r="D2661" s="3">
        <v>169208</v>
      </c>
      <c r="E2661" s="3" t="s">
        <v>23</v>
      </c>
    </row>
    <row r="2662" spans="1:5">
      <c r="A2662" s="3" t="s">
        <v>2684</v>
      </c>
      <c r="B2662" s="3" t="s">
        <v>22</v>
      </c>
      <c r="C2662" s="3">
        <v>443975</v>
      </c>
      <c r="D2662" s="3">
        <v>122010</v>
      </c>
      <c r="E2662" s="3" t="s">
        <v>23</v>
      </c>
    </row>
    <row r="2663" spans="1:5">
      <c r="A2663" s="3" t="s">
        <v>2685</v>
      </c>
      <c r="B2663" s="3" t="s">
        <v>22</v>
      </c>
      <c r="C2663" s="3">
        <v>814410</v>
      </c>
      <c r="D2663" s="3">
        <v>5224</v>
      </c>
      <c r="E2663" s="3" t="s">
        <v>23</v>
      </c>
    </row>
    <row r="2664" spans="1:5">
      <c r="A2664" s="3" t="s">
        <v>2686</v>
      </c>
      <c r="B2664" s="3" t="s">
        <v>22</v>
      </c>
      <c r="C2664" s="3">
        <v>508042</v>
      </c>
      <c r="D2664" s="3">
        <v>6417</v>
      </c>
      <c r="E2664" s="3" t="s">
        <v>23</v>
      </c>
    </row>
    <row r="2665" spans="1:5">
      <c r="A2665" s="3" t="s">
        <v>2687</v>
      </c>
      <c r="B2665" s="3" t="s">
        <v>22</v>
      </c>
      <c r="C2665" s="3">
        <v>762085</v>
      </c>
      <c r="D2665" s="3">
        <v>231862</v>
      </c>
      <c r="E2665" s="3" t="s">
        <v>23</v>
      </c>
    </row>
    <row r="2666" spans="1:5">
      <c r="A2666" s="3" t="s">
        <v>2688</v>
      </c>
      <c r="B2666" s="3" t="s">
        <v>22</v>
      </c>
      <c r="C2666" s="3">
        <v>938027</v>
      </c>
      <c r="D2666" s="3">
        <v>128645</v>
      </c>
      <c r="E2666" s="3" t="s">
        <v>23</v>
      </c>
    </row>
    <row r="2667" spans="1:5">
      <c r="A2667" s="3" t="s">
        <v>2689</v>
      </c>
      <c r="B2667" s="3" t="s">
        <v>22</v>
      </c>
      <c r="C2667" s="3">
        <v>749560</v>
      </c>
      <c r="D2667" s="3">
        <v>218224</v>
      </c>
      <c r="E2667" s="3" t="s">
        <v>23</v>
      </c>
    </row>
    <row r="2668" spans="1:5">
      <c r="A2668" s="3" t="s">
        <v>2690</v>
      </c>
      <c r="B2668" s="3" t="s">
        <v>22</v>
      </c>
      <c r="C2668" s="3">
        <v>699274</v>
      </c>
      <c r="D2668" s="3">
        <v>11107</v>
      </c>
      <c r="E2668" s="3" t="s">
        <v>23</v>
      </c>
    </row>
    <row r="2669" spans="1:5">
      <c r="A2669" s="3" t="s">
        <v>2691</v>
      </c>
      <c r="B2669" s="3" t="s">
        <v>22</v>
      </c>
      <c r="C2669" s="3">
        <v>843005</v>
      </c>
      <c r="D2669" s="3">
        <v>50270</v>
      </c>
      <c r="E2669" s="3" t="s">
        <v>23</v>
      </c>
    </row>
    <row r="2670" spans="1:5">
      <c r="A2670" s="3" t="s">
        <v>2692</v>
      </c>
      <c r="B2670" s="3" t="s">
        <v>22</v>
      </c>
      <c r="C2670" s="3">
        <v>738798</v>
      </c>
      <c r="D2670" s="3">
        <v>11518</v>
      </c>
      <c r="E2670" s="3" t="s">
        <v>23</v>
      </c>
    </row>
    <row r="2671" spans="1:5">
      <c r="A2671" s="3" t="s">
        <v>2693</v>
      </c>
      <c r="B2671" s="3" t="s">
        <v>22</v>
      </c>
      <c r="C2671" s="3">
        <v>431457</v>
      </c>
      <c r="D2671" s="3">
        <v>15666</v>
      </c>
      <c r="E2671" s="3" t="s">
        <v>23</v>
      </c>
    </row>
    <row r="2672" spans="1:5">
      <c r="A2672" s="3" t="s">
        <v>2694</v>
      </c>
      <c r="B2672" s="3" t="s">
        <v>22</v>
      </c>
      <c r="C2672" s="3">
        <v>810917</v>
      </c>
      <c r="D2672" s="3">
        <v>71812</v>
      </c>
      <c r="E2672" s="3" t="s">
        <v>23</v>
      </c>
    </row>
    <row r="2673" spans="1:5">
      <c r="A2673" s="3" t="s">
        <v>2695</v>
      </c>
      <c r="B2673" s="3" t="s">
        <v>22</v>
      </c>
      <c r="C2673" s="3">
        <v>1004088</v>
      </c>
      <c r="D2673" s="3">
        <v>266487</v>
      </c>
      <c r="E2673" s="3" t="s">
        <v>23</v>
      </c>
    </row>
    <row r="2674" spans="1:5">
      <c r="A2674" s="3" t="s">
        <v>2696</v>
      </c>
      <c r="B2674" s="3" t="s">
        <v>22</v>
      </c>
      <c r="C2674" s="3">
        <v>843977</v>
      </c>
      <c r="D2674" s="3">
        <v>275019</v>
      </c>
      <c r="E2674" s="3" t="s">
        <v>23</v>
      </c>
    </row>
    <row r="2675" spans="1:5">
      <c r="A2675" s="3" t="s">
        <v>2697</v>
      </c>
      <c r="B2675" s="3" t="s">
        <v>22</v>
      </c>
      <c r="C2675" s="3">
        <v>1116087</v>
      </c>
      <c r="D2675" s="3">
        <v>191879</v>
      </c>
      <c r="E2675" s="3" t="s">
        <v>23</v>
      </c>
    </row>
    <row r="2676" spans="1:5">
      <c r="A2676" s="3" t="s">
        <v>2698</v>
      </c>
      <c r="B2676" s="3" t="s">
        <v>22</v>
      </c>
      <c r="C2676" s="3">
        <v>923167</v>
      </c>
      <c r="D2676" s="3">
        <v>132803</v>
      </c>
      <c r="E2676" s="3" t="s">
        <v>23</v>
      </c>
    </row>
    <row r="2677" spans="1:5">
      <c r="A2677" s="3" t="s">
        <v>2699</v>
      </c>
      <c r="B2677" s="3" t="s">
        <v>22</v>
      </c>
      <c r="C2677" s="3">
        <v>875032</v>
      </c>
      <c r="D2677" s="3">
        <v>195320</v>
      </c>
      <c r="E2677" s="3" t="s">
        <v>23</v>
      </c>
    </row>
    <row r="2678" spans="1:5">
      <c r="A2678" s="3" t="s">
        <v>2700</v>
      </c>
      <c r="B2678" s="3" t="s">
        <v>22</v>
      </c>
      <c r="C2678" s="3">
        <v>607972</v>
      </c>
      <c r="D2678" s="3">
        <v>168989</v>
      </c>
      <c r="E2678" s="3" t="s">
        <v>23</v>
      </c>
    </row>
    <row r="2679" spans="1:5">
      <c r="A2679" s="3" t="s">
        <v>2701</v>
      </c>
      <c r="B2679" s="3" t="s">
        <v>22</v>
      </c>
      <c r="C2679" s="3">
        <v>937663</v>
      </c>
      <c r="D2679" s="3">
        <v>236516</v>
      </c>
      <c r="E2679" s="3" t="s">
        <v>23</v>
      </c>
    </row>
    <row r="2680" spans="1:5">
      <c r="A2680" s="3" t="s">
        <v>2702</v>
      </c>
      <c r="B2680" s="3" t="s">
        <v>22</v>
      </c>
      <c r="C2680" s="3">
        <v>255445</v>
      </c>
      <c r="D2680" s="3">
        <v>86173</v>
      </c>
      <c r="E2680" s="3" t="s">
        <v>23</v>
      </c>
    </row>
    <row r="2681" spans="1:5">
      <c r="A2681" s="3" t="s">
        <v>2703</v>
      </c>
      <c r="B2681" s="3" t="s">
        <v>22</v>
      </c>
      <c r="C2681" s="3">
        <v>919917</v>
      </c>
      <c r="D2681" s="3">
        <v>204304</v>
      </c>
      <c r="E2681" s="3" t="s">
        <v>23</v>
      </c>
    </row>
    <row r="2682" spans="1:5">
      <c r="A2682" s="3" t="s">
        <v>2704</v>
      </c>
      <c r="B2682" s="3" t="s">
        <v>22</v>
      </c>
      <c r="C2682" s="3">
        <v>1057154</v>
      </c>
      <c r="D2682" s="3">
        <v>226118</v>
      </c>
      <c r="E2682" s="3" t="s">
        <v>23</v>
      </c>
    </row>
    <row r="2683" spans="1:5">
      <c r="A2683" s="3" t="s">
        <v>2705</v>
      </c>
      <c r="B2683" s="3" t="s">
        <v>22</v>
      </c>
      <c r="C2683" s="3">
        <v>472906</v>
      </c>
      <c r="D2683" s="3">
        <v>66521</v>
      </c>
      <c r="E2683" s="3" t="s">
        <v>23</v>
      </c>
    </row>
    <row r="2684" spans="1:5">
      <c r="A2684" s="3" t="s">
        <v>2706</v>
      </c>
      <c r="B2684" s="3" t="s">
        <v>22</v>
      </c>
      <c r="C2684" s="3">
        <v>848282</v>
      </c>
      <c r="D2684" s="3">
        <v>166566</v>
      </c>
      <c r="E2684" s="3" t="s">
        <v>23</v>
      </c>
    </row>
    <row r="2685" spans="1:5">
      <c r="A2685" s="3" t="s">
        <v>2707</v>
      </c>
      <c r="B2685" s="3" t="s">
        <v>22</v>
      </c>
      <c r="C2685" s="3">
        <v>784039</v>
      </c>
      <c r="D2685" s="3">
        <v>155392</v>
      </c>
      <c r="E2685" s="3" t="s">
        <v>23</v>
      </c>
    </row>
    <row r="2686" spans="1:5">
      <c r="A2686" s="3" t="s">
        <v>2708</v>
      </c>
      <c r="B2686" s="3" t="s">
        <v>22</v>
      </c>
      <c r="C2686" s="3">
        <v>228566</v>
      </c>
      <c r="D2686" s="3">
        <v>43974</v>
      </c>
      <c r="E2686" s="3" t="s">
        <v>23</v>
      </c>
    </row>
    <row r="2687" spans="1:5">
      <c r="A2687" s="3" t="s">
        <v>2709</v>
      </c>
      <c r="B2687" s="3" t="s">
        <v>22</v>
      </c>
      <c r="C2687" s="3">
        <v>802723</v>
      </c>
      <c r="D2687" s="3">
        <v>202893</v>
      </c>
      <c r="E2687" s="3" t="s">
        <v>23</v>
      </c>
    </row>
    <row r="2688" spans="1:5">
      <c r="A2688" s="3" t="s">
        <v>2710</v>
      </c>
      <c r="B2688" s="3" t="s">
        <v>22</v>
      </c>
      <c r="C2688" s="3">
        <v>514258</v>
      </c>
      <c r="D2688" s="3">
        <v>7400</v>
      </c>
      <c r="E2688" s="3" t="s">
        <v>23</v>
      </c>
    </row>
    <row r="2689" spans="1:5">
      <c r="A2689" s="3" t="s">
        <v>2711</v>
      </c>
      <c r="B2689" s="3" t="s">
        <v>22</v>
      </c>
      <c r="C2689" s="3">
        <v>945430</v>
      </c>
      <c r="D2689" s="3">
        <v>11302</v>
      </c>
      <c r="E2689" s="3" t="s">
        <v>23</v>
      </c>
    </row>
    <row r="2690" spans="1:5">
      <c r="A2690" s="3" t="s">
        <v>2712</v>
      </c>
      <c r="B2690" s="3" t="s">
        <v>22</v>
      </c>
      <c r="C2690" s="3">
        <v>390250</v>
      </c>
      <c r="D2690" s="3">
        <v>96261</v>
      </c>
      <c r="E2690" s="3" t="s">
        <v>23</v>
      </c>
    </row>
    <row r="2691" spans="1:5">
      <c r="A2691" s="3" t="s">
        <v>2713</v>
      </c>
      <c r="B2691" s="3" t="s">
        <v>22</v>
      </c>
      <c r="C2691" s="3">
        <v>1023951</v>
      </c>
      <c r="D2691" s="3">
        <v>266019</v>
      </c>
      <c r="E2691" s="3" t="s">
        <v>23</v>
      </c>
    </row>
    <row r="2692" spans="1:5">
      <c r="A2692" s="3" t="s">
        <v>2714</v>
      </c>
      <c r="B2692" s="3" t="s">
        <v>22</v>
      </c>
      <c r="C2692" s="3">
        <v>567214</v>
      </c>
      <c r="D2692" s="3">
        <v>162304</v>
      </c>
      <c r="E2692" s="3" t="s">
        <v>23</v>
      </c>
    </row>
    <row r="2693" spans="1:5">
      <c r="A2693" s="3" t="s">
        <v>2715</v>
      </c>
      <c r="B2693" s="3" t="s">
        <v>22</v>
      </c>
      <c r="C2693" s="3">
        <v>587750</v>
      </c>
      <c r="D2693" s="3">
        <v>61989</v>
      </c>
      <c r="E2693" s="3" t="s">
        <v>23</v>
      </c>
    </row>
    <row r="2694" spans="1:5">
      <c r="A2694" s="3" t="s">
        <v>2716</v>
      </c>
      <c r="B2694" s="3" t="s">
        <v>22</v>
      </c>
      <c r="C2694" s="3">
        <v>509775</v>
      </c>
      <c r="D2694" s="3">
        <v>22487</v>
      </c>
      <c r="E2694" s="3" t="s">
        <v>23</v>
      </c>
    </row>
    <row r="2695" spans="1:5">
      <c r="A2695" s="3" t="s">
        <v>2717</v>
      </c>
      <c r="B2695" s="3" t="s">
        <v>22</v>
      </c>
      <c r="C2695" s="3">
        <v>589000</v>
      </c>
      <c r="D2695" s="3">
        <v>13197</v>
      </c>
      <c r="E2695" s="3" t="s">
        <v>23</v>
      </c>
    </row>
    <row r="2696" spans="1:5">
      <c r="A2696" s="3" t="s">
        <v>2718</v>
      </c>
      <c r="B2696" s="3" t="s">
        <v>22</v>
      </c>
      <c r="C2696" s="3">
        <v>491813</v>
      </c>
      <c r="D2696" s="3">
        <v>177251</v>
      </c>
      <c r="E2696" s="3" t="s">
        <v>23</v>
      </c>
    </row>
    <row r="2697" spans="1:5">
      <c r="A2697" s="3" t="s">
        <v>2719</v>
      </c>
      <c r="B2697" s="3" t="s">
        <v>22</v>
      </c>
      <c r="C2697" s="3">
        <v>808653</v>
      </c>
      <c r="D2697" s="3">
        <v>12911</v>
      </c>
      <c r="E2697" s="3" t="s">
        <v>23</v>
      </c>
    </row>
    <row r="2698" spans="1:5">
      <c r="A2698" s="3" t="s">
        <v>2720</v>
      </c>
      <c r="B2698" s="3" t="s">
        <v>22</v>
      </c>
      <c r="C2698" s="3">
        <v>324303</v>
      </c>
      <c r="D2698" s="3">
        <v>47279</v>
      </c>
      <c r="E2698" s="3" t="s">
        <v>23</v>
      </c>
    </row>
    <row r="2699" spans="1:5">
      <c r="A2699" s="3" t="s">
        <v>2721</v>
      </c>
      <c r="B2699" s="3" t="s">
        <v>22</v>
      </c>
      <c r="C2699" s="3">
        <v>466432</v>
      </c>
      <c r="D2699" s="3">
        <v>164324</v>
      </c>
      <c r="E2699" s="3" t="s">
        <v>23</v>
      </c>
    </row>
    <row r="2700" spans="1:5">
      <c r="A2700" s="3" t="s">
        <v>2722</v>
      </c>
      <c r="B2700" s="3" t="s">
        <v>22</v>
      </c>
      <c r="C2700" s="3">
        <v>264574</v>
      </c>
      <c r="D2700" s="3">
        <v>95357</v>
      </c>
      <c r="E2700" s="3" t="s">
        <v>23</v>
      </c>
    </row>
    <row r="2701" spans="1:5">
      <c r="A2701" s="3" t="s">
        <v>2723</v>
      </c>
      <c r="B2701" s="3" t="s">
        <v>22</v>
      </c>
      <c r="C2701" s="3">
        <v>416550</v>
      </c>
      <c r="D2701" s="3">
        <v>19180</v>
      </c>
      <c r="E2701" s="3" t="s">
        <v>23</v>
      </c>
    </row>
    <row r="2702" spans="1:5">
      <c r="A2702" s="3" t="s">
        <v>2724</v>
      </c>
      <c r="B2702" s="3" t="s">
        <v>22</v>
      </c>
      <c r="C2702" s="3">
        <v>347009</v>
      </c>
      <c r="D2702" s="3">
        <v>33966</v>
      </c>
      <c r="E2702" s="3" t="s">
        <v>23</v>
      </c>
    </row>
    <row r="2703" spans="1:5">
      <c r="A2703" s="3" t="s">
        <v>2725</v>
      </c>
      <c r="B2703" s="3" t="s">
        <v>22</v>
      </c>
      <c r="C2703" s="3">
        <v>305789</v>
      </c>
      <c r="D2703" s="3">
        <v>84884</v>
      </c>
      <c r="E2703" s="3" t="s">
        <v>23</v>
      </c>
    </row>
    <row r="2704" spans="1:5">
      <c r="A2704" s="3" t="s">
        <v>2726</v>
      </c>
      <c r="B2704" s="3" t="s">
        <v>22</v>
      </c>
      <c r="C2704" s="3">
        <v>322070</v>
      </c>
      <c r="D2704" s="3">
        <v>86992</v>
      </c>
      <c r="E2704" s="3" t="s">
        <v>23</v>
      </c>
    </row>
    <row r="2705" spans="1:5">
      <c r="A2705" s="3" t="s">
        <v>2727</v>
      </c>
      <c r="B2705" s="3" t="s">
        <v>22</v>
      </c>
      <c r="C2705" s="3">
        <v>279234</v>
      </c>
      <c r="D2705" s="3">
        <v>11084</v>
      </c>
      <c r="E2705" s="3" t="s">
        <v>23</v>
      </c>
    </row>
    <row r="2706" spans="1:5">
      <c r="A2706" s="3" t="s">
        <v>2728</v>
      </c>
      <c r="B2706" s="3" t="s">
        <v>22</v>
      </c>
      <c r="C2706" s="3">
        <v>276206</v>
      </c>
      <c r="D2706" s="3">
        <v>1405</v>
      </c>
      <c r="E2706" s="3" t="s">
        <v>23</v>
      </c>
    </row>
    <row r="2707" spans="1:5">
      <c r="A2707" s="3" t="s">
        <v>2729</v>
      </c>
      <c r="B2707" s="3" t="s">
        <v>22</v>
      </c>
      <c r="C2707" s="3">
        <v>429964</v>
      </c>
      <c r="D2707" s="3">
        <v>155397</v>
      </c>
      <c r="E2707" s="3" t="s">
        <v>23</v>
      </c>
    </row>
    <row r="2708" spans="1:5">
      <c r="A2708" s="3" t="s">
        <v>2730</v>
      </c>
      <c r="B2708" s="3" t="s">
        <v>22</v>
      </c>
      <c r="C2708" s="3">
        <v>497630</v>
      </c>
      <c r="D2708" s="3">
        <v>34775</v>
      </c>
      <c r="E2708" s="3" t="s">
        <v>23</v>
      </c>
    </row>
    <row r="2709" spans="1:5">
      <c r="A2709" s="3" t="s">
        <v>2731</v>
      </c>
      <c r="B2709" s="3" t="s">
        <v>22</v>
      </c>
      <c r="C2709" s="3">
        <v>230043</v>
      </c>
      <c r="D2709" s="3">
        <v>86278</v>
      </c>
      <c r="E2709" s="3" t="s">
        <v>23</v>
      </c>
    </row>
    <row r="2710" spans="1:5">
      <c r="A2710" s="3" t="s">
        <v>2732</v>
      </c>
      <c r="B2710" s="3" t="s">
        <v>22</v>
      </c>
      <c r="C2710" s="3">
        <v>263344</v>
      </c>
      <c r="D2710" s="3">
        <v>23360</v>
      </c>
      <c r="E2710" s="3" t="s">
        <v>23</v>
      </c>
    </row>
    <row r="2711" spans="1:5">
      <c r="A2711" s="3" t="s">
        <v>2733</v>
      </c>
      <c r="B2711" s="3" t="s">
        <v>22</v>
      </c>
      <c r="C2711" s="3">
        <v>213998</v>
      </c>
      <c r="D2711" s="3">
        <v>78856</v>
      </c>
      <c r="E2711" s="3" t="s">
        <v>23</v>
      </c>
    </row>
    <row r="2712" spans="1:5">
      <c r="A2712" s="3" t="s">
        <v>2734</v>
      </c>
      <c r="B2712" s="3" t="s">
        <v>22</v>
      </c>
      <c r="C2712" s="3">
        <v>247400</v>
      </c>
      <c r="D2712" s="3">
        <v>656</v>
      </c>
      <c r="E2712" s="3" t="s">
        <v>23</v>
      </c>
    </row>
    <row r="2713" spans="1:5">
      <c r="A2713" s="3" t="s">
        <v>2735</v>
      </c>
      <c r="B2713" s="3" t="s">
        <v>22</v>
      </c>
      <c r="C2713" s="3">
        <v>568899</v>
      </c>
      <c r="D2713" s="3">
        <v>78324</v>
      </c>
      <c r="E2713" s="3" t="s">
        <v>23</v>
      </c>
    </row>
    <row r="2714" spans="1:5">
      <c r="A2714" s="3" t="s">
        <v>2736</v>
      </c>
      <c r="B2714" s="3" t="s">
        <v>22</v>
      </c>
      <c r="C2714" s="3">
        <v>382778</v>
      </c>
      <c r="D2714" s="3">
        <v>131118</v>
      </c>
      <c r="E2714" s="3" t="s">
        <v>23</v>
      </c>
    </row>
    <row r="2715" spans="1:5">
      <c r="A2715" s="3" t="s">
        <v>2737</v>
      </c>
      <c r="B2715" s="3" t="s">
        <v>22</v>
      </c>
      <c r="C2715" s="3">
        <v>452284</v>
      </c>
      <c r="D2715" s="3">
        <v>143162</v>
      </c>
      <c r="E2715" s="3" t="s">
        <v>23</v>
      </c>
    </row>
    <row r="2716" spans="1:5">
      <c r="A2716" s="3" t="s">
        <v>2738</v>
      </c>
      <c r="B2716" s="3" t="s">
        <v>22</v>
      </c>
      <c r="C2716" s="3">
        <v>326203</v>
      </c>
      <c r="D2716" s="3">
        <v>93704</v>
      </c>
      <c r="E2716" s="3" t="s">
        <v>23</v>
      </c>
    </row>
    <row r="2717" spans="1:5">
      <c r="A2717" s="3" t="s">
        <v>2739</v>
      </c>
      <c r="B2717" s="3" t="s">
        <v>22</v>
      </c>
      <c r="C2717" s="3">
        <v>245208</v>
      </c>
      <c r="D2717" s="3">
        <v>258</v>
      </c>
      <c r="E2717" s="3" t="s">
        <v>23</v>
      </c>
    </row>
    <row r="2718" spans="1:5">
      <c r="A2718" s="3" t="s">
        <v>2740</v>
      </c>
      <c r="B2718" s="3" t="s">
        <v>22</v>
      </c>
      <c r="C2718" s="3">
        <v>300331</v>
      </c>
      <c r="D2718" s="3">
        <v>106065</v>
      </c>
      <c r="E2718" s="3" t="s">
        <v>23</v>
      </c>
    </row>
    <row r="2719" spans="1:5">
      <c r="A2719" s="3" t="s">
        <v>2741</v>
      </c>
      <c r="B2719" s="3" t="s">
        <v>22</v>
      </c>
      <c r="C2719" s="3">
        <v>433591</v>
      </c>
      <c r="D2719" s="3">
        <v>88525</v>
      </c>
      <c r="E2719" s="3" t="s">
        <v>23</v>
      </c>
    </row>
    <row r="2720" spans="1:5">
      <c r="A2720" s="3" t="s">
        <v>2742</v>
      </c>
      <c r="B2720" s="3" t="s">
        <v>22</v>
      </c>
      <c r="C2720" s="3">
        <v>107164</v>
      </c>
      <c r="D2720" s="3">
        <v>8941</v>
      </c>
      <c r="E2720" s="3" t="s">
        <v>23</v>
      </c>
    </row>
    <row r="2721" spans="1:5">
      <c r="A2721" s="3" t="s">
        <v>2743</v>
      </c>
      <c r="B2721" s="3" t="s">
        <v>22</v>
      </c>
      <c r="C2721" s="3">
        <v>273650</v>
      </c>
      <c r="D2721" s="3">
        <v>3974</v>
      </c>
      <c r="E2721" s="3" t="s">
        <v>23</v>
      </c>
    </row>
    <row r="2722" spans="1:5">
      <c r="A2722" s="3" t="s">
        <v>2744</v>
      </c>
      <c r="B2722" s="3" t="s">
        <v>22</v>
      </c>
      <c r="C2722" s="3">
        <v>491514</v>
      </c>
      <c r="D2722" s="3">
        <v>160615</v>
      </c>
      <c r="E2722" s="3" t="s">
        <v>23</v>
      </c>
    </row>
    <row r="2723" spans="1:5">
      <c r="A2723" s="3" t="s">
        <v>2745</v>
      </c>
      <c r="B2723" s="3" t="s">
        <v>22</v>
      </c>
      <c r="C2723" s="3">
        <v>492201</v>
      </c>
      <c r="D2723" s="3">
        <v>83178</v>
      </c>
      <c r="E2723" s="3" t="s">
        <v>23</v>
      </c>
    </row>
    <row r="2724" spans="1:5">
      <c r="A2724" s="3" t="s">
        <v>2746</v>
      </c>
      <c r="B2724" s="3" t="s">
        <v>22</v>
      </c>
      <c r="C2724" s="3">
        <v>404237</v>
      </c>
      <c r="D2724" s="3">
        <v>64805</v>
      </c>
      <c r="E2724" s="3" t="s">
        <v>23</v>
      </c>
    </row>
    <row r="2725" spans="1:5">
      <c r="A2725" s="3" t="s">
        <v>2747</v>
      </c>
      <c r="B2725" s="3" t="s">
        <v>22</v>
      </c>
      <c r="C2725" s="3">
        <v>351526</v>
      </c>
      <c r="D2725" s="3">
        <v>83240</v>
      </c>
      <c r="E2725" s="3" t="s">
        <v>23</v>
      </c>
    </row>
    <row r="2726" spans="1:5">
      <c r="A2726" s="3" t="s">
        <v>2748</v>
      </c>
      <c r="B2726" s="3" t="s">
        <v>22</v>
      </c>
      <c r="C2726" s="3">
        <v>442125</v>
      </c>
      <c r="D2726" s="3">
        <v>135804</v>
      </c>
      <c r="E2726" s="3" t="s">
        <v>23</v>
      </c>
    </row>
    <row r="2727" spans="1:5">
      <c r="A2727" s="3" t="s">
        <v>2749</v>
      </c>
      <c r="B2727" s="3" t="s">
        <v>22</v>
      </c>
      <c r="C2727" s="3">
        <v>117168</v>
      </c>
      <c r="D2727" s="3">
        <v>41590</v>
      </c>
      <c r="E2727" s="3" t="s">
        <v>23</v>
      </c>
    </row>
    <row r="2728" spans="1:5">
      <c r="A2728" s="3" t="s">
        <v>2750</v>
      </c>
      <c r="B2728" s="3" t="s">
        <v>22</v>
      </c>
      <c r="C2728" s="3">
        <v>367614</v>
      </c>
      <c r="D2728" s="3">
        <v>6508</v>
      </c>
      <c r="E2728" s="3" t="s">
        <v>23</v>
      </c>
    </row>
    <row r="2729" spans="1:5">
      <c r="A2729" s="3" t="s">
        <v>2751</v>
      </c>
      <c r="B2729" s="3" t="s">
        <v>22</v>
      </c>
      <c r="C2729" s="3">
        <v>334272</v>
      </c>
      <c r="D2729" s="3">
        <v>85750</v>
      </c>
      <c r="E2729" s="3" t="s">
        <v>23</v>
      </c>
    </row>
    <row r="2730" spans="1:5">
      <c r="A2730" s="3" t="s">
        <v>2752</v>
      </c>
      <c r="B2730" s="3" t="s">
        <v>22</v>
      </c>
      <c r="C2730" s="3">
        <v>475994</v>
      </c>
      <c r="D2730" s="3">
        <v>31974</v>
      </c>
      <c r="E2730" s="3" t="s">
        <v>23</v>
      </c>
    </row>
    <row r="2731" spans="1:5">
      <c r="A2731" s="3" t="s">
        <v>2753</v>
      </c>
      <c r="B2731" s="3" t="s">
        <v>22</v>
      </c>
      <c r="C2731" s="3">
        <v>578825</v>
      </c>
      <c r="D2731" s="3">
        <v>64122</v>
      </c>
      <c r="E2731" s="3" t="s">
        <v>23</v>
      </c>
    </row>
    <row r="2732" spans="1:5">
      <c r="A2732" s="3" t="s">
        <v>2754</v>
      </c>
      <c r="B2732" s="3" t="s">
        <v>22</v>
      </c>
      <c r="C2732" s="3">
        <v>491888</v>
      </c>
      <c r="D2732" s="3">
        <v>139787</v>
      </c>
      <c r="E2732" s="3" t="s">
        <v>23</v>
      </c>
    </row>
    <row r="2733" spans="1:5">
      <c r="A2733" s="3" t="s">
        <v>2755</v>
      </c>
      <c r="B2733" s="3" t="s">
        <v>22</v>
      </c>
      <c r="C2733" s="3">
        <v>292137</v>
      </c>
      <c r="D2733" s="3">
        <v>55950</v>
      </c>
      <c r="E2733" s="3" t="s">
        <v>23</v>
      </c>
    </row>
    <row r="2734" spans="1:5">
      <c r="A2734" s="3" t="s">
        <v>2756</v>
      </c>
      <c r="B2734" s="3" t="s">
        <v>22</v>
      </c>
      <c r="C2734" s="3">
        <v>432221</v>
      </c>
      <c r="D2734" s="3">
        <v>96024</v>
      </c>
      <c r="E2734" s="3" t="s">
        <v>23</v>
      </c>
    </row>
    <row r="2735" spans="1:5">
      <c r="A2735" s="3" t="s">
        <v>2757</v>
      </c>
      <c r="B2735" s="3" t="s">
        <v>22</v>
      </c>
      <c r="C2735" s="3">
        <v>435507</v>
      </c>
      <c r="D2735" s="3">
        <v>74122</v>
      </c>
      <c r="E2735" s="3" t="s">
        <v>23</v>
      </c>
    </row>
    <row r="2736" spans="1:5">
      <c r="A2736" s="3" t="s">
        <v>2758</v>
      </c>
      <c r="B2736" s="3" t="s">
        <v>22</v>
      </c>
      <c r="C2736" s="3">
        <v>362931</v>
      </c>
      <c r="D2736" s="3">
        <v>80060</v>
      </c>
      <c r="E2736" s="3" t="s">
        <v>23</v>
      </c>
    </row>
    <row r="2737" spans="1:5">
      <c r="A2737" s="3" t="s">
        <v>2759</v>
      </c>
      <c r="B2737" s="3" t="s">
        <v>22</v>
      </c>
      <c r="C2737" s="3">
        <v>409651</v>
      </c>
      <c r="D2737" s="3">
        <v>39191</v>
      </c>
      <c r="E2737" s="3" t="s">
        <v>23</v>
      </c>
    </row>
    <row r="2738" spans="1:5">
      <c r="A2738" s="3" t="s">
        <v>2760</v>
      </c>
      <c r="B2738" s="3" t="s">
        <v>22</v>
      </c>
      <c r="C2738" s="3">
        <v>402476</v>
      </c>
      <c r="D2738" s="3">
        <v>43281</v>
      </c>
      <c r="E2738" s="3" t="s">
        <v>23</v>
      </c>
    </row>
    <row r="2739" spans="1:5">
      <c r="A2739" s="3" t="s">
        <v>2761</v>
      </c>
      <c r="B2739" s="3" t="s">
        <v>22</v>
      </c>
      <c r="C2739" s="3">
        <v>534284</v>
      </c>
      <c r="D2739" s="3">
        <v>68258</v>
      </c>
      <c r="E2739" s="3" t="s">
        <v>23</v>
      </c>
    </row>
    <row r="2740" spans="1:5">
      <c r="A2740" s="3" t="s">
        <v>2762</v>
      </c>
      <c r="B2740" s="3" t="s">
        <v>22</v>
      </c>
      <c r="C2740" s="3">
        <v>384151</v>
      </c>
      <c r="D2740" s="3">
        <v>80945</v>
      </c>
      <c r="E2740" s="3" t="s">
        <v>23</v>
      </c>
    </row>
    <row r="2741" spans="1:5">
      <c r="A2741" s="3" t="s">
        <v>2763</v>
      </c>
      <c r="B2741" s="3" t="s">
        <v>22</v>
      </c>
      <c r="C2741" s="3">
        <v>369219</v>
      </c>
      <c r="D2741" s="3">
        <v>70131</v>
      </c>
      <c r="E2741" s="3" t="s">
        <v>23</v>
      </c>
    </row>
    <row r="2742" spans="1:5">
      <c r="A2742" s="3" t="s">
        <v>2764</v>
      </c>
      <c r="B2742" s="3" t="s">
        <v>22</v>
      </c>
      <c r="C2742" s="3">
        <v>294451</v>
      </c>
      <c r="D2742" s="3">
        <v>97585</v>
      </c>
      <c r="E2742" s="3" t="s">
        <v>23</v>
      </c>
    </row>
    <row r="2743" spans="1:5">
      <c r="A2743" s="3" t="s">
        <v>2765</v>
      </c>
      <c r="B2743" s="3" t="s">
        <v>22</v>
      </c>
      <c r="C2743" s="3">
        <v>578586</v>
      </c>
      <c r="D2743" s="3">
        <v>61048</v>
      </c>
      <c r="E2743" s="3" t="s">
        <v>23</v>
      </c>
    </row>
    <row r="2744" spans="1:5">
      <c r="A2744" s="3" t="s">
        <v>2766</v>
      </c>
      <c r="B2744" s="3" t="s">
        <v>22</v>
      </c>
      <c r="C2744" s="3">
        <v>487368</v>
      </c>
      <c r="D2744" s="3">
        <v>29775</v>
      </c>
      <c r="E2744" s="3" t="s">
        <v>23</v>
      </c>
    </row>
    <row r="2745" spans="1:5">
      <c r="A2745" s="3" t="s">
        <v>2767</v>
      </c>
      <c r="B2745" s="3" t="s">
        <v>22</v>
      </c>
      <c r="C2745" s="3">
        <v>295330</v>
      </c>
      <c r="D2745" s="3">
        <v>40582</v>
      </c>
      <c r="E2745" s="3" t="s">
        <v>23</v>
      </c>
    </row>
    <row r="2746" spans="1:5">
      <c r="A2746" s="3" t="s">
        <v>2768</v>
      </c>
      <c r="B2746" s="3" t="s">
        <v>22</v>
      </c>
      <c r="C2746" s="3">
        <v>436334</v>
      </c>
      <c r="D2746" s="3">
        <v>73562</v>
      </c>
      <c r="E2746" s="3" t="s">
        <v>23</v>
      </c>
    </row>
    <row r="2747" spans="1:5">
      <c r="A2747" s="3" t="s">
        <v>2769</v>
      </c>
      <c r="B2747" s="3" t="s">
        <v>22</v>
      </c>
      <c r="C2747" s="3">
        <v>554126</v>
      </c>
      <c r="D2747" s="3">
        <v>121054</v>
      </c>
      <c r="E2747" s="3" t="s">
        <v>23</v>
      </c>
    </row>
    <row r="2748" spans="1:5">
      <c r="A2748" s="3" t="s">
        <v>2770</v>
      </c>
      <c r="B2748" s="3" t="s">
        <v>22</v>
      </c>
      <c r="C2748" s="3">
        <v>342301</v>
      </c>
      <c r="D2748" s="3">
        <v>91434</v>
      </c>
      <c r="E2748" s="3" t="s">
        <v>23</v>
      </c>
    </row>
    <row r="2749" spans="1:5">
      <c r="A2749" s="3" t="s">
        <v>2771</v>
      </c>
      <c r="B2749" s="3" t="s">
        <v>22</v>
      </c>
      <c r="C2749" s="3">
        <v>289453</v>
      </c>
      <c r="D2749" s="3">
        <v>73328</v>
      </c>
      <c r="E2749" s="3" t="s">
        <v>23</v>
      </c>
    </row>
    <row r="2750" spans="1:5">
      <c r="A2750" s="3" t="s">
        <v>2772</v>
      </c>
      <c r="B2750" s="3" t="s">
        <v>22</v>
      </c>
      <c r="C2750" s="3">
        <v>384881</v>
      </c>
      <c r="D2750" s="3">
        <v>86364</v>
      </c>
      <c r="E2750" s="3" t="s">
        <v>23</v>
      </c>
    </row>
    <row r="2751" spans="1:5">
      <c r="A2751" s="3" t="s">
        <v>2773</v>
      </c>
      <c r="B2751" s="3" t="s">
        <v>22</v>
      </c>
      <c r="C2751" s="3">
        <v>388888</v>
      </c>
      <c r="D2751" s="3">
        <v>36364</v>
      </c>
      <c r="E2751" s="3" t="s">
        <v>23</v>
      </c>
    </row>
    <row r="2752" spans="1:5">
      <c r="A2752" s="3" t="s">
        <v>2774</v>
      </c>
      <c r="B2752" s="3" t="s">
        <v>22</v>
      </c>
      <c r="C2752" s="3">
        <v>356500</v>
      </c>
      <c r="D2752" s="3">
        <v>77204</v>
      </c>
      <c r="E2752" s="3" t="s">
        <v>23</v>
      </c>
    </row>
    <row r="2753" spans="1:5">
      <c r="A2753" s="3" t="s">
        <v>2775</v>
      </c>
      <c r="B2753" s="3" t="s">
        <v>22</v>
      </c>
      <c r="C2753" s="3">
        <v>570102</v>
      </c>
      <c r="D2753" s="3">
        <v>87735</v>
      </c>
      <c r="E2753" s="3" t="s">
        <v>23</v>
      </c>
    </row>
    <row r="2754" spans="1:5">
      <c r="A2754" s="3" t="s">
        <v>2776</v>
      </c>
      <c r="B2754" s="3" t="s">
        <v>22</v>
      </c>
      <c r="C2754" s="3">
        <v>390190</v>
      </c>
      <c r="D2754" s="3">
        <v>94614</v>
      </c>
      <c r="E2754" s="3" t="s">
        <v>23</v>
      </c>
    </row>
    <row r="2755" spans="1:5">
      <c r="A2755" s="3" t="s">
        <v>2777</v>
      </c>
      <c r="B2755" s="3" t="s">
        <v>22</v>
      </c>
      <c r="C2755" s="3">
        <v>330868</v>
      </c>
      <c r="D2755" s="3">
        <v>66495</v>
      </c>
      <c r="E2755" s="3" t="s">
        <v>23</v>
      </c>
    </row>
    <row r="2756" spans="1:5">
      <c r="A2756" s="3" t="s">
        <v>2778</v>
      </c>
      <c r="B2756" s="3" t="s">
        <v>22</v>
      </c>
      <c r="C2756" s="3">
        <v>316437</v>
      </c>
      <c r="D2756" s="3">
        <v>2318</v>
      </c>
      <c r="E2756" s="3" t="s">
        <v>23</v>
      </c>
    </row>
    <row r="2757" spans="1:5">
      <c r="A2757" s="3" t="s">
        <v>2779</v>
      </c>
      <c r="B2757" s="3" t="s">
        <v>22</v>
      </c>
      <c r="C2757" s="3">
        <v>376958</v>
      </c>
      <c r="D2757" s="3">
        <v>1179</v>
      </c>
      <c r="E2757" s="3" t="s">
        <v>23</v>
      </c>
    </row>
    <row r="2758" spans="1:5">
      <c r="A2758" s="3" t="s">
        <v>2780</v>
      </c>
      <c r="B2758" s="3" t="s">
        <v>22</v>
      </c>
      <c r="C2758" s="3">
        <v>326032</v>
      </c>
      <c r="D2758" s="3">
        <v>61351</v>
      </c>
      <c r="E2758" s="3" t="s">
        <v>23</v>
      </c>
    </row>
    <row r="2759" spans="1:5">
      <c r="A2759" s="3" t="s">
        <v>2781</v>
      </c>
      <c r="B2759" s="3" t="s">
        <v>22</v>
      </c>
      <c r="C2759" s="3">
        <v>472570</v>
      </c>
      <c r="D2759" s="3">
        <v>51902</v>
      </c>
      <c r="E2759" s="3" t="s">
        <v>23</v>
      </c>
    </row>
    <row r="2760" spans="1:5">
      <c r="A2760" s="3" t="s">
        <v>2782</v>
      </c>
      <c r="B2760" s="3" t="s">
        <v>22</v>
      </c>
      <c r="C2760" s="3">
        <v>386163</v>
      </c>
      <c r="D2760" s="3">
        <v>66441</v>
      </c>
      <c r="E2760" s="3" t="s">
        <v>23</v>
      </c>
    </row>
    <row r="2761" spans="1:5">
      <c r="A2761" s="3" t="s">
        <v>2783</v>
      </c>
      <c r="B2761" s="3" t="s">
        <v>22</v>
      </c>
      <c r="C2761" s="3">
        <v>517486</v>
      </c>
      <c r="D2761" s="3">
        <v>3762</v>
      </c>
      <c r="E2761" s="3" t="s">
        <v>23</v>
      </c>
    </row>
    <row r="2762" spans="1:5">
      <c r="A2762" s="3" t="s">
        <v>2784</v>
      </c>
      <c r="B2762" s="3" t="s">
        <v>22</v>
      </c>
      <c r="C2762" s="3">
        <v>540799</v>
      </c>
      <c r="D2762" s="3">
        <v>34400</v>
      </c>
      <c r="E2762" s="3" t="s">
        <v>23</v>
      </c>
    </row>
    <row r="2763" spans="1:5">
      <c r="A2763" s="3" t="s">
        <v>2785</v>
      </c>
      <c r="B2763" s="3" t="s">
        <v>22</v>
      </c>
      <c r="C2763" s="3">
        <v>381601</v>
      </c>
      <c r="D2763" s="3">
        <v>21831</v>
      </c>
      <c r="E2763" s="3" t="s">
        <v>23</v>
      </c>
    </row>
    <row r="2764" spans="1:5">
      <c r="A2764" s="3" t="s">
        <v>2786</v>
      </c>
      <c r="B2764" s="3" t="s">
        <v>22</v>
      </c>
      <c r="C2764" s="3">
        <v>284672</v>
      </c>
      <c r="D2764" s="3">
        <v>4186</v>
      </c>
      <c r="E2764" s="3" t="s">
        <v>23</v>
      </c>
    </row>
    <row r="2765" spans="1:5">
      <c r="A2765" s="3" t="s">
        <v>2787</v>
      </c>
      <c r="B2765" s="3" t="s">
        <v>22</v>
      </c>
      <c r="C2765" s="3">
        <v>442949</v>
      </c>
      <c r="D2765" s="3">
        <v>88051</v>
      </c>
      <c r="E2765" s="3" t="s">
        <v>23</v>
      </c>
    </row>
    <row r="2766" spans="1:5">
      <c r="A2766" s="3" t="s">
        <v>2788</v>
      </c>
      <c r="B2766" s="3" t="s">
        <v>22</v>
      </c>
      <c r="C2766" s="3">
        <v>429001</v>
      </c>
      <c r="D2766" s="3">
        <v>10804</v>
      </c>
      <c r="E2766" s="3" t="s">
        <v>23</v>
      </c>
    </row>
    <row r="2767" spans="1:5">
      <c r="A2767" s="3" t="s">
        <v>2789</v>
      </c>
      <c r="B2767" s="3" t="s">
        <v>22</v>
      </c>
      <c r="C2767" s="3">
        <v>430105</v>
      </c>
      <c r="D2767" s="3">
        <v>90993</v>
      </c>
      <c r="E2767" s="3" t="s">
        <v>23</v>
      </c>
    </row>
    <row r="2768" spans="1:5">
      <c r="A2768" s="3" t="s">
        <v>2790</v>
      </c>
      <c r="B2768" s="3" t="s">
        <v>22</v>
      </c>
      <c r="C2768" s="3">
        <v>652373</v>
      </c>
      <c r="D2768" s="3">
        <v>103898</v>
      </c>
      <c r="E2768" s="3" t="s">
        <v>23</v>
      </c>
    </row>
    <row r="2769" spans="1:5">
      <c r="A2769" s="3" t="s">
        <v>2791</v>
      </c>
      <c r="B2769" s="3" t="s">
        <v>22</v>
      </c>
      <c r="C2769" s="3">
        <v>422928</v>
      </c>
      <c r="D2769" s="3">
        <v>72056</v>
      </c>
      <c r="E2769" s="3" t="s">
        <v>23</v>
      </c>
    </row>
    <row r="2770" spans="1:5">
      <c r="A2770" s="3" t="s">
        <v>2792</v>
      </c>
      <c r="B2770" s="3" t="s">
        <v>22</v>
      </c>
      <c r="C2770" s="3">
        <v>464674</v>
      </c>
      <c r="D2770" s="3">
        <v>70908</v>
      </c>
      <c r="E2770" s="3" t="s">
        <v>23</v>
      </c>
    </row>
    <row r="2771" spans="1:5">
      <c r="A2771" s="3" t="s">
        <v>2793</v>
      </c>
      <c r="B2771" s="3" t="s">
        <v>22</v>
      </c>
      <c r="C2771" s="3">
        <v>492227</v>
      </c>
      <c r="D2771" s="3">
        <v>143670</v>
      </c>
      <c r="E2771" s="3" t="s">
        <v>23</v>
      </c>
    </row>
    <row r="2772" spans="1:5">
      <c r="A2772" s="3" t="s">
        <v>2794</v>
      </c>
      <c r="B2772" s="3" t="s">
        <v>22</v>
      </c>
      <c r="C2772" s="3">
        <v>483719</v>
      </c>
      <c r="D2772" s="3">
        <v>118545</v>
      </c>
      <c r="E2772" s="3" t="s">
        <v>23</v>
      </c>
    </row>
    <row r="2773" spans="1:5">
      <c r="A2773" s="3" t="s">
        <v>2795</v>
      </c>
      <c r="B2773" s="3" t="s">
        <v>22</v>
      </c>
      <c r="C2773" s="3">
        <v>130696</v>
      </c>
      <c r="D2773" s="3">
        <v>35325</v>
      </c>
      <c r="E2773" s="3" t="s">
        <v>23</v>
      </c>
    </row>
    <row r="2774" spans="1:5">
      <c r="A2774" s="3" t="s">
        <v>2796</v>
      </c>
      <c r="B2774" s="3" t="s">
        <v>22</v>
      </c>
      <c r="C2774" s="3">
        <v>686826</v>
      </c>
      <c r="D2774" s="3">
        <v>152413</v>
      </c>
      <c r="E2774" s="3" t="s">
        <v>23</v>
      </c>
    </row>
    <row r="2775" spans="1:5">
      <c r="A2775" s="3" t="s">
        <v>2797</v>
      </c>
      <c r="B2775" s="3" t="s">
        <v>22</v>
      </c>
      <c r="C2775" s="3">
        <v>506356</v>
      </c>
      <c r="D2775" s="3">
        <v>47565</v>
      </c>
      <c r="E2775" s="3" t="s">
        <v>23</v>
      </c>
    </row>
    <row r="2776" spans="1:5">
      <c r="A2776" s="3" t="s">
        <v>2798</v>
      </c>
      <c r="B2776" s="3" t="s">
        <v>22</v>
      </c>
      <c r="C2776" s="3">
        <v>422222</v>
      </c>
      <c r="D2776" s="3">
        <v>43799</v>
      </c>
      <c r="E2776" s="3" t="s">
        <v>23</v>
      </c>
    </row>
    <row r="2777" spans="1:5">
      <c r="A2777" s="3" t="s">
        <v>2799</v>
      </c>
      <c r="B2777" s="3" t="s">
        <v>22</v>
      </c>
      <c r="C2777" s="3">
        <v>452658</v>
      </c>
      <c r="D2777" s="3">
        <v>54898</v>
      </c>
      <c r="E2777" s="3" t="s">
        <v>23</v>
      </c>
    </row>
    <row r="2778" spans="1:5">
      <c r="A2778" s="3" t="s">
        <v>2800</v>
      </c>
      <c r="B2778" s="3" t="s">
        <v>22</v>
      </c>
      <c r="C2778" s="3">
        <v>518083</v>
      </c>
      <c r="D2778" s="3">
        <v>78487</v>
      </c>
      <c r="E2778" s="3" t="s">
        <v>23</v>
      </c>
    </row>
    <row r="2779" spans="1:5">
      <c r="A2779" s="3" t="s">
        <v>2801</v>
      </c>
      <c r="B2779" s="3" t="s">
        <v>22</v>
      </c>
      <c r="C2779" s="3">
        <v>312430</v>
      </c>
      <c r="D2779" s="3">
        <v>66242</v>
      </c>
      <c r="E2779" s="3" t="s">
        <v>23</v>
      </c>
    </row>
    <row r="2780" spans="1:5">
      <c r="A2780" s="3" t="s">
        <v>2802</v>
      </c>
      <c r="B2780" s="3" t="s">
        <v>22</v>
      </c>
      <c r="C2780" s="3">
        <v>456481</v>
      </c>
      <c r="D2780" s="3">
        <v>177228</v>
      </c>
      <c r="E2780" s="3" t="s">
        <v>23</v>
      </c>
    </row>
    <row r="2781" spans="1:5">
      <c r="A2781" s="3" t="s">
        <v>2803</v>
      </c>
      <c r="B2781" s="3" t="s">
        <v>22</v>
      </c>
      <c r="C2781" s="3">
        <v>517960</v>
      </c>
      <c r="D2781" s="3">
        <v>85233</v>
      </c>
      <c r="E2781" s="3" t="s">
        <v>23</v>
      </c>
    </row>
    <row r="2782" spans="1:5">
      <c r="A2782" s="3" t="s">
        <v>2804</v>
      </c>
      <c r="B2782" s="3" t="s">
        <v>22</v>
      </c>
      <c r="C2782" s="3">
        <v>599493</v>
      </c>
      <c r="D2782" s="3">
        <v>169858</v>
      </c>
      <c r="E2782" s="3" t="s">
        <v>23</v>
      </c>
    </row>
    <row r="2783" spans="1:5">
      <c r="A2783" s="3" t="s">
        <v>2805</v>
      </c>
      <c r="B2783" s="3" t="s">
        <v>22</v>
      </c>
      <c r="C2783" s="3">
        <v>399718</v>
      </c>
      <c r="D2783" s="3">
        <v>94412</v>
      </c>
      <c r="E2783" s="3" t="s">
        <v>23</v>
      </c>
    </row>
    <row r="2784" spans="1:5">
      <c r="A2784" s="3" t="s">
        <v>2806</v>
      </c>
      <c r="B2784" s="3" t="s">
        <v>22</v>
      </c>
      <c r="C2784" s="3">
        <v>431318</v>
      </c>
      <c r="D2784" s="3">
        <v>62344</v>
      </c>
      <c r="E2784" s="3" t="s">
        <v>23</v>
      </c>
    </row>
    <row r="2785" spans="1:5">
      <c r="A2785" s="3" t="s">
        <v>2807</v>
      </c>
      <c r="B2785" s="3" t="s">
        <v>22</v>
      </c>
      <c r="C2785" s="3">
        <v>390406</v>
      </c>
      <c r="D2785" s="3">
        <v>129919</v>
      </c>
      <c r="E2785" s="3" t="s">
        <v>23</v>
      </c>
    </row>
    <row r="2786" spans="1:5">
      <c r="A2786" s="3" t="s">
        <v>2808</v>
      </c>
      <c r="B2786" s="3" t="s">
        <v>22</v>
      </c>
      <c r="C2786" s="3">
        <v>389285</v>
      </c>
      <c r="D2786" s="3">
        <v>68867</v>
      </c>
      <c r="E2786" s="3" t="s">
        <v>23</v>
      </c>
    </row>
    <row r="2787" spans="1:5">
      <c r="A2787" s="3" t="s">
        <v>2809</v>
      </c>
      <c r="B2787" s="3" t="s">
        <v>22</v>
      </c>
      <c r="C2787" s="3">
        <v>400899</v>
      </c>
      <c r="D2787" s="3">
        <v>44684</v>
      </c>
      <c r="E2787" s="3" t="s">
        <v>23</v>
      </c>
    </row>
    <row r="2788" spans="1:5">
      <c r="A2788" s="3" t="s">
        <v>2810</v>
      </c>
      <c r="B2788" s="3" t="s">
        <v>22</v>
      </c>
      <c r="C2788" s="3">
        <v>275738</v>
      </c>
      <c r="D2788" s="3">
        <v>1113</v>
      </c>
      <c r="E2788" s="3" t="s">
        <v>23</v>
      </c>
    </row>
    <row r="2789" spans="1:5">
      <c r="A2789" s="3" t="s">
        <v>2811</v>
      </c>
      <c r="B2789" s="3" t="s">
        <v>22</v>
      </c>
      <c r="C2789" s="3">
        <v>461040</v>
      </c>
      <c r="D2789" s="3">
        <v>130068</v>
      </c>
      <c r="E2789" s="3" t="s">
        <v>23</v>
      </c>
    </row>
    <row r="2790" spans="1:5">
      <c r="A2790" s="3" t="s">
        <v>2812</v>
      </c>
      <c r="B2790" s="3" t="s">
        <v>22</v>
      </c>
      <c r="C2790" s="3">
        <v>392858</v>
      </c>
      <c r="D2790" s="3">
        <v>18784</v>
      </c>
      <c r="E2790" s="3" t="s">
        <v>23</v>
      </c>
    </row>
    <row r="2791" spans="1:5">
      <c r="A2791" s="3" t="s">
        <v>2813</v>
      </c>
      <c r="B2791" s="3" t="s">
        <v>22</v>
      </c>
      <c r="C2791" s="3">
        <v>402871</v>
      </c>
      <c r="D2791" s="3">
        <v>26716</v>
      </c>
      <c r="E2791" s="3" t="s">
        <v>23</v>
      </c>
    </row>
    <row r="2792" spans="1:5">
      <c r="A2792" s="3" t="s">
        <v>2814</v>
      </c>
      <c r="B2792" s="3" t="s">
        <v>22</v>
      </c>
      <c r="C2792" s="3">
        <v>625155</v>
      </c>
      <c r="D2792" s="3">
        <v>188768</v>
      </c>
      <c r="E2792" s="3" t="s">
        <v>23</v>
      </c>
    </row>
    <row r="2793" spans="1:5">
      <c r="A2793" s="3" t="s">
        <v>2815</v>
      </c>
      <c r="B2793" s="3" t="s">
        <v>22</v>
      </c>
      <c r="C2793" s="3">
        <v>148346</v>
      </c>
      <c r="D2793" s="3">
        <v>42186</v>
      </c>
      <c r="E2793" s="3" t="s">
        <v>23</v>
      </c>
    </row>
    <row r="2794" spans="1:5">
      <c r="A2794" s="3" t="s">
        <v>2816</v>
      </c>
      <c r="B2794" s="3" t="s">
        <v>22</v>
      </c>
      <c r="C2794" s="3">
        <v>753629</v>
      </c>
      <c r="D2794" s="3">
        <v>215190</v>
      </c>
      <c r="E2794" s="3" t="s">
        <v>23</v>
      </c>
    </row>
    <row r="2795" spans="1:5">
      <c r="A2795" s="3" t="s">
        <v>2817</v>
      </c>
      <c r="B2795" s="3" t="s">
        <v>22</v>
      </c>
      <c r="C2795" s="3">
        <v>380610</v>
      </c>
      <c r="D2795" s="3">
        <v>15097</v>
      </c>
      <c r="E2795" s="3" t="s">
        <v>23</v>
      </c>
    </row>
    <row r="2796" spans="1:5">
      <c r="A2796" s="3" t="s">
        <v>2818</v>
      </c>
      <c r="B2796" s="3" t="s">
        <v>22</v>
      </c>
      <c r="C2796" s="3">
        <v>209041</v>
      </c>
      <c r="D2796" s="3">
        <v>72991</v>
      </c>
      <c r="E2796" s="3" t="s">
        <v>23</v>
      </c>
    </row>
    <row r="2797" spans="1:5">
      <c r="A2797" s="3" t="s">
        <v>2819</v>
      </c>
      <c r="B2797" s="3" t="s">
        <v>22</v>
      </c>
      <c r="C2797" s="3">
        <v>405662</v>
      </c>
      <c r="D2797" s="3">
        <v>161047</v>
      </c>
      <c r="E2797" s="3" t="s">
        <v>23</v>
      </c>
    </row>
    <row r="2798" spans="1:5">
      <c r="A2798" s="3" t="s">
        <v>2820</v>
      </c>
      <c r="B2798" s="3" t="s">
        <v>22</v>
      </c>
      <c r="C2798" s="3">
        <v>353139</v>
      </c>
      <c r="D2798" s="3">
        <v>12342</v>
      </c>
      <c r="E2798" s="3" t="s">
        <v>23</v>
      </c>
    </row>
    <row r="2799" spans="1:5">
      <c r="A2799" s="3" t="s">
        <v>2821</v>
      </c>
      <c r="B2799" s="3" t="s">
        <v>22</v>
      </c>
      <c r="C2799" s="3">
        <v>370638</v>
      </c>
      <c r="D2799" s="3">
        <v>4055</v>
      </c>
      <c r="E2799" s="3" t="s">
        <v>23</v>
      </c>
    </row>
    <row r="2800" spans="1:5">
      <c r="A2800" s="3" t="s">
        <v>2822</v>
      </c>
      <c r="B2800" s="3" t="s">
        <v>22</v>
      </c>
      <c r="C2800" s="3">
        <v>640924</v>
      </c>
      <c r="D2800" s="3">
        <v>259920</v>
      </c>
      <c r="E2800" s="3" t="s">
        <v>23</v>
      </c>
    </row>
    <row r="2801" spans="1:5">
      <c r="A2801" s="3" t="s">
        <v>2823</v>
      </c>
      <c r="B2801" s="3" t="s">
        <v>22</v>
      </c>
      <c r="C2801" s="3">
        <v>730396</v>
      </c>
      <c r="D2801" s="3">
        <v>177550</v>
      </c>
      <c r="E2801" s="3" t="s">
        <v>23</v>
      </c>
    </row>
    <row r="2802" spans="1:5">
      <c r="A2802" s="3" t="s">
        <v>2824</v>
      </c>
      <c r="B2802" s="3" t="s">
        <v>22</v>
      </c>
      <c r="C2802" s="3">
        <v>213865</v>
      </c>
      <c r="D2802" s="3">
        <v>71203</v>
      </c>
      <c r="E2802" s="3" t="s">
        <v>23</v>
      </c>
    </row>
    <row r="2803" spans="1:5">
      <c r="A2803" s="3" t="s">
        <v>2825</v>
      </c>
      <c r="B2803" s="3" t="s">
        <v>22</v>
      </c>
      <c r="C2803" s="3">
        <v>399932</v>
      </c>
      <c r="D2803" s="3">
        <v>89726</v>
      </c>
      <c r="E2803" s="3" t="s">
        <v>23</v>
      </c>
    </row>
    <row r="2804" spans="1:5">
      <c r="A2804" s="3" t="s">
        <v>2826</v>
      </c>
      <c r="B2804" s="3" t="s">
        <v>22</v>
      </c>
      <c r="C2804" s="3">
        <v>276914</v>
      </c>
      <c r="D2804" s="3">
        <v>100731</v>
      </c>
      <c r="E2804" s="3" t="s">
        <v>23</v>
      </c>
    </row>
    <row r="2805" spans="1:5">
      <c r="A2805" s="3" t="s">
        <v>2827</v>
      </c>
      <c r="B2805" s="3" t="s">
        <v>22</v>
      </c>
      <c r="C2805" s="3">
        <v>603422</v>
      </c>
      <c r="D2805" s="3">
        <v>3779</v>
      </c>
      <c r="E2805" s="3" t="s">
        <v>23</v>
      </c>
    </row>
    <row r="2806" spans="1:5">
      <c r="A2806" s="3" t="s">
        <v>2828</v>
      </c>
      <c r="B2806" s="3" t="s">
        <v>22</v>
      </c>
      <c r="C2806" s="3">
        <v>543875</v>
      </c>
      <c r="D2806" s="3">
        <v>35244</v>
      </c>
      <c r="E2806" s="3" t="s">
        <v>23</v>
      </c>
    </row>
    <row r="2807" spans="1:5">
      <c r="A2807" s="3" t="s">
        <v>2829</v>
      </c>
      <c r="B2807" s="3" t="s">
        <v>22</v>
      </c>
      <c r="C2807" s="3">
        <v>538021</v>
      </c>
      <c r="D2807" s="3">
        <v>198423</v>
      </c>
      <c r="E2807" s="3" t="s">
        <v>23</v>
      </c>
    </row>
    <row r="2808" spans="1:5">
      <c r="A2808" s="3" t="s">
        <v>2830</v>
      </c>
      <c r="B2808" s="3" t="s">
        <v>22</v>
      </c>
      <c r="C2808" s="3">
        <v>515585</v>
      </c>
      <c r="D2808" s="3">
        <v>96849</v>
      </c>
      <c r="E2808" s="3" t="s">
        <v>23</v>
      </c>
    </row>
    <row r="2809" spans="1:5">
      <c r="A2809" s="3" t="s">
        <v>2831</v>
      </c>
      <c r="B2809" s="3" t="s">
        <v>22</v>
      </c>
      <c r="C2809" s="3">
        <v>382079</v>
      </c>
      <c r="D2809" s="3">
        <v>104785</v>
      </c>
      <c r="E2809" s="3" t="s">
        <v>23</v>
      </c>
    </row>
    <row r="2810" spans="1:5">
      <c r="A2810" s="3" t="s">
        <v>2832</v>
      </c>
      <c r="B2810" s="3" t="s">
        <v>22</v>
      </c>
      <c r="C2810" s="3">
        <v>337089</v>
      </c>
      <c r="D2810" s="3">
        <v>3126</v>
      </c>
      <c r="E2810" s="3" t="s">
        <v>23</v>
      </c>
    </row>
    <row r="2811" spans="1:5">
      <c r="A2811" s="3" t="s">
        <v>2833</v>
      </c>
      <c r="B2811" s="3" t="s">
        <v>22</v>
      </c>
      <c r="C2811" s="3">
        <v>412794</v>
      </c>
      <c r="D2811" s="3">
        <v>153356</v>
      </c>
      <c r="E2811" s="3" t="s">
        <v>23</v>
      </c>
    </row>
    <row r="2812" spans="1:5">
      <c r="A2812" s="3" t="s">
        <v>2834</v>
      </c>
      <c r="B2812" s="3" t="s">
        <v>22</v>
      </c>
      <c r="C2812" s="3">
        <v>704988</v>
      </c>
      <c r="D2812" s="3">
        <v>202959</v>
      </c>
      <c r="E2812" s="3" t="s">
        <v>23</v>
      </c>
    </row>
    <row r="2813" spans="1:5">
      <c r="A2813" s="3" t="s">
        <v>2835</v>
      </c>
      <c r="B2813" s="3" t="s">
        <v>22</v>
      </c>
      <c r="C2813" s="3">
        <v>464615</v>
      </c>
      <c r="D2813" s="3">
        <v>185763</v>
      </c>
      <c r="E2813" s="3" t="s">
        <v>23</v>
      </c>
    </row>
    <row r="2814" spans="1:5">
      <c r="A2814" s="3" t="s">
        <v>2836</v>
      </c>
      <c r="B2814" s="3" t="s">
        <v>22</v>
      </c>
      <c r="C2814" s="3">
        <v>446627</v>
      </c>
      <c r="D2814" s="3">
        <v>34390</v>
      </c>
      <c r="E2814" s="3" t="s">
        <v>23</v>
      </c>
    </row>
    <row r="2815" spans="1:5">
      <c r="A2815" s="3" t="s">
        <v>2837</v>
      </c>
      <c r="B2815" s="3" t="s">
        <v>22</v>
      </c>
      <c r="C2815" s="3">
        <v>280</v>
      </c>
      <c r="D2815" s="3">
        <v>168</v>
      </c>
      <c r="E2815" s="3" t="s">
        <v>23</v>
      </c>
    </row>
    <row r="2816" spans="1:5">
      <c r="A2816" s="3" t="s">
        <v>2838</v>
      </c>
      <c r="B2816" s="3" t="s">
        <v>22</v>
      </c>
      <c r="C2816" s="3">
        <v>721218</v>
      </c>
      <c r="D2816" s="3">
        <v>228831</v>
      </c>
      <c r="E2816" s="3" t="s">
        <v>23</v>
      </c>
    </row>
    <row r="2817" spans="1:5">
      <c r="A2817" s="3" t="s">
        <v>2839</v>
      </c>
      <c r="B2817" s="3" t="s">
        <v>22</v>
      </c>
      <c r="C2817" s="3">
        <v>729267</v>
      </c>
      <c r="D2817" s="3">
        <v>180592</v>
      </c>
      <c r="E2817" s="3" t="s">
        <v>23</v>
      </c>
    </row>
    <row r="2818" spans="1:5">
      <c r="A2818" s="3" t="s">
        <v>2840</v>
      </c>
      <c r="B2818" s="3" t="s">
        <v>22</v>
      </c>
      <c r="C2818" s="3">
        <v>529758</v>
      </c>
      <c r="D2818" s="3">
        <v>160324</v>
      </c>
      <c r="E2818" s="3" t="s">
        <v>23</v>
      </c>
    </row>
    <row r="2819" spans="1:5">
      <c r="A2819" s="3" t="s">
        <v>2841</v>
      </c>
      <c r="B2819" s="3" t="s">
        <v>22</v>
      </c>
      <c r="C2819" s="3">
        <v>324303</v>
      </c>
      <c r="D2819" s="3">
        <v>62090</v>
      </c>
      <c r="E2819" s="3" t="s">
        <v>23</v>
      </c>
    </row>
    <row r="2820" spans="1:5">
      <c r="A2820" s="3" t="s">
        <v>2842</v>
      </c>
      <c r="B2820" s="3" t="s">
        <v>22</v>
      </c>
      <c r="C2820" s="3">
        <v>132843</v>
      </c>
      <c r="D2820" s="3">
        <v>36311</v>
      </c>
      <c r="E2820" s="3" t="s">
        <v>23</v>
      </c>
    </row>
    <row r="2821" spans="1:5">
      <c r="A2821" s="3" t="s">
        <v>2843</v>
      </c>
      <c r="B2821" s="3" t="s">
        <v>22</v>
      </c>
      <c r="C2821" s="3">
        <v>434610</v>
      </c>
      <c r="D2821" s="3">
        <v>10713</v>
      </c>
      <c r="E2821" s="3" t="s">
        <v>23</v>
      </c>
    </row>
    <row r="2822" spans="1:5">
      <c r="A2822" s="3" t="s">
        <v>2844</v>
      </c>
      <c r="B2822" s="3" t="s">
        <v>22</v>
      </c>
      <c r="C2822" s="3">
        <v>645232</v>
      </c>
      <c r="D2822" s="3">
        <v>184124</v>
      </c>
      <c r="E2822" s="3" t="s">
        <v>23</v>
      </c>
    </row>
    <row r="2823" spans="1:5">
      <c r="A2823" s="3" t="s">
        <v>2845</v>
      </c>
      <c r="B2823" s="3" t="s">
        <v>22</v>
      </c>
      <c r="C2823" s="3">
        <v>578537</v>
      </c>
      <c r="D2823" s="3">
        <v>22716</v>
      </c>
      <c r="E2823" s="3" t="s">
        <v>23</v>
      </c>
    </row>
    <row r="2824" spans="1:5">
      <c r="A2824" s="3" t="s">
        <v>2846</v>
      </c>
      <c r="B2824" s="3" t="s">
        <v>22</v>
      </c>
      <c r="C2824" s="3">
        <v>614279</v>
      </c>
      <c r="D2824" s="3">
        <v>22273</v>
      </c>
      <c r="E2824" s="3" t="s">
        <v>23</v>
      </c>
    </row>
    <row r="2825" spans="1:5">
      <c r="A2825" s="3" t="s">
        <v>2847</v>
      </c>
      <c r="B2825" s="3" t="s">
        <v>22</v>
      </c>
      <c r="C2825" s="3">
        <v>544979</v>
      </c>
      <c r="D2825" s="3">
        <v>39900</v>
      </c>
      <c r="E2825" s="3" t="s">
        <v>23</v>
      </c>
    </row>
    <row r="2826" spans="1:5">
      <c r="A2826" s="3" t="s">
        <v>2848</v>
      </c>
      <c r="B2826" s="3" t="s">
        <v>22</v>
      </c>
      <c r="C2826" s="3">
        <v>304279</v>
      </c>
      <c r="D2826" s="3">
        <v>42925</v>
      </c>
      <c r="E2826" s="3" t="s">
        <v>23</v>
      </c>
    </row>
    <row r="2827" spans="1:5">
      <c r="A2827" s="3" t="s">
        <v>2849</v>
      </c>
      <c r="B2827" s="3" t="s">
        <v>22</v>
      </c>
      <c r="C2827" s="3">
        <v>640219</v>
      </c>
      <c r="D2827" s="3">
        <v>105974</v>
      </c>
      <c r="E2827" s="3" t="s">
        <v>23</v>
      </c>
    </row>
    <row r="2828" spans="1:5">
      <c r="A2828" s="3" t="s">
        <v>2850</v>
      </c>
      <c r="B2828" s="3" t="s">
        <v>22</v>
      </c>
      <c r="C2828" s="3">
        <v>643114</v>
      </c>
      <c r="D2828" s="3">
        <v>162231</v>
      </c>
      <c r="E2828" s="3" t="s">
        <v>23</v>
      </c>
    </row>
    <row r="2829" spans="1:5">
      <c r="A2829" s="3" t="s">
        <v>2851</v>
      </c>
      <c r="B2829" s="3" t="s">
        <v>22</v>
      </c>
      <c r="C2829" s="3">
        <v>250341</v>
      </c>
      <c r="D2829" s="3">
        <v>17835</v>
      </c>
      <c r="E2829" s="3" t="s">
        <v>23</v>
      </c>
    </row>
    <row r="2830" spans="1:5">
      <c r="A2830" s="3" t="s">
        <v>2852</v>
      </c>
      <c r="B2830" s="3" t="s">
        <v>22</v>
      </c>
      <c r="C2830" s="3">
        <v>814845</v>
      </c>
      <c r="D2830" s="3">
        <v>175324</v>
      </c>
      <c r="E2830" s="3" t="s">
        <v>23</v>
      </c>
    </row>
    <row r="2831" spans="1:5">
      <c r="A2831" s="3" t="s">
        <v>2853</v>
      </c>
      <c r="B2831" s="3" t="s">
        <v>22</v>
      </c>
      <c r="C2831" s="3">
        <v>469593</v>
      </c>
      <c r="D2831" s="3">
        <v>115257</v>
      </c>
      <c r="E2831" s="3" t="s">
        <v>23</v>
      </c>
    </row>
    <row r="2832" spans="1:5">
      <c r="A2832" s="3" t="s">
        <v>2854</v>
      </c>
      <c r="B2832" s="3" t="s">
        <v>22</v>
      </c>
      <c r="C2832" s="3">
        <v>805146</v>
      </c>
      <c r="D2832" s="3">
        <v>140694</v>
      </c>
      <c r="E2832" s="3" t="s">
        <v>23</v>
      </c>
    </row>
    <row r="2833" spans="1:5">
      <c r="A2833" s="3" t="s">
        <v>2855</v>
      </c>
      <c r="B2833" s="3" t="s">
        <v>22</v>
      </c>
      <c r="C2833" s="3">
        <v>422388</v>
      </c>
      <c r="D2833" s="3">
        <v>113457</v>
      </c>
      <c r="E2833" s="3" t="s">
        <v>23</v>
      </c>
    </row>
    <row r="2834" spans="1:5">
      <c r="A2834" s="3" t="s">
        <v>2856</v>
      </c>
      <c r="B2834" s="3" t="s">
        <v>22</v>
      </c>
      <c r="C2834" s="3">
        <v>518934</v>
      </c>
      <c r="D2834" s="3">
        <v>95052</v>
      </c>
      <c r="E2834" s="3" t="s">
        <v>23</v>
      </c>
    </row>
    <row r="2835" spans="1:5">
      <c r="A2835" s="3" t="s">
        <v>2857</v>
      </c>
      <c r="B2835" s="3" t="s">
        <v>22</v>
      </c>
      <c r="C2835" s="3">
        <v>287961</v>
      </c>
      <c r="D2835" s="3">
        <v>88189</v>
      </c>
      <c r="E2835" s="3" t="s">
        <v>23</v>
      </c>
    </row>
    <row r="2836" spans="1:5">
      <c r="A2836" s="3" t="s">
        <v>2858</v>
      </c>
      <c r="B2836" s="3" t="s">
        <v>22</v>
      </c>
      <c r="C2836" s="3">
        <v>986036</v>
      </c>
      <c r="D2836" s="3">
        <v>356027</v>
      </c>
      <c r="E2836" s="3" t="s">
        <v>23</v>
      </c>
    </row>
    <row r="2837" spans="1:5">
      <c r="A2837" s="3" t="s">
        <v>2859</v>
      </c>
      <c r="B2837" s="3" t="s">
        <v>22</v>
      </c>
      <c r="C2837" s="3">
        <v>112109</v>
      </c>
      <c r="D2837" s="3">
        <v>2707</v>
      </c>
      <c r="E2837" s="3" t="s">
        <v>23</v>
      </c>
    </row>
    <row r="2838" spans="1:5">
      <c r="A2838" s="3" t="s">
        <v>2860</v>
      </c>
      <c r="B2838" s="3" t="s">
        <v>22</v>
      </c>
      <c r="C2838" s="3">
        <v>670715</v>
      </c>
      <c r="D2838" s="3">
        <v>70886</v>
      </c>
      <c r="E2838" s="3" t="s">
        <v>23</v>
      </c>
    </row>
    <row r="2839" spans="1:5">
      <c r="A2839" s="3" t="s">
        <v>2861</v>
      </c>
      <c r="B2839" s="3" t="s">
        <v>22</v>
      </c>
      <c r="C2839" s="3">
        <v>537452</v>
      </c>
      <c r="D2839" s="3">
        <v>137973</v>
      </c>
      <c r="E2839" s="3" t="s">
        <v>23</v>
      </c>
    </row>
    <row r="2840" spans="1:5">
      <c r="A2840" s="3" t="s">
        <v>2862</v>
      </c>
      <c r="B2840" s="3" t="s">
        <v>22</v>
      </c>
      <c r="C2840" s="3">
        <v>733616</v>
      </c>
      <c r="D2840" s="3">
        <v>179455</v>
      </c>
      <c r="E2840" s="3" t="s">
        <v>23</v>
      </c>
    </row>
    <row r="2841" spans="1:5">
      <c r="A2841" s="3" t="s">
        <v>2863</v>
      </c>
      <c r="B2841" s="3" t="s">
        <v>22</v>
      </c>
      <c r="C2841" s="3">
        <v>527757</v>
      </c>
      <c r="D2841" s="3">
        <v>143919</v>
      </c>
      <c r="E2841" s="3" t="s">
        <v>23</v>
      </c>
    </row>
    <row r="2842" spans="1:5">
      <c r="A2842" s="3" t="s">
        <v>2864</v>
      </c>
      <c r="B2842" s="3" t="s">
        <v>22</v>
      </c>
      <c r="C2842" s="3">
        <v>542305</v>
      </c>
      <c r="D2842" s="3">
        <v>131186</v>
      </c>
      <c r="E2842" s="3" t="s">
        <v>23</v>
      </c>
    </row>
    <row r="2843" spans="1:5">
      <c r="A2843" s="3" t="s">
        <v>2865</v>
      </c>
      <c r="B2843" s="3" t="s">
        <v>22</v>
      </c>
      <c r="C2843" s="3">
        <v>462393</v>
      </c>
      <c r="D2843" s="3">
        <v>67175</v>
      </c>
      <c r="E2843" s="3" t="s">
        <v>23</v>
      </c>
    </row>
    <row r="2844" spans="1:5">
      <c r="A2844" s="3" t="s">
        <v>2866</v>
      </c>
      <c r="B2844" s="3" t="s">
        <v>22</v>
      </c>
      <c r="C2844" s="3">
        <v>375465</v>
      </c>
      <c r="D2844" s="3">
        <v>10355</v>
      </c>
      <c r="E2844" s="3" t="s">
        <v>23</v>
      </c>
    </row>
    <row r="2845" spans="1:5">
      <c r="A2845" s="3" t="s">
        <v>2867</v>
      </c>
      <c r="B2845" s="3" t="s">
        <v>22</v>
      </c>
      <c r="C2845" s="3">
        <v>672680</v>
      </c>
      <c r="D2845" s="3">
        <v>57032</v>
      </c>
      <c r="E2845" s="3" t="s">
        <v>23</v>
      </c>
    </row>
    <row r="2846" spans="1:5">
      <c r="A2846" s="3" t="s">
        <v>2868</v>
      </c>
      <c r="B2846" s="3" t="s">
        <v>22</v>
      </c>
      <c r="C2846" s="3">
        <v>406350</v>
      </c>
      <c r="D2846" s="3">
        <v>43603</v>
      </c>
      <c r="E2846" s="3" t="s">
        <v>23</v>
      </c>
    </row>
    <row r="2847" spans="1:5">
      <c r="A2847" s="3" t="s">
        <v>2869</v>
      </c>
      <c r="B2847" s="3" t="s">
        <v>22</v>
      </c>
      <c r="C2847" s="3">
        <v>603364</v>
      </c>
      <c r="D2847" s="3">
        <v>222533</v>
      </c>
      <c r="E2847" s="3" t="s">
        <v>23</v>
      </c>
    </row>
    <row r="2848" spans="1:5">
      <c r="A2848" s="3" t="s">
        <v>2870</v>
      </c>
      <c r="B2848" s="3" t="s">
        <v>22</v>
      </c>
      <c r="C2848" s="3">
        <v>193744</v>
      </c>
      <c r="D2848" s="3">
        <v>35980</v>
      </c>
      <c r="E2848" s="3" t="s">
        <v>23</v>
      </c>
    </row>
    <row r="2849" spans="1:5">
      <c r="A2849" s="3" t="s">
        <v>2871</v>
      </c>
      <c r="B2849" s="3" t="s">
        <v>22</v>
      </c>
      <c r="C2849" s="3">
        <v>566395</v>
      </c>
      <c r="D2849" s="3">
        <v>31939</v>
      </c>
      <c r="E2849" s="3" t="s">
        <v>23</v>
      </c>
    </row>
    <row r="2850" spans="1:5">
      <c r="A2850" s="3" t="s">
        <v>2872</v>
      </c>
      <c r="B2850" s="3" t="s">
        <v>22</v>
      </c>
      <c r="C2850" s="3">
        <v>757760</v>
      </c>
      <c r="D2850" s="3">
        <v>207</v>
      </c>
      <c r="E2850" s="3" t="s">
        <v>23</v>
      </c>
    </row>
    <row r="2851" spans="1:5">
      <c r="A2851" s="3" t="s">
        <v>2873</v>
      </c>
      <c r="B2851" s="3" t="s">
        <v>22</v>
      </c>
      <c r="C2851" s="3">
        <v>621742</v>
      </c>
      <c r="D2851" s="3">
        <v>238658</v>
      </c>
      <c r="E2851" s="3" t="s">
        <v>23</v>
      </c>
    </row>
    <row r="2852" spans="1:5">
      <c r="A2852" s="3" t="s">
        <v>2874</v>
      </c>
      <c r="B2852" s="3" t="s">
        <v>22</v>
      </c>
      <c r="C2852" s="3">
        <v>589696</v>
      </c>
      <c r="D2852" s="3">
        <v>11380</v>
      </c>
      <c r="E2852" s="3" t="s">
        <v>23</v>
      </c>
    </row>
    <row r="2853" spans="1:5">
      <c r="A2853" s="3" t="s">
        <v>2875</v>
      </c>
      <c r="B2853" s="3" t="s">
        <v>22</v>
      </c>
      <c r="C2853" s="3">
        <v>856531</v>
      </c>
      <c r="D2853" s="3">
        <v>321581</v>
      </c>
      <c r="E2853" s="3" t="s">
        <v>23</v>
      </c>
    </row>
    <row r="2854" spans="1:5">
      <c r="A2854" s="3" t="s">
        <v>2876</v>
      </c>
      <c r="B2854" s="3" t="s">
        <v>22</v>
      </c>
      <c r="C2854" s="3">
        <v>566326</v>
      </c>
      <c r="D2854" s="3">
        <v>38811</v>
      </c>
      <c r="E2854" s="3" t="s">
        <v>23</v>
      </c>
    </row>
    <row r="2855" spans="1:5">
      <c r="A2855" s="3" t="s">
        <v>2877</v>
      </c>
      <c r="B2855" s="3" t="s">
        <v>22</v>
      </c>
      <c r="C2855" s="3">
        <v>873910</v>
      </c>
      <c r="D2855" s="3">
        <v>94409</v>
      </c>
      <c r="E2855" s="3" t="s">
        <v>23</v>
      </c>
    </row>
    <row r="2856" spans="1:5">
      <c r="A2856" s="3" t="s">
        <v>2878</v>
      </c>
      <c r="B2856" s="3" t="s">
        <v>22</v>
      </c>
      <c r="C2856" s="3">
        <v>559597</v>
      </c>
      <c r="D2856" s="3">
        <v>16601</v>
      </c>
      <c r="E2856" s="3" t="s">
        <v>23</v>
      </c>
    </row>
    <row r="2857" spans="1:5">
      <c r="A2857" s="3" t="s">
        <v>2879</v>
      </c>
      <c r="B2857" s="3" t="s">
        <v>22</v>
      </c>
      <c r="C2857" s="3">
        <v>392120</v>
      </c>
      <c r="D2857" s="3">
        <v>6709</v>
      </c>
      <c r="E2857" s="3" t="s">
        <v>23</v>
      </c>
    </row>
    <row r="2858" spans="1:5">
      <c r="A2858" s="3" t="s">
        <v>2880</v>
      </c>
      <c r="B2858" s="3" t="s">
        <v>22</v>
      </c>
      <c r="C2858" s="3">
        <v>539373</v>
      </c>
      <c r="D2858" s="3">
        <v>136070</v>
      </c>
      <c r="E2858" s="3" t="s">
        <v>23</v>
      </c>
    </row>
    <row r="2859" spans="1:5">
      <c r="A2859" s="3" t="s">
        <v>2881</v>
      </c>
      <c r="B2859" s="3" t="s">
        <v>22</v>
      </c>
      <c r="C2859" s="3">
        <v>682221</v>
      </c>
      <c r="D2859" s="3">
        <v>83564</v>
      </c>
      <c r="E2859" s="3" t="s">
        <v>23</v>
      </c>
    </row>
    <row r="2860" spans="1:5">
      <c r="A2860" s="3" t="s">
        <v>2882</v>
      </c>
      <c r="B2860" s="3" t="s">
        <v>22</v>
      </c>
      <c r="C2860" s="3">
        <v>637376</v>
      </c>
      <c r="D2860" s="3">
        <v>163421</v>
      </c>
      <c r="E2860" s="3" t="s">
        <v>23</v>
      </c>
    </row>
    <row r="2861" spans="1:5">
      <c r="A2861" s="3" t="s">
        <v>2883</v>
      </c>
      <c r="B2861" s="3" t="s">
        <v>22</v>
      </c>
      <c r="C2861" s="3">
        <v>652275</v>
      </c>
      <c r="D2861" s="3">
        <v>33172</v>
      </c>
      <c r="E2861" s="3" t="s">
        <v>23</v>
      </c>
    </row>
    <row r="2862" spans="1:5">
      <c r="A2862" s="3" t="s">
        <v>2884</v>
      </c>
      <c r="B2862" s="3" t="s">
        <v>22</v>
      </c>
      <c r="C2862" s="3">
        <v>696316</v>
      </c>
      <c r="D2862" s="3">
        <v>108120</v>
      </c>
      <c r="E2862" s="3" t="s">
        <v>23</v>
      </c>
    </row>
    <row r="2863" spans="1:5">
      <c r="A2863" s="3" t="s">
        <v>2885</v>
      </c>
      <c r="B2863" s="3" t="s">
        <v>22</v>
      </c>
      <c r="C2863" s="3">
        <v>817967</v>
      </c>
      <c r="D2863" s="3">
        <v>201868</v>
      </c>
      <c r="E2863" s="3" t="s">
        <v>23</v>
      </c>
    </row>
    <row r="2864" spans="1:5">
      <c r="A2864" s="3" t="s">
        <v>2886</v>
      </c>
      <c r="B2864" s="3" t="s">
        <v>22</v>
      </c>
      <c r="C2864" s="3">
        <v>495797</v>
      </c>
      <c r="D2864" s="3">
        <v>192980</v>
      </c>
      <c r="E2864" s="3" t="s">
        <v>23</v>
      </c>
    </row>
    <row r="2865" spans="1:5">
      <c r="A2865" s="3" t="s">
        <v>2887</v>
      </c>
      <c r="B2865" s="3" t="s">
        <v>22</v>
      </c>
      <c r="C2865" s="3">
        <v>747439</v>
      </c>
      <c r="D2865" s="3">
        <v>267337</v>
      </c>
      <c r="E2865" s="3" t="s">
        <v>23</v>
      </c>
    </row>
    <row r="2866" spans="1:5">
      <c r="A2866" s="3" t="s">
        <v>2888</v>
      </c>
      <c r="B2866" s="3" t="s">
        <v>22</v>
      </c>
      <c r="C2866" s="3">
        <v>106</v>
      </c>
      <c r="D2866" s="3">
        <v>65</v>
      </c>
      <c r="E2866" s="3" t="s">
        <v>23</v>
      </c>
    </row>
    <row r="2867" spans="1:5">
      <c r="A2867" s="3" t="s">
        <v>2889</v>
      </c>
      <c r="B2867" s="3" t="s">
        <v>22</v>
      </c>
      <c r="C2867" s="3">
        <v>786516</v>
      </c>
      <c r="D2867" s="3">
        <v>259908</v>
      </c>
      <c r="E2867" s="3" t="s">
        <v>23</v>
      </c>
    </row>
    <row r="2868" spans="1:5">
      <c r="A2868" s="3" t="s">
        <v>2890</v>
      </c>
      <c r="B2868" s="3" t="s">
        <v>22</v>
      </c>
      <c r="C2868" s="3">
        <v>826367</v>
      </c>
      <c r="D2868" s="3">
        <v>146192</v>
      </c>
      <c r="E2868" s="3" t="s">
        <v>23</v>
      </c>
    </row>
    <row r="2869" spans="1:5">
      <c r="A2869" s="3" t="s">
        <v>2891</v>
      </c>
      <c r="B2869" s="3" t="s">
        <v>22</v>
      </c>
      <c r="C2869" s="3">
        <v>714266</v>
      </c>
      <c r="D2869" s="3">
        <v>188603</v>
      </c>
      <c r="E2869" s="3" t="s">
        <v>23</v>
      </c>
    </row>
    <row r="2870" spans="1:5">
      <c r="A2870" s="3" t="s">
        <v>2892</v>
      </c>
      <c r="B2870" s="3" t="s">
        <v>22</v>
      </c>
      <c r="C2870" s="3">
        <v>646847</v>
      </c>
      <c r="D2870" s="3">
        <v>128163</v>
      </c>
      <c r="E2870" s="3" t="s">
        <v>23</v>
      </c>
    </row>
    <row r="2871" spans="1:5">
      <c r="A2871" s="3" t="s">
        <v>2893</v>
      </c>
      <c r="B2871" s="3" t="s">
        <v>22</v>
      </c>
      <c r="C2871" s="3">
        <v>782874</v>
      </c>
      <c r="D2871" s="3">
        <v>123260</v>
      </c>
      <c r="E2871" s="3" t="s">
        <v>23</v>
      </c>
    </row>
    <row r="2872" spans="1:5">
      <c r="A2872" s="3" t="s">
        <v>2894</v>
      </c>
      <c r="B2872" s="3" t="s">
        <v>22</v>
      </c>
      <c r="C2872" s="3">
        <v>418117</v>
      </c>
      <c r="D2872" s="3">
        <v>129110</v>
      </c>
      <c r="E2872" s="3" t="s">
        <v>23</v>
      </c>
    </row>
    <row r="2873" spans="1:5">
      <c r="A2873" s="3" t="s">
        <v>2895</v>
      </c>
      <c r="B2873" s="3" t="s">
        <v>22</v>
      </c>
      <c r="C2873" s="3">
        <v>799080</v>
      </c>
      <c r="D2873" s="3">
        <v>278120</v>
      </c>
      <c r="E2873" s="3" t="s">
        <v>23</v>
      </c>
    </row>
    <row r="2874" spans="1:5">
      <c r="A2874" s="3" t="s">
        <v>2896</v>
      </c>
      <c r="B2874" s="3" t="s">
        <v>22</v>
      </c>
      <c r="C2874" s="3">
        <v>526285</v>
      </c>
      <c r="D2874" s="3">
        <v>115982</v>
      </c>
      <c r="E2874" s="3" t="s">
        <v>23</v>
      </c>
    </row>
    <row r="2875" spans="1:5">
      <c r="A2875" s="3" t="s">
        <v>2897</v>
      </c>
      <c r="B2875" s="3" t="s">
        <v>22</v>
      </c>
      <c r="C2875" s="3">
        <v>851208</v>
      </c>
      <c r="D2875" s="3">
        <v>162647</v>
      </c>
      <c r="E2875" s="3" t="s">
        <v>23</v>
      </c>
    </row>
    <row r="2876" spans="1:5">
      <c r="A2876" s="3" t="s">
        <v>2898</v>
      </c>
      <c r="B2876" s="3" t="s">
        <v>22</v>
      </c>
      <c r="C2876" s="3">
        <v>640142</v>
      </c>
      <c r="D2876" s="3">
        <v>171022</v>
      </c>
      <c r="E2876" s="3" t="s">
        <v>23</v>
      </c>
    </row>
    <row r="2877" spans="1:5">
      <c r="A2877" s="3" t="s">
        <v>2899</v>
      </c>
      <c r="B2877" s="3" t="s">
        <v>22</v>
      </c>
      <c r="C2877" s="3">
        <v>559879</v>
      </c>
      <c r="D2877" s="3">
        <v>106057</v>
      </c>
      <c r="E2877" s="3" t="s">
        <v>23</v>
      </c>
    </row>
    <row r="2878" spans="1:5">
      <c r="A2878" s="3" t="s">
        <v>2900</v>
      </c>
      <c r="B2878" s="3" t="s">
        <v>22</v>
      </c>
      <c r="C2878" s="3">
        <v>401842</v>
      </c>
      <c r="D2878" s="3">
        <v>140150</v>
      </c>
      <c r="E2878" s="3" t="s">
        <v>23</v>
      </c>
    </row>
    <row r="2879" spans="1:5">
      <c r="A2879" s="3" t="s">
        <v>2901</v>
      </c>
      <c r="B2879" s="3" t="s">
        <v>22</v>
      </c>
      <c r="C2879" s="3">
        <v>425245</v>
      </c>
      <c r="D2879" s="3">
        <v>73025</v>
      </c>
      <c r="E2879" s="3" t="s">
        <v>23</v>
      </c>
    </row>
    <row r="2880" spans="1:5">
      <c r="A2880" s="3" t="s">
        <v>2902</v>
      </c>
      <c r="B2880" s="3" t="s">
        <v>22</v>
      </c>
      <c r="C2880" s="3">
        <v>348537</v>
      </c>
      <c r="D2880" s="3">
        <v>12018</v>
      </c>
      <c r="E2880" s="3" t="s">
        <v>23</v>
      </c>
    </row>
    <row r="2881" spans="1:5">
      <c r="A2881" s="3" t="s">
        <v>2903</v>
      </c>
      <c r="B2881" s="3" t="s">
        <v>22</v>
      </c>
      <c r="C2881" s="3">
        <v>359493</v>
      </c>
      <c r="D2881" s="3">
        <v>1540</v>
      </c>
      <c r="E2881" s="3" t="s">
        <v>23</v>
      </c>
    </row>
    <row r="2882" spans="1:5">
      <c r="A2882" s="3" t="s">
        <v>2904</v>
      </c>
      <c r="B2882" s="3" t="s">
        <v>22</v>
      </c>
      <c r="C2882" s="3">
        <v>322824</v>
      </c>
      <c r="D2882" s="3">
        <v>107239</v>
      </c>
      <c r="E2882" s="3" t="s">
        <v>23</v>
      </c>
    </row>
    <row r="2883" spans="1:5">
      <c r="A2883" s="3" t="s">
        <v>2905</v>
      </c>
      <c r="B2883" s="3" t="s">
        <v>22</v>
      </c>
      <c r="C2883" s="3">
        <v>631345</v>
      </c>
      <c r="D2883" s="3">
        <v>113177</v>
      </c>
      <c r="E2883" s="3" t="s">
        <v>23</v>
      </c>
    </row>
    <row r="2884" spans="1:5">
      <c r="A2884" s="3" t="s">
        <v>2906</v>
      </c>
      <c r="B2884" s="3" t="s">
        <v>22</v>
      </c>
      <c r="C2884" s="3">
        <v>485836</v>
      </c>
      <c r="D2884" s="3">
        <v>103883</v>
      </c>
      <c r="E2884" s="3" t="s">
        <v>23</v>
      </c>
    </row>
    <row r="2885" spans="1:5">
      <c r="A2885" s="3" t="s">
        <v>2907</v>
      </c>
      <c r="B2885" s="3" t="s">
        <v>22</v>
      </c>
      <c r="C2885" s="3">
        <v>688160</v>
      </c>
      <c r="D2885" s="3">
        <v>268224</v>
      </c>
      <c r="E2885" s="3" t="s">
        <v>23</v>
      </c>
    </row>
    <row r="2886" spans="1:5">
      <c r="A2886" s="3" t="s">
        <v>2908</v>
      </c>
      <c r="B2886" s="3" t="s">
        <v>22</v>
      </c>
      <c r="C2886" s="3">
        <v>374350</v>
      </c>
      <c r="D2886" s="3">
        <v>165309</v>
      </c>
      <c r="E2886" s="3" t="s">
        <v>23</v>
      </c>
    </row>
    <row r="2887" spans="1:5">
      <c r="A2887" s="3" t="s">
        <v>2909</v>
      </c>
      <c r="B2887" s="3" t="s">
        <v>22</v>
      </c>
      <c r="C2887" s="3">
        <v>638039</v>
      </c>
      <c r="D2887" s="3">
        <v>6748</v>
      </c>
      <c r="E2887" s="3" t="s">
        <v>23</v>
      </c>
    </row>
    <row r="2888" spans="1:5">
      <c r="A2888" s="3" t="s">
        <v>2910</v>
      </c>
      <c r="B2888" s="3" t="s">
        <v>22</v>
      </c>
      <c r="C2888" s="3">
        <v>736443</v>
      </c>
      <c r="D2888" s="3">
        <v>64341</v>
      </c>
      <c r="E2888" s="3" t="s">
        <v>23</v>
      </c>
    </row>
    <row r="2889" spans="1:5">
      <c r="A2889" s="3" t="s">
        <v>2911</v>
      </c>
      <c r="B2889" s="3" t="s">
        <v>22</v>
      </c>
      <c r="C2889" s="3">
        <v>607150</v>
      </c>
      <c r="D2889" s="3">
        <v>242488</v>
      </c>
      <c r="E2889" s="3" t="s">
        <v>23</v>
      </c>
    </row>
    <row r="2890" spans="1:5">
      <c r="A2890" s="3" t="s">
        <v>2912</v>
      </c>
      <c r="B2890" s="3" t="s">
        <v>22</v>
      </c>
      <c r="C2890" s="3">
        <v>541449</v>
      </c>
      <c r="D2890" s="3">
        <v>231390</v>
      </c>
      <c r="E2890" s="3" t="s">
        <v>23</v>
      </c>
    </row>
    <row r="2891" spans="1:5">
      <c r="A2891" s="3" t="s">
        <v>2913</v>
      </c>
      <c r="B2891" s="3" t="s">
        <v>22</v>
      </c>
      <c r="C2891" s="3">
        <v>460823</v>
      </c>
      <c r="D2891" s="3">
        <v>10284</v>
      </c>
      <c r="E2891" s="3" t="s">
        <v>23</v>
      </c>
    </row>
    <row r="2892" spans="1:5">
      <c r="A2892" s="3" t="s">
        <v>2914</v>
      </c>
      <c r="B2892" s="3" t="s">
        <v>22</v>
      </c>
      <c r="C2892" s="3">
        <v>557614</v>
      </c>
      <c r="D2892" s="3">
        <v>49871</v>
      </c>
      <c r="E2892" s="3" t="s">
        <v>23</v>
      </c>
    </row>
    <row r="2893" spans="1:5">
      <c r="A2893" s="3" t="s">
        <v>2915</v>
      </c>
      <c r="B2893" s="3" t="s">
        <v>22</v>
      </c>
      <c r="C2893" s="3">
        <v>595541</v>
      </c>
      <c r="D2893" s="3">
        <v>244843</v>
      </c>
      <c r="E2893" s="3" t="s">
        <v>23</v>
      </c>
    </row>
    <row r="2894" spans="1:5">
      <c r="A2894" s="3" t="s">
        <v>2916</v>
      </c>
      <c r="B2894" s="3" t="s">
        <v>22</v>
      </c>
      <c r="C2894" s="3">
        <v>863361</v>
      </c>
      <c r="D2894" s="3">
        <v>252022</v>
      </c>
      <c r="E2894" s="3" t="s">
        <v>23</v>
      </c>
    </row>
    <row r="2895" spans="1:5">
      <c r="A2895" s="3" t="s">
        <v>2917</v>
      </c>
      <c r="B2895" s="3" t="s">
        <v>22</v>
      </c>
      <c r="C2895" s="3">
        <v>246578</v>
      </c>
      <c r="D2895" s="3">
        <v>111493</v>
      </c>
      <c r="E2895" s="3" t="s">
        <v>23</v>
      </c>
    </row>
    <row r="2896" spans="1:5">
      <c r="A2896" s="3" t="s">
        <v>2918</v>
      </c>
      <c r="B2896" s="3" t="s">
        <v>22</v>
      </c>
      <c r="C2896" s="3">
        <v>499371</v>
      </c>
      <c r="D2896" s="3">
        <v>100556</v>
      </c>
      <c r="E2896" s="3" t="s">
        <v>23</v>
      </c>
    </row>
    <row r="2897" spans="1:5">
      <c r="A2897" s="3" t="s">
        <v>2919</v>
      </c>
      <c r="B2897" s="3" t="s">
        <v>22</v>
      </c>
      <c r="C2897" s="3">
        <v>128509</v>
      </c>
      <c r="D2897" s="3">
        <v>41359</v>
      </c>
      <c r="E2897" s="3" t="s">
        <v>23</v>
      </c>
    </row>
    <row r="2898" spans="1:5">
      <c r="A2898" s="3" t="s">
        <v>2920</v>
      </c>
      <c r="B2898" s="3" t="s">
        <v>22</v>
      </c>
      <c r="C2898" s="3">
        <v>359101</v>
      </c>
      <c r="D2898" s="3">
        <v>4062</v>
      </c>
      <c r="E2898" s="3" t="s">
        <v>23</v>
      </c>
    </row>
    <row r="2899" spans="1:5">
      <c r="A2899" s="3" t="s">
        <v>2921</v>
      </c>
      <c r="B2899" s="3" t="s">
        <v>22</v>
      </c>
      <c r="C2899" s="3">
        <v>639680</v>
      </c>
      <c r="D2899" s="3">
        <v>135265</v>
      </c>
      <c r="E2899" s="3" t="s">
        <v>23</v>
      </c>
    </row>
    <row r="2900" spans="1:5">
      <c r="A2900" s="3" t="s">
        <v>2922</v>
      </c>
      <c r="B2900" s="3" t="s">
        <v>22</v>
      </c>
      <c r="C2900" s="3">
        <v>436584</v>
      </c>
      <c r="D2900" s="3">
        <v>181652</v>
      </c>
      <c r="E2900" s="3" t="s">
        <v>23</v>
      </c>
    </row>
    <row r="2901" spans="1:5">
      <c r="A2901" s="3" t="s">
        <v>2923</v>
      </c>
      <c r="B2901" s="3" t="s">
        <v>22</v>
      </c>
      <c r="C2901" s="3">
        <v>650416</v>
      </c>
      <c r="D2901" s="3">
        <v>296907</v>
      </c>
      <c r="E2901" s="3" t="s">
        <v>23</v>
      </c>
    </row>
    <row r="2902" spans="1:5">
      <c r="A2902" s="3" t="s">
        <v>2924</v>
      </c>
      <c r="B2902" s="3" t="s">
        <v>22</v>
      </c>
      <c r="C2902" s="3">
        <v>483168</v>
      </c>
      <c r="D2902" s="3">
        <v>209268</v>
      </c>
      <c r="E2902" s="3" t="s">
        <v>23</v>
      </c>
    </row>
    <row r="2903" spans="1:5">
      <c r="A2903" s="3" t="s">
        <v>2925</v>
      </c>
      <c r="B2903" s="3" t="s">
        <v>22</v>
      </c>
      <c r="C2903" s="3">
        <v>381682</v>
      </c>
      <c r="D2903" s="3">
        <v>593</v>
      </c>
      <c r="E2903" s="3" t="s">
        <v>23</v>
      </c>
    </row>
    <row r="2904" spans="1:5">
      <c r="A2904" s="3" t="s">
        <v>2926</v>
      </c>
      <c r="B2904" s="3" t="s">
        <v>22</v>
      </c>
      <c r="C2904" s="3">
        <v>485169</v>
      </c>
      <c r="D2904" s="3">
        <v>212955</v>
      </c>
      <c r="E2904" s="3" t="s">
        <v>23</v>
      </c>
    </row>
    <row r="2905" spans="1:5">
      <c r="A2905" s="3" t="s">
        <v>2927</v>
      </c>
      <c r="B2905" s="3" t="s">
        <v>22</v>
      </c>
      <c r="C2905" s="3">
        <v>681658</v>
      </c>
      <c r="D2905" s="3">
        <v>241968</v>
      </c>
      <c r="E2905" s="3" t="s">
        <v>23</v>
      </c>
    </row>
    <row r="2906" spans="1:5">
      <c r="A2906" s="3" t="s">
        <v>2928</v>
      </c>
      <c r="B2906" s="3" t="s">
        <v>22</v>
      </c>
      <c r="C2906" s="3">
        <v>113540</v>
      </c>
      <c r="D2906" s="3">
        <v>37793</v>
      </c>
      <c r="E2906" s="3" t="s">
        <v>23</v>
      </c>
    </row>
    <row r="2907" spans="1:5">
      <c r="A2907" s="3" t="s">
        <v>2929</v>
      </c>
      <c r="B2907" s="3" t="s">
        <v>22</v>
      </c>
      <c r="C2907" s="3">
        <v>548604</v>
      </c>
      <c r="D2907" s="3">
        <v>6908</v>
      </c>
      <c r="E2907" s="3" t="s">
        <v>23</v>
      </c>
    </row>
    <row r="2908" spans="1:5">
      <c r="A2908" s="3" t="s">
        <v>2930</v>
      </c>
      <c r="B2908" s="3" t="s">
        <v>22</v>
      </c>
      <c r="C2908" s="3">
        <v>527598</v>
      </c>
      <c r="D2908" s="3">
        <v>197440</v>
      </c>
      <c r="E2908" s="3" t="s">
        <v>23</v>
      </c>
    </row>
    <row r="2909" spans="1:5">
      <c r="A2909" s="3" t="s">
        <v>2931</v>
      </c>
      <c r="B2909" s="3" t="s">
        <v>22</v>
      </c>
      <c r="C2909" s="3">
        <v>871053</v>
      </c>
      <c r="D2909" s="3">
        <v>123984</v>
      </c>
      <c r="E2909" s="3" t="s">
        <v>23</v>
      </c>
    </row>
    <row r="2910" spans="1:5">
      <c r="A2910" s="3" t="s">
        <v>2932</v>
      </c>
      <c r="B2910" s="3" t="s">
        <v>22</v>
      </c>
      <c r="C2910" s="3">
        <v>752811</v>
      </c>
      <c r="D2910" s="3">
        <v>182898</v>
      </c>
      <c r="E2910" s="3" t="s">
        <v>23</v>
      </c>
    </row>
    <row r="2911" spans="1:5">
      <c r="A2911" s="3" t="s">
        <v>2933</v>
      </c>
      <c r="B2911" s="3" t="s">
        <v>22</v>
      </c>
      <c r="C2911" s="3">
        <v>508881</v>
      </c>
      <c r="D2911" s="3">
        <v>152140</v>
      </c>
      <c r="E2911" s="3" t="s">
        <v>23</v>
      </c>
    </row>
    <row r="2912" spans="1:5">
      <c r="A2912" s="3" t="s">
        <v>2934</v>
      </c>
      <c r="B2912" s="3" t="s">
        <v>22</v>
      </c>
      <c r="C2912" s="3">
        <v>467964</v>
      </c>
      <c r="D2912" s="3">
        <v>197333</v>
      </c>
      <c r="E2912" s="3" t="s">
        <v>23</v>
      </c>
    </row>
    <row r="2913" spans="1:5">
      <c r="A2913" s="3" t="s">
        <v>2935</v>
      </c>
      <c r="B2913" s="3" t="s">
        <v>22</v>
      </c>
      <c r="C2913" s="3">
        <v>241186</v>
      </c>
      <c r="D2913" s="3">
        <v>102086</v>
      </c>
      <c r="E2913" s="3" t="s">
        <v>23</v>
      </c>
    </row>
    <row r="2914" spans="1:5">
      <c r="A2914" s="3" t="s">
        <v>2936</v>
      </c>
      <c r="B2914" s="3" t="s">
        <v>22</v>
      </c>
      <c r="C2914" s="3">
        <v>36440</v>
      </c>
      <c r="D2914" s="3">
        <v>2555</v>
      </c>
      <c r="E2914" s="3" t="s">
        <v>23</v>
      </c>
    </row>
    <row r="2915" spans="1:5">
      <c r="A2915" s="3" t="s">
        <v>2937</v>
      </c>
      <c r="B2915" s="3" t="s">
        <v>22</v>
      </c>
      <c r="C2915" s="3">
        <v>520737</v>
      </c>
      <c r="D2915" s="3">
        <v>37931</v>
      </c>
      <c r="E2915" s="3" t="s">
        <v>23</v>
      </c>
    </row>
    <row r="2916" spans="1:5">
      <c r="A2916" s="3" t="s">
        <v>2938</v>
      </c>
      <c r="B2916" s="3" t="s">
        <v>22</v>
      </c>
      <c r="C2916" s="3">
        <v>885204</v>
      </c>
      <c r="D2916" s="3">
        <v>203690</v>
      </c>
      <c r="E2916" s="3" t="s">
        <v>23</v>
      </c>
    </row>
    <row r="2917" spans="1:5">
      <c r="A2917" s="3" t="s">
        <v>2939</v>
      </c>
      <c r="B2917" s="3" t="s">
        <v>22</v>
      </c>
      <c r="C2917" s="3">
        <v>937257</v>
      </c>
      <c r="D2917" s="3">
        <v>50418</v>
      </c>
      <c r="E2917" s="3" t="s">
        <v>23</v>
      </c>
    </row>
    <row r="2918" spans="1:5">
      <c r="A2918" s="3" t="s">
        <v>2940</v>
      </c>
      <c r="B2918" s="3" t="s">
        <v>22</v>
      </c>
      <c r="C2918" s="3">
        <v>1045228</v>
      </c>
      <c r="D2918" s="3">
        <v>362064</v>
      </c>
      <c r="E2918" s="3" t="s">
        <v>23</v>
      </c>
    </row>
    <row r="2919" spans="1:5">
      <c r="A2919" s="3" t="s">
        <v>2941</v>
      </c>
      <c r="B2919" s="3" t="s">
        <v>22</v>
      </c>
      <c r="C2919" s="3">
        <v>515659</v>
      </c>
      <c r="D2919" s="3">
        <v>3871</v>
      </c>
      <c r="E2919" s="3" t="s">
        <v>23</v>
      </c>
    </row>
    <row r="2920" spans="1:5">
      <c r="A2920" s="3" t="s">
        <v>2942</v>
      </c>
      <c r="B2920" s="3" t="s">
        <v>22</v>
      </c>
      <c r="C2920" s="3">
        <v>474776</v>
      </c>
      <c r="D2920" s="3">
        <v>108091</v>
      </c>
      <c r="E2920" s="3" t="s">
        <v>23</v>
      </c>
    </row>
    <row r="2921" spans="1:5">
      <c r="A2921" s="3" t="s">
        <v>2943</v>
      </c>
      <c r="B2921" s="3" t="s">
        <v>22</v>
      </c>
      <c r="C2921" s="3">
        <v>847108</v>
      </c>
      <c r="D2921" s="3">
        <v>337216</v>
      </c>
      <c r="E2921" s="3" t="s">
        <v>23</v>
      </c>
    </row>
    <row r="2922" spans="1:5">
      <c r="A2922" s="3" t="s">
        <v>2944</v>
      </c>
      <c r="B2922" s="3" t="s">
        <v>22</v>
      </c>
      <c r="C2922" s="3">
        <v>570228</v>
      </c>
      <c r="D2922" s="3">
        <v>130952</v>
      </c>
      <c r="E2922" s="3" t="s">
        <v>23</v>
      </c>
    </row>
    <row r="2923" spans="1:5">
      <c r="A2923" s="3" t="s">
        <v>2945</v>
      </c>
      <c r="B2923" s="3" t="s">
        <v>22</v>
      </c>
      <c r="C2923" s="3">
        <v>1011243</v>
      </c>
      <c r="D2923" s="3">
        <v>197348</v>
      </c>
      <c r="E2923" s="3" t="s">
        <v>23</v>
      </c>
    </row>
    <row r="2924" spans="1:5">
      <c r="A2924" s="3" t="s">
        <v>2946</v>
      </c>
      <c r="B2924" s="3" t="s">
        <v>22</v>
      </c>
      <c r="C2924" s="3">
        <v>501209</v>
      </c>
      <c r="D2924" s="3">
        <v>53652</v>
      </c>
      <c r="E2924" s="3" t="s">
        <v>23</v>
      </c>
    </row>
    <row r="2925" spans="1:5">
      <c r="A2925" s="3" t="s">
        <v>2947</v>
      </c>
      <c r="B2925" s="3" t="s">
        <v>22</v>
      </c>
      <c r="C2925" s="3">
        <v>674804</v>
      </c>
      <c r="D2925" s="3">
        <v>176106</v>
      </c>
      <c r="E2925" s="3" t="s">
        <v>23</v>
      </c>
    </row>
    <row r="2926" spans="1:5">
      <c r="A2926" s="3" t="s">
        <v>2948</v>
      </c>
      <c r="B2926" s="3" t="s">
        <v>22</v>
      </c>
      <c r="C2926" s="3">
        <v>369737</v>
      </c>
      <c r="D2926" s="3">
        <v>134445</v>
      </c>
      <c r="E2926" s="3" t="s">
        <v>23</v>
      </c>
    </row>
    <row r="2927" spans="1:5">
      <c r="A2927" s="3" t="s">
        <v>2949</v>
      </c>
      <c r="B2927" s="3" t="s">
        <v>22</v>
      </c>
      <c r="C2927" s="3">
        <v>390627</v>
      </c>
      <c r="D2927" s="3">
        <v>120690</v>
      </c>
      <c r="E2927" s="3" t="s">
        <v>23</v>
      </c>
    </row>
    <row r="2928" spans="1:5">
      <c r="A2928" s="3" t="s">
        <v>2950</v>
      </c>
      <c r="B2928" s="3" t="s">
        <v>22</v>
      </c>
      <c r="C2928" s="3">
        <v>237084</v>
      </c>
      <c r="D2928" s="3">
        <v>95008</v>
      </c>
      <c r="E2928" s="3" t="s">
        <v>23</v>
      </c>
    </row>
    <row r="2929" spans="1:5">
      <c r="A2929" s="3" t="s">
        <v>2951</v>
      </c>
      <c r="B2929" s="3" t="s">
        <v>22</v>
      </c>
      <c r="C2929" s="3">
        <v>948787</v>
      </c>
      <c r="D2929" s="3">
        <v>181162</v>
      </c>
      <c r="E2929" s="3" t="s">
        <v>23</v>
      </c>
    </row>
    <row r="2930" spans="1:5">
      <c r="A2930" s="3" t="s">
        <v>2952</v>
      </c>
      <c r="B2930" s="3" t="s">
        <v>22</v>
      </c>
      <c r="C2930" s="3">
        <v>782399</v>
      </c>
      <c r="D2930" s="3">
        <v>24881</v>
      </c>
      <c r="E2930" s="3" t="s">
        <v>23</v>
      </c>
    </row>
    <row r="2931" spans="1:5">
      <c r="A2931" s="3" t="s">
        <v>2953</v>
      </c>
      <c r="B2931" s="3" t="s">
        <v>22</v>
      </c>
      <c r="C2931" s="3">
        <v>819882</v>
      </c>
      <c r="D2931" s="3">
        <v>70087</v>
      </c>
      <c r="E2931" s="3" t="s">
        <v>23</v>
      </c>
    </row>
    <row r="2932" spans="1:5">
      <c r="A2932" s="3" t="s">
        <v>2954</v>
      </c>
      <c r="B2932" s="3" t="s">
        <v>22</v>
      </c>
      <c r="C2932" s="3">
        <v>779869</v>
      </c>
      <c r="D2932" s="3">
        <v>217747</v>
      </c>
      <c r="E2932" s="3" t="s">
        <v>23</v>
      </c>
    </row>
    <row r="2933" spans="1:5">
      <c r="A2933" s="3" t="s">
        <v>2955</v>
      </c>
      <c r="B2933" s="3" t="s">
        <v>22</v>
      </c>
      <c r="C2933" s="3">
        <v>521604</v>
      </c>
      <c r="D2933" s="3">
        <v>214469</v>
      </c>
      <c r="E2933" s="3" t="s">
        <v>23</v>
      </c>
    </row>
    <row r="2934" spans="1:5">
      <c r="A2934" s="3" t="s">
        <v>2956</v>
      </c>
      <c r="B2934" s="3" t="s">
        <v>22</v>
      </c>
      <c r="C2934" s="3">
        <v>664304</v>
      </c>
      <c r="D2934" s="3">
        <v>256828</v>
      </c>
      <c r="E2934" s="3" t="s">
        <v>23</v>
      </c>
    </row>
    <row r="2935" spans="1:5">
      <c r="A2935" s="3" t="s">
        <v>2957</v>
      </c>
      <c r="B2935" s="3" t="s">
        <v>22</v>
      </c>
      <c r="C2935" s="3">
        <v>678265</v>
      </c>
      <c r="D2935" s="3">
        <v>276693</v>
      </c>
      <c r="E2935" s="3" t="s">
        <v>23</v>
      </c>
    </row>
    <row r="2936" spans="1:5">
      <c r="A2936" s="3" t="s">
        <v>2958</v>
      </c>
      <c r="B2936" s="3" t="s">
        <v>22</v>
      </c>
      <c r="C2936" s="3">
        <v>418182</v>
      </c>
      <c r="D2936" s="3">
        <v>20538</v>
      </c>
      <c r="E2936" s="3" t="s">
        <v>23</v>
      </c>
    </row>
    <row r="2937" spans="1:5">
      <c r="A2937" s="3" t="s">
        <v>2959</v>
      </c>
      <c r="B2937" s="3" t="s">
        <v>22</v>
      </c>
      <c r="C2937" s="3">
        <v>795531</v>
      </c>
      <c r="D2937" s="3">
        <v>299031</v>
      </c>
      <c r="E2937" s="3" t="s">
        <v>23</v>
      </c>
    </row>
    <row r="2938" spans="1:5">
      <c r="A2938" s="3" t="s">
        <v>2960</v>
      </c>
      <c r="B2938" s="3" t="s">
        <v>22</v>
      </c>
      <c r="C2938" s="3">
        <v>531562</v>
      </c>
      <c r="D2938" s="3">
        <v>178236</v>
      </c>
      <c r="E2938" s="3" t="s">
        <v>23</v>
      </c>
    </row>
    <row r="2939" spans="1:5">
      <c r="A2939" s="3" t="s">
        <v>2961</v>
      </c>
      <c r="B2939" s="3" t="s">
        <v>22</v>
      </c>
      <c r="C2939" s="3">
        <v>486436</v>
      </c>
      <c r="D2939" s="3">
        <v>39185</v>
      </c>
      <c r="E2939" s="3" t="s">
        <v>23</v>
      </c>
    </row>
    <row r="2940" spans="1:5">
      <c r="A2940" s="3" t="s">
        <v>2962</v>
      </c>
      <c r="B2940" s="3" t="s">
        <v>22</v>
      </c>
      <c r="C2940" s="3">
        <v>439463</v>
      </c>
      <c r="D2940" s="3">
        <v>214295</v>
      </c>
      <c r="E2940" s="3" t="s">
        <v>23</v>
      </c>
    </row>
    <row r="2941" spans="1:5">
      <c r="A2941" s="3" t="s">
        <v>2963</v>
      </c>
      <c r="B2941" s="3" t="s">
        <v>22</v>
      </c>
      <c r="C2941" s="3">
        <v>575834</v>
      </c>
      <c r="D2941" s="3">
        <v>131314</v>
      </c>
      <c r="E2941" s="3" t="s">
        <v>23</v>
      </c>
    </row>
    <row r="2942" spans="1:5">
      <c r="A2942" s="3" t="s">
        <v>2964</v>
      </c>
      <c r="B2942" s="3" t="s">
        <v>22</v>
      </c>
      <c r="C2942" s="3">
        <v>613295</v>
      </c>
      <c r="D2942" s="3">
        <v>60795</v>
      </c>
      <c r="E2942" s="3" t="s">
        <v>23</v>
      </c>
    </row>
    <row r="2943" spans="1:5">
      <c r="A2943" s="3" t="s">
        <v>2965</v>
      </c>
      <c r="B2943" s="3" t="s">
        <v>22</v>
      </c>
      <c r="C2943" s="3">
        <v>436476</v>
      </c>
      <c r="D2943" s="3">
        <v>1502</v>
      </c>
      <c r="E2943" s="3" t="s">
        <v>23</v>
      </c>
    </row>
    <row r="2944" spans="1:5">
      <c r="A2944" s="3" t="s">
        <v>2966</v>
      </c>
      <c r="B2944" s="3" t="s">
        <v>22</v>
      </c>
      <c r="C2944" s="3">
        <v>683110</v>
      </c>
      <c r="D2944" s="3">
        <v>285987</v>
      </c>
      <c r="E2944" s="3" t="s">
        <v>23</v>
      </c>
    </row>
    <row r="2945" spans="1:5">
      <c r="A2945" s="3" t="s">
        <v>2967</v>
      </c>
      <c r="B2945" s="3" t="s">
        <v>22</v>
      </c>
      <c r="C2945" s="3">
        <v>603572</v>
      </c>
      <c r="D2945" s="3">
        <v>47814</v>
      </c>
      <c r="E2945" s="3" t="s">
        <v>23</v>
      </c>
    </row>
    <row r="2946" spans="1:5">
      <c r="A2946" s="3" t="s">
        <v>2968</v>
      </c>
      <c r="B2946" s="3" t="s">
        <v>22</v>
      </c>
      <c r="C2946" s="3">
        <v>602522</v>
      </c>
      <c r="D2946" s="3">
        <v>160740</v>
      </c>
      <c r="E2946" s="3" t="s">
        <v>23</v>
      </c>
    </row>
    <row r="2947" spans="1:5">
      <c r="A2947" s="3" t="s">
        <v>2969</v>
      </c>
      <c r="B2947" s="3" t="s">
        <v>22</v>
      </c>
      <c r="C2947" s="3">
        <v>940334</v>
      </c>
      <c r="D2947" s="3">
        <v>354559</v>
      </c>
      <c r="E2947" s="3" t="s">
        <v>23</v>
      </c>
    </row>
    <row r="2948" spans="1:5">
      <c r="A2948" s="3" t="s">
        <v>2970</v>
      </c>
      <c r="B2948" s="3" t="s">
        <v>22</v>
      </c>
      <c r="C2948" s="3">
        <v>950704</v>
      </c>
      <c r="D2948" s="3">
        <v>234376</v>
      </c>
      <c r="E2948" s="3" t="s">
        <v>23</v>
      </c>
    </row>
    <row r="2949" spans="1:5">
      <c r="A2949" s="3" t="s">
        <v>2971</v>
      </c>
      <c r="B2949" s="3" t="s">
        <v>22</v>
      </c>
      <c r="C2949" s="3">
        <v>843946</v>
      </c>
      <c r="D2949" s="3">
        <v>52413</v>
      </c>
      <c r="E2949" s="3" t="s">
        <v>23</v>
      </c>
    </row>
    <row r="2950" spans="1:5">
      <c r="A2950" s="3" t="s">
        <v>2972</v>
      </c>
      <c r="B2950" s="3" t="s">
        <v>22</v>
      </c>
      <c r="C2950" s="3">
        <v>447232</v>
      </c>
      <c r="D2950" s="3">
        <v>37762</v>
      </c>
      <c r="E2950" s="3" t="s">
        <v>23</v>
      </c>
    </row>
    <row r="2951" spans="1:5">
      <c r="A2951" s="3" t="s">
        <v>2973</v>
      </c>
      <c r="B2951" s="3" t="s">
        <v>22</v>
      </c>
      <c r="C2951" s="3">
        <v>1092286</v>
      </c>
      <c r="D2951" s="3">
        <v>389083</v>
      </c>
      <c r="E2951" s="3" t="s">
        <v>23</v>
      </c>
    </row>
    <row r="2952" spans="1:5">
      <c r="A2952" s="3" t="s">
        <v>2974</v>
      </c>
      <c r="B2952" s="3" t="s">
        <v>22</v>
      </c>
      <c r="C2952" s="3">
        <v>833665</v>
      </c>
      <c r="D2952" s="3">
        <v>136801</v>
      </c>
      <c r="E2952" s="3" t="s">
        <v>23</v>
      </c>
    </row>
    <row r="2953" spans="1:5">
      <c r="A2953" s="3" t="s">
        <v>2975</v>
      </c>
      <c r="B2953" s="3" t="s">
        <v>22</v>
      </c>
      <c r="C2953" s="3">
        <v>641233</v>
      </c>
      <c r="D2953" s="3">
        <v>161399</v>
      </c>
      <c r="E2953" s="3" t="s">
        <v>23</v>
      </c>
    </row>
    <row r="2954" spans="1:5">
      <c r="A2954" s="3" t="s">
        <v>2976</v>
      </c>
      <c r="B2954" s="3" t="s">
        <v>22</v>
      </c>
      <c r="C2954" s="3">
        <v>572123</v>
      </c>
      <c r="D2954" s="3">
        <v>35719</v>
      </c>
      <c r="E2954" s="3" t="s">
        <v>23</v>
      </c>
    </row>
    <row r="2955" spans="1:5">
      <c r="A2955" s="3" t="s">
        <v>2977</v>
      </c>
      <c r="B2955" s="3" t="s">
        <v>22</v>
      </c>
      <c r="C2955" s="3">
        <v>627396</v>
      </c>
      <c r="D2955" s="3">
        <v>68131</v>
      </c>
      <c r="E2955" s="3" t="s">
        <v>23</v>
      </c>
    </row>
    <row r="2956" spans="1:5">
      <c r="A2956" s="3" t="s">
        <v>2978</v>
      </c>
      <c r="B2956" s="3" t="s">
        <v>22</v>
      </c>
      <c r="C2956" s="3">
        <v>796046</v>
      </c>
      <c r="D2956" s="3">
        <v>176346</v>
      </c>
      <c r="E2956" s="3" t="s">
        <v>23</v>
      </c>
    </row>
    <row r="2957" spans="1:5">
      <c r="A2957" s="3" t="s">
        <v>2979</v>
      </c>
      <c r="B2957" s="3" t="s">
        <v>22</v>
      </c>
      <c r="C2957" s="3">
        <v>637808</v>
      </c>
      <c r="D2957" s="3">
        <v>258115</v>
      </c>
      <c r="E2957" s="3" t="s">
        <v>23</v>
      </c>
    </row>
    <row r="2958" spans="1:5">
      <c r="A2958" s="3" t="s">
        <v>2980</v>
      </c>
      <c r="B2958" s="3" t="s">
        <v>22</v>
      </c>
      <c r="C2958" s="3">
        <v>252068</v>
      </c>
      <c r="D2958" s="3">
        <v>13167</v>
      </c>
      <c r="E2958" s="3" t="s">
        <v>23</v>
      </c>
    </row>
    <row r="2959" spans="1:5">
      <c r="A2959" s="3" t="s">
        <v>2981</v>
      </c>
      <c r="B2959" s="3" t="s">
        <v>22</v>
      </c>
      <c r="C2959" s="3">
        <v>237448</v>
      </c>
      <c r="D2959" s="3">
        <v>82055</v>
      </c>
      <c r="E2959" s="3" t="s">
        <v>23</v>
      </c>
    </row>
    <row r="2960" spans="1:5">
      <c r="A2960" s="3" t="s">
        <v>2982</v>
      </c>
      <c r="B2960" s="3" t="s">
        <v>22</v>
      </c>
      <c r="C2960" s="3">
        <v>896745</v>
      </c>
      <c r="D2960" s="3">
        <v>331981</v>
      </c>
      <c r="E2960" s="3" t="s">
        <v>23</v>
      </c>
    </row>
    <row r="2961" spans="1:5">
      <c r="A2961" s="3" t="s">
        <v>2983</v>
      </c>
      <c r="B2961" s="3" t="s">
        <v>22</v>
      </c>
      <c r="C2961" s="3">
        <v>728328</v>
      </c>
      <c r="D2961" s="3">
        <v>152707</v>
      </c>
      <c r="E2961" s="3" t="s">
        <v>23</v>
      </c>
    </row>
    <row r="2962" spans="1:5">
      <c r="A2962" s="3" t="s">
        <v>2984</v>
      </c>
      <c r="B2962" s="3" t="s">
        <v>22</v>
      </c>
      <c r="C2962" s="3">
        <v>598154</v>
      </c>
      <c r="D2962" s="3">
        <v>58022</v>
      </c>
      <c r="E2962" s="3" t="s">
        <v>23</v>
      </c>
    </row>
    <row r="2963" spans="1:5">
      <c r="A2963" s="3" t="s">
        <v>2985</v>
      </c>
      <c r="B2963" s="3" t="s">
        <v>22</v>
      </c>
      <c r="C2963" s="3">
        <v>639952</v>
      </c>
      <c r="D2963" s="3">
        <v>169793</v>
      </c>
      <c r="E2963" s="3" t="s">
        <v>23</v>
      </c>
    </row>
    <row r="2964" spans="1:5">
      <c r="A2964" s="3" t="s">
        <v>2986</v>
      </c>
      <c r="B2964" s="3" t="s">
        <v>22</v>
      </c>
      <c r="C2964" s="3">
        <v>1078165</v>
      </c>
      <c r="D2964" s="3">
        <v>363678</v>
      </c>
      <c r="E2964" s="3" t="s">
        <v>23</v>
      </c>
    </row>
    <row r="2965" spans="1:5">
      <c r="A2965" s="3" t="s">
        <v>2987</v>
      </c>
      <c r="B2965" s="3" t="s">
        <v>22</v>
      </c>
      <c r="C2965" s="3">
        <v>628849</v>
      </c>
      <c r="D2965" s="3">
        <v>196875</v>
      </c>
      <c r="E2965" s="3" t="s">
        <v>23</v>
      </c>
    </row>
    <row r="2966" spans="1:5">
      <c r="A2966" s="3" t="s">
        <v>2988</v>
      </c>
      <c r="B2966" s="3" t="s">
        <v>22</v>
      </c>
      <c r="C2966" s="3">
        <v>674885</v>
      </c>
      <c r="D2966" s="3">
        <v>250297</v>
      </c>
      <c r="E2966" s="3" t="s">
        <v>23</v>
      </c>
    </row>
    <row r="2967" spans="1:5">
      <c r="A2967" s="3" t="s">
        <v>2989</v>
      </c>
      <c r="B2967" s="3" t="s">
        <v>22</v>
      </c>
      <c r="C2967" s="3">
        <v>443216</v>
      </c>
      <c r="D2967" s="3">
        <v>2984</v>
      </c>
      <c r="E2967" s="3" t="s">
        <v>23</v>
      </c>
    </row>
    <row r="2968" spans="1:5">
      <c r="A2968" s="3" t="s">
        <v>2990</v>
      </c>
      <c r="B2968" s="3" t="s">
        <v>22</v>
      </c>
      <c r="C2968" s="3">
        <v>1069585</v>
      </c>
      <c r="D2968" s="3">
        <v>300708</v>
      </c>
      <c r="E2968" s="3" t="s">
        <v>23</v>
      </c>
    </row>
    <row r="2969" spans="1:5">
      <c r="A2969" s="3" t="s">
        <v>2991</v>
      </c>
      <c r="B2969" s="3" t="s">
        <v>22</v>
      </c>
      <c r="C2969" s="3">
        <v>610462</v>
      </c>
      <c r="D2969" s="3">
        <v>79012</v>
      </c>
      <c r="E2969" s="3" t="s">
        <v>23</v>
      </c>
    </row>
    <row r="2970" spans="1:5">
      <c r="A2970" s="3" t="s">
        <v>2992</v>
      </c>
      <c r="B2970" s="3" t="s">
        <v>22</v>
      </c>
      <c r="C2970" s="3">
        <v>689614</v>
      </c>
      <c r="D2970" s="3">
        <v>22170</v>
      </c>
      <c r="E2970" s="3" t="s">
        <v>23</v>
      </c>
    </row>
    <row r="2971" spans="1:5">
      <c r="A2971" s="3" t="s">
        <v>2993</v>
      </c>
      <c r="B2971" s="3" t="s">
        <v>22</v>
      </c>
      <c r="C2971" s="3">
        <v>624773</v>
      </c>
      <c r="D2971" s="3">
        <v>246060</v>
      </c>
      <c r="E2971" s="3" t="s">
        <v>23</v>
      </c>
    </row>
    <row r="2972" spans="1:5">
      <c r="A2972" s="3" t="s">
        <v>2994</v>
      </c>
      <c r="B2972" s="3" t="s">
        <v>22</v>
      </c>
      <c r="C2972" s="3">
        <v>581146</v>
      </c>
      <c r="D2972" s="3">
        <v>131147</v>
      </c>
      <c r="E2972" s="3" t="s">
        <v>23</v>
      </c>
    </row>
    <row r="2973" spans="1:5">
      <c r="A2973" s="3" t="s">
        <v>2995</v>
      </c>
      <c r="B2973" s="3" t="s">
        <v>22</v>
      </c>
      <c r="C2973" s="3">
        <v>813085</v>
      </c>
      <c r="D2973" s="3">
        <v>141082</v>
      </c>
      <c r="E2973" s="3" t="s">
        <v>23</v>
      </c>
    </row>
    <row r="2974" spans="1:5">
      <c r="A2974" s="3" t="s">
        <v>2996</v>
      </c>
      <c r="B2974" s="3" t="s">
        <v>22</v>
      </c>
      <c r="C2974" s="3">
        <v>433809</v>
      </c>
      <c r="D2974" s="3">
        <v>1482</v>
      </c>
      <c r="E2974" s="3" t="s">
        <v>23</v>
      </c>
    </row>
    <row r="2975" spans="1:5">
      <c r="A2975" s="3" t="s">
        <v>2997</v>
      </c>
      <c r="B2975" s="3" t="s">
        <v>22</v>
      </c>
      <c r="C2975" s="3">
        <v>564530</v>
      </c>
      <c r="D2975" s="3">
        <v>257036</v>
      </c>
      <c r="E2975" s="3" t="s">
        <v>23</v>
      </c>
    </row>
    <row r="2976" spans="1:5">
      <c r="A2976" s="3" t="s">
        <v>2998</v>
      </c>
      <c r="B2976" s="3" t="s">
        <v>22</v>
      </c>
      <c r="C2976" s="3">
        <v>651493</v>
      </c>
      <c r="D2976" s="3">
        <v>54736</v>
      </c>
      <c r="E2976" s="3" t="s">
        <v>23</v>
      </c>
    </row>
    <row r="2977" spans="1:5">
      <c r="A2977" s="3" t="s">
        <v>2999</v>
      </c>
      <c r="B2977" s="3" t="s">
        <v>22</v>
      </c>
      <c r="C2977" s="3">
        <v>328353</v>
      </c>
      <c r="D2977" s="3">
        <v>25362</v>
      </c>
      <c r="E2977" s="3" t="s">
        <v>23</v>
      </c>
    </row>
    <row r="2978" spans="1:5">
      <c r="A2978" s="3" t="s">
        <v>3000</v>
      </c>
      <c r="B2978" s="3" t="s">
        <v>22</v>
      </c>
      <c r="C2978" s="3">
        <v>395612</v>
      </c>
      <c r="D2978" s="3">
        <v>131346</v>
      </c>
      <c r="E2978" s="3" t="s">
        <v>23</v>
      </c>
    </row>
    <row r="2979" spans="1:5">
      <c r="A2979" s="3" t="s">
        <v>3001</v>
      </c>
      <c r="B2979" s="3" t="s">
        <v>22</v>
      </c>
      <c r="C2979" s="3">
        <v>169450</v>
      </c>
      <c r="D2979" s="3">
        <v>44516</v>
      </c>
      <c r="E2979" s="3" t="s">
        <v>23</v>
      </c>
    </row>
    <row r="2980" spans="1:5">
      <c r="A2980" s="3" t="s">
        <v>3002</v>
      </c>
      <c r="B2980" s="3" t="s">
        <v>22</v>
      </c>
      <c r="C2980" s="3">
        <v>407831</v>
      </c>
      <c r="D2980" s="3">
        <v>9410</v>
      </c>
      <c r="E2980" s="3" t="s">
        <v>23</v>
      </c>
    </row>
    <row r="2981" spans="1:5">
      <c r="A2981" s="3" t="s">
        <v>3003</v>
      </c>
      <c r="B2981" s="3" t="s">
        <v>22</v>
      </c>
      <c r="C2981" s="3">
        <v>325454</v>
      </c>
      <c r="D2981" s="3">
        <v>30639</v>
      </c>
      <c r="E2981" s="3" t="s">
        <v>23</v>
      </c>
    </row>
    <row r="2982" spans="1:5">
      <c r="A2982" s="3" t="s">
        <v>3004</v>
      </c>
      <c r="B2982" s="3" t="s">
        <v>22</v>
      </c>
      <c r="C2982" s="3">
        <v>377480</v>
      </c>
      <c r="D2982" s="3">
        <v>123029</v>
      </c>
      <c r="E2982" s="3" t="s">
        <v>23</v>
      </c>
    </row>
    <row r="2983" spans="1:5">
      <c r="A2983" s="3" t="s">
        <v>3005</v>
      </c>
      <c r="B2983" s="3" t="s">
        <v>22</v>
      </c>
      <c r="C2983" s="3">
        <v>376954</v>
      </c>
      <c r="D2983" s="3">
        <v>135181</v>
      </c>
      <c r="E2983" s="3" t="s">
        <v>23</v>
      </c>
    </row>
    <row r="2984" spans="1:5">
      <c r="A2984" s="3" t="s">
        <v>3006</v>
      </c>
      <c r="B2984" s="3" t="s">
        <v>22</v>
      </c>
      <c r="C2984" s="3">
        <v>252443</v>
      </c>
      <c r="D2984" s="3">
        <v>4380</v>
      </c>
      <c r="E2984" s="3" t="s">
        <v>23</v>
      </c>
    </row>
    <row r="2985" spans="1:5">
      <c r="A2985" s="3" t="s">
        <v>3007</v>
      </c>
      <c r="B2985" s="3" t="s">
        <v>22</v>
      </c>
      <c r="C2985" s="3">
        <v>289741</v>
      </c>
      <c r="D2985" s="3">
        <v>2581</v>
      </c>
      <c r="E2985" s="3" t="s">
        <v>23</v>
      </c>
    </row>
    <row r="2986" spans="1:5">
      <c r="A2986" s="3" t="s">
        <v>3008</v>
      </c>
      <c r="B2986" s="3" t="s">
        <v>22</v>
      </c>
      <c r="C2986" s="3">
        <v>176741</v>
      </c>
      <c r="D2986" s="3">
        <v>43322</v>
      </c>
      <c r="E2986" s="3" t="s">
        <v>23</v>
      </c>
    </row>
    <row r="2987" spans="1:5">
      <c r="A2987" s="3" t="s">
        <v>3009</v>
      </c>
      <c r="B2987" s="3" t="s">
        <v>22</v>
      </c>
      <c r="C2987" s="3">
        <v>477623</v>
      </c>
      <c r="D2987" s="3">
        <v>122623</v>
      </c>
      <c r="E2987" s="3" t="s">
        <v>23</v>
      </c>
    </row>
    <row r="2988" spans="1:5">
      <c r="A2988" s="3" t="s">
        <v>3010</v>
      </c>
      <c r="B2988" s="3" t="s">
        <v>22</v>
      </c>
      <c r="C2988" s="3">
        <v>114547</v>
      </c>
      <c r="D2988" s="3">
        <v>41555</v>
      </c>
      <c r="E2988" s="3" t="s">
        <v>23</v>
      </c>
    </row>
    <row r="2989" spans="1:5">
      <c r="A2989" s="3" t="s">
        <v>3011</v>
      </c>
      <c r="B2989" s="3" t="s">
        <v>22</v>
      </c>
      <c r="C2989" s="3">
        <v>316711</v>
      </c>
      <c r="D2989" s="3">
        <v>43076</v>
      </c>
      <c r="E2989" s="3" t="s">
        <v>23</v>
      </c>
    </row>
    <row r="2990" spans="1:5">
      <c r="A2990" s="3" t="s">
        <v>3012</v>
      </c>
      <c r="B2990" s="3" t="s">
        <v>22</v>
      </c>
      <c r="C2990" s="3">
        <v>27407</v>
      </c>
      <c r="D2990" s="3">
        <v>4534</v>
      </c>
      <c r="E2990" s="3" t="s">
        <v>23</v>
      </c>
    </row>
    <row r="2991" spans="1:5">
      <c r="A2991" s="3" t="s">
        <v>3013</v>
      </c>
      <c r="B2991" s="3" t="s">
        <v>22</v>
      </c>
      <c r="C2991" s="3">
        <v>265992</v>
      </c>
      <c r="D2991" s="3">
        <v>2659</v>
      </c>
      <c r="E2991" s="3" t="s">
        <v>23</v>
      </c>
    </row>
    <row r="2992" spans="1:5">
      <c r="A2992" s="3" t="s">
        <v>3014</v>
      </c>
      <c r="B2992" s="3" t="s">
        <v>22</v>
      </c>
      <c r="C2992" s="3">
        <v>494011</v>
      </c>
      <c r="D2992" s="3">
        <v>67565</v>
      </c>
      <c r="E2992" s="3" t="s">
        <v>23</v>
      </c>
    </row>
    <row r="2993" spans="1:5">
      <c r="A2993" s="3" t="s">
        <v>3015</v>
      </c>
      <c r="B2993" s="3" t="s">
        <v>22</v>
      </c>
      <c r="C2993" s="3">
        <v>427078</v>
      </c>
      <c r="D2993" s="3">
        <v>163898</v>
      </c>
      <c r="E2993" s="3" t="s">
        <v>23</v>
      </c>
    </row>
    <row r="2994" spans="1:5">
      <c r="A2994" s="3" t="s">
        <v>3016</v>
      </c>
      <c r="B2994" s="3" t="s">
        <v>22</v>
      </c>
      <c r="C2994" s="3">
        <v>456123</v>
      </c>
      <c r="D2994" s="3">
        <v>152117</v>
      </c>
      <c r="E2994" s="3" t="s">
        <v>23</v>
      </c>
    </row>
    <row r="2995" spans="1:5">
      <c r="A2995" s="3" t="s">
        <v>3017</v>
      </c>
      <c r="B2995" s="3" t="s">
        <v>22</v>
      </c>
      <c r="C2995" s="3">
        <v>382004</v>
      </c>
      <c r="D2995" s="3">
        <v>134051</v>
      </c>
      <c r="E2995" s="3" t="s">
        <v>23</v>
      </c>
    </row>
    <row r="2996" spans="1:5">
      <c r="A2996" s="3" t="s">
        <v>3018</v>
      </c>
      <c r="B2996" s="3" t="s">
        <v>22</v>
      </c>
      <c r="C2996" s="3">
        <v>243584</v>
      </c>
      <c r="D2996" s="3">
        <v>372</v>
      </c>
      <c r="E2996" s="3" t="s">
        <v>23</v>
      </c>
    </row>
    <row r="2997" spans="1:5">
      <c r="A2997" s="3" t="s">
        <v>3019</v>
      </c>
      <c r="B2997" s="3" t="s">
        <v>22</v>
      </c>
      <c r="C2997" s="3">
        <v>253528</v>
      </c>
      <c r="D2997" s="3">
        <v>91329</v>
      </c>
      <c r="E2997" s="3" t="s">
        <v>23</v>
      </c>
    </row>
    <row r="2998" spans="1:5">
      <c r="A2998" s="3" t="s">
        <v>3020</v>
      </c>
      <c r="B2998" s="3" t="s">
        <v>22</v>
      </c>
      <c r="C2998" s="3">
        <v>402866</v>
      </c>
      <c r="D2998" s="3">
        <v>87757</v>
      </c>
      <c r="E2998" s="3" t="s">
        <v>23</v>
      </c>
    </row>
    <row r="2999" spans="1:5">
      <c r="A2999" s="3" t="s">
        <v>3021</v>
      </c>
      <c r="B2999" s="3" t="s">
        <v>22</v>
      </c>
      <c r="C2999" s="3">
        <v>410618</v>
      </c>
      <c r="D2999" s="3">
        <v>137976</v>
      </c>
      <c r="E2999" s="3" t="s">
        <v>23</v>
      </c>
    </row>
    <row r="3000" spans="1:5">
      <c r="A3000" s="3" t="s">
        <v>3022</v>
      </c>
      <c r="B3000" s="3" t="s">
        <v>22</v>
      </c>
      <c r="C3000" s="3">
        <v>562755</v>
      </c>
      <c r="D3000" s="3">
        <v>22441</v>
      </c>
      <c r="E3000" s="3" t="s">
        <v>23</v>
      </c>
    </row>
    <row r="3001" spans="1:5">
      <c r="A3001" s="3" t="s">
        <v>3023</v>
      </c>
      <c r="B3001" s="3" t="s">
        <v>22</v>
      </c>
      <c r="C3001" s="3">
        <v>583054</v>
      </c>
      <c r="D3001" s="3">
        <v>194498</v>
      </c>
      <c r="E3001" s="3" t="s">
        <v>23</v>
      </c>
    </row>
    <row r="3002" spans="1:5">
      <c r="A3002" s="3" t="s">
        <v>3024</v>
      </c>
      <c r="B3002" s="3" t="s">
        <v>22</v>
      </c>
      <c r="C3002" s="3">
        <v>406650</v>
      </c>
      <c r="D3002" s="3">
        <v>57055</v>
      </c>
      <c r="E3002" s="3" t="s">
        <v>23</v>
      </c>
    </row>
    <row r="3003" spans="1:5">
      <c r="A3003" s="3" t="s">
        <v>3025</v>
      </c>
      <c r="B3003" s="3" t="s">
        <v>22</v>
      </c>
      <c r="C3003" s="3">
        <v>513392</v>
      </c>
      <c r="D3003" s="3">
        <v>112919</v>
      </c>
      <c r="E3003" s="3" t="s">
        <v>23</v>
      </c>
    </row>
    <row r="3004" spans="1:5">
      <c r="A3004" s="3" t="s">
        <v>3026</v>
      </c>
      <c r="B3004" s="3" t="s">
        <v>22</v>
      </c>
      <c r="C3004" s="3">
        <v>481223</v>
      </c>
      <c r="D3004" s="3">
        <v>151343</v>
      </c>
      <c r="E3004" s="3" t="s">
        <v>23</v>
      </c>
    </row>
    <row r="3005" spans="1:5">
      <c r="A3005" s="3" t="s">
        <v>3027</v>
      </c>
      <c r="B3005" s="3" t="s">
        <v>22</v>
      </c>
      <c r="C3005" s="3">
        <v>306682</v>
      </c>
      <c r="D3005" s="3">
        <v>91624</v>
      </c>
      <c r="E3005" s="3" t="s">
        <v>23</v>
      </c>
    </row>
    <row r="3006" spans="1:5">
      <c r="A3006" s="3" t="s">
        <v>3028</v>
      </c>
      <c r="B3006" s="3" t="s">
        <v>22</v>
      </c>
      <c r="C3006" s="3">
        <v>73966</v>
      </c>
      <c r="D3006" s="3">
        <v>24223</v>
      </c>
      <c r="E3006" s="3" t="s">
        <v>23</v>
      </c>
    </row>
    <row r="3007" spans="1:5">
      <c r="A3007" s="3" t="s">
        <v>3029</v>
      </c>
      <c r="B3007" s="3" t="s">
        <v>22</v>
      </c>
      <c r="C3007" s="3">
        <v>344858</v>
      </c>
      <c r="D3007" s="3">
        <v>3297</v>
      </c>
      <c r="E3007" s="3" t="s">
        <v>23</v>
      </c>
    </row>
    <row r="3008" spans="1:5">
      <c r="A3008" s="3" t="s">
        <v>3030</v>
      </c>
      <c r="B3008" s="3" t="s">
        <v>22</v>
      </c>
      <c r="C3008" s="3">
        <v>349624</v>
      </c>
      <c r="D3008" s="3">
        <v>77245</v>
      </c>
      <c r="E3008" s="3" t="s">
        <v>23</v>
      </c>
    </row>
    <row r="3009" spans="1:5">
      <c r="A3009" s="3" t="s">
        <v>3031</v>
      </c>
      <c r="B3009" s="3" t="s">
        <v>22</v>
      </c>
      <c r="C3009" s="3">
        <v>555693</v>
      </c>
      <c r="D3009" s="3">
        <v>53708</v>
      </c>
      <c r="E3009" s="3" t="s">
        <v>23</v>
      </c>
    </row>
    <row r="3010" spans="1:5">
      <c r="A3010" s="3" t="s">
        <v>3032</v>
      </c>
      <c r="B3010" s="3" t="s">
        <v>22</v>
      </c>
      <c r="C3010" s="3">
        <v>463071</v>
      </c>
      <c r="D3010" s="3">
        <v>30916</v>
      </c>
      <c r="E3010" s="3" t="s">
        <v>23</v>
      </c>
    </row>
    <row r="3011" spans="1:5">
      <c r="A3011" s="3" t="s">
        <v>3033</v>
      </c>
      <c r="B3011" s="3" t="s">
        <v>22</v>
      </c>
      <c r="C3011" s="3">
        <v>474893</v>
      </c>
      <c r="D3011" s="3">
        <v>97218</v>
      </c>
      <c r="E3011" s="3" t="s">
        <v>23</v>
      </c>
    </row>
    <row r="3012" spans="1:5">
      <c r="A3012" s="3" t="s">
        <v>3034</v>
      </c>
      <c r="B3012" s="3" t="s">
        <v>22</v>
      </c>
      <c r="C3012" s="3">
        <v>293314</v>
      </c>
      <c r="D3012" s="3">
        <v>54375</v>
      </c>
      <c r="E3012" s="3" t="s">
        <v>23</v>
      </c>
    </row>
    <row r="3013" spans="1:5">
      <c r="A3013" s="3" t="s">
        <v>3035</v>
      </c>
      <c r="B3013" s="3" t="s">
        <v>22</v>
      </c>
      <c r="C3013" s="3">
        <v>563384</v>
      </c>
      <c r="D3013" s="3">
        <v>172173</v>
      </c>
      <c r="E3013" s="3" t="s">
        <v>23</v>
      </c>
    </row>
    <row r="3014" spans="1:5">
      <c r="A3014" s="3" t="s">
        <v>3036</v>
      </c>
      <c r="B3014" s="3" t="s">
        <v>22</v>
      </c>
      <c r="C3014" s="3">
        <v>524656</v>
      </c>
      <c r="D3014" s="3">
        <v>57076</v>
      </c>
      <c r="E3014" s="3" t="s">
        <v>23</v>
      </c>
    </row>
    <row r="3015" spans="1:5">
      <c r="A3015" s="3" t="s">
        <v>3037</v>
      </c>
      <c r="B3015" s="3" t="s">
        <v>22</v>
      </c>
      <c r="C3015" s="3">
        <v>459172</v>
      </c>
      <c r="D3015" s="3">
        <v>148028</v>
      </c>
      <c r="E3015" s="3" t="s">
        <v>23</v>
      </c>
    </row>
    <row r="3016" spans="1:5">
      <c r="A3016" s="3" t="s">
        <v>3038</v>
      </c>
      <c r="B3016" s="3" t="s">
        <v>22</v>
      </c>
      <c r="C3016" s="3">
        <v>471864</v>
      </c>
      <c r="D3016" s="3">
        <v>74480</v>
      </c>
      <c r="E3016" s="3" t="s">
        <v>23</v>
      </c>
    </row>
    <row r="3017" spans="1:5">
      <c r="A3017" s="3" t="s">
        <v>3039</v>
      </c>
      <c r="B3017" s="3" t="s">
        <v>22</v>
      </c>
      <c r="C3017" s="3">
        <v>254668</v>
      </c>
      <c r="D3017" s="3">
        <v>18934</v>
      </c>
      <c r="E3017" s="3" t="s">
        <v>23</v>
      </c>
    </row>
    <row r="3018" spans="1:5">
      <c r="A3018" s="3" t="s">
        <v>3040</v>
      </c>
      <c r="B3018" s="3" t="s">
        <v>22</v>
      </c>
      <c r="C3018" s="3">
        <v>465474</v>
      </c>
      <c r="D3018" s="3">
        <v>77706</v>
      </c>
      <c r="E3018" s="3" t="s">
        <v>23</v>
      </c>
    </row>
    <row r="3019" spans="1:5">
      <c r="A3019" s="3" t="s">
        <v>3041</v>
      </c>
      <c r="B3019" s="3" t="s">
        <v>22</v>
      </c>
      <c r="C3019" s="3">
        <v>313097</v>
      </c>
      <c r="D3019" s="3">
        <v>65678</v>
      </c>
      <c r="E3019" s="3" t="s">
        <v>23</v>
      </c>
    </row>
    <row r="3020" spans="1:5">
      <c r="A3020" s="3" t="s">
        <v>3042</v>
      </c>
      <c r="B3020" s="3" t="s">
        <v>22</v>
      </c>
      <c r="C3020" s="3">
        <v>354017</v>
      </c>
      <c r="D3020" s="3">
        <v>76715</v>
      </c>
      <c r="E3020" s="3" t="s">
        <v>23</v>
      </c>
    </row>
    <row r="3021" spans="1:5">
      <c r="A3021" s="3" t="s">
        <v>3043</v>
      </c>
      <c r="B3021" s="3" t="s">
        <v>22</v>
      </c>
      <c r="C3021" s="3">
        <v>317011</v>
      </c>
      <c r="D3021" s="3">
        <v>103489</v>
      </c>
      <c r="E3021" s="3" t="s">
        <v>23</v>
      </c>
    </row>
    <row r="3022" spans="1:5">
      <c r="A3022" s="3" t="s">
        <v>3044</v>
      </c>
      <c r="B3022" s="3" t="s">
        <v>22</v>
      </c>
      <c r="C3022" s="3">
        <v>455394</v>
      </c>
      <c r="D3022" s="3">
        <v>80383</v>
      </c>
      <c r="E3022" s="3" t="s">
        <v>23</v>
      </c>
    </row>
    <row r="3023" spans="1:5">
      <c r="A3023" s="3" t="s">
        <v>3045</v>
      </c>
      <c r="B3023" s="3" t="s">
        <v>22</v>
      </c>
      <c r="C3023" s="3">
        <v>454551</v>
      </c>
      <c r="D3023" s="3">
        <v>32215</v>
      </c>
      <c r="E3023" s="3" t="s">
        <v>23</v>
      </c>
    </row>
    <row r="3024" spans="1:5">
      <c r="A3024" s="3" t="s">
        <v>3046</v>
      </c>
      <c r="B3024" s="3" t="s">
        <v>22</v>
      </c>
      <c r="C3024" s="3">
        <v>321136</v>
      </c>
      <c r="D3024" s="3">
        <v>1576</v>
      </c>
      <c r="E3024" s="3" t="s">
        <v>23</v>
      </c>
    </row>
    <row r="3025" spans="1:5">
      <c r="A3025" s="3" t="s">
        <v>3047</v>
      </c>
      <c r="B3025" s="3" t="s">
        <v>22</v>
      </c>
      <c r="C3025" s="3">
        <v>547438</v>
      </c>
      <c r="D3025" s="3">
        <v>108467</v>
      </c>
      <c r="E3025" s="3" t="s">
        <v>23</v>
      </c>
    </row>
    <row r="3026" spans="1:5">
      <c r="A3026" s="3" t="s">
        <v>3048</v>
      </c>
      <c r="B3026" s="3" t="s">
        <v>22</v>
      </c>
      <c r="C3026" s="3">
        <v>463093</v>
      </c>
      <c r="D3026" s="3">
        <v>62077</v>
      </c>
      <c r="E3026" s="3" t="s">
        <v>23</v>
      </c>
    </row>
    <row r="3027" spans="1:5">
      <c r="A3027" s="3" t="s">
        <v>3049</v>
      </c>
      <c r="B3027" s="3" t="s">
        <v>22</v>
      </c>
      <c r="C3027" s="3">
        <v>345645</v>
      </c>
      <c r="D3027" s="3">
        <v>84607</v>
      </c>
      <c r="E3027" s="3" t="s">
        <v>23</v>
      </c>
    </row>
    <row r="3028" spans="1:5">
      <c r="A3028" s="3" t="s">
        <v>3050</v>
      </c>
      <c r="B3028" s="3" t="s">
        <v>22</v>
      </c>
      <c r="C3028" s="3">
        <v>445367</v>
      </c>
      <c r="D3028" s="3">
        <v>134978</v>
      </c>
      <c r="E3028" s="3" t="s">
        <v>23</v>
      </c>
    </row>
    <row r="3029" spans="1:5">
      <c r="A3029" s="3" t="s">
        <v>3051</v>
      </c>
      <c r="B3029" s="3" t="s">
        <v>22</v>
      </c>
      <c r="C3029" s="3">
        <v>369273</v>
      </c>
      <c r="D3029" s="3">
        <v>18627</v>
      </c>
      <c r="E3029" s="3" t="s">
        <v>23</v>
      </c>
    </row>
    <row r="3030" spans="1:5">
      <c r="A3030" s="3" t="s">
        <v>3052</v>
      </c>
      <c r="B3030" s="3" t="s">
        <v>22</v>
      </c>
      <c r="C3030" s="3">
        <v>523930</v>
      </c>
      <c r="D3030" s="3">
        <v>74665</v>
      </c>
      <c r="E3030" s="3" t="s">
        <v>23</v>
      </c>
    </row>
    <row r="3031" spans="1:5">
      <c r="A3031" s="3" t="s">
        <v>3053</v>
      </c>
      <c r="B3031" s="3" t="s">
        <v>22</v>
      </c>
      <c r="C3031" s="3">
        <v>400532</v>
      </c>
      <c r="D3031" s="3">
        <v>95000</v>
      </c>
      <c r="E3031" s="3" t="s">
        <v>23</v>
      </c>
    </row>
    <row r="3032" spans="1:5">
      <c r="A3032" s="3" t="s">
        <v>3054</v>
      </c>
      <c r="B3032" s="3" t="s">
        <v>22</v>
      </c>
      <c r="C3032" s="3">
        <v>411325</v>
      </c>
      <c r="D3032" s="3">
        <v>17564</v>
      </c>
      <c r="E3032" s="3" t="s">
        <v>23</v>
      </c>
    </row>
    <row r="3033" spans="1:5">
      <c r="A3033" s="3" t="s">
        <v>3055</v>
      </c>
      <c r="B3033" s="3" t="s">
        <v>22</v>
      </c>
      <c r="C3033" s="3">
        <v>311908</v>
      </c>
      <c r="D3033" s="3">
        <v>74919</v>
      </c>
      <c r="E3033" s="3" t="s">
        <v>23</v>
      </c>
    </row>
    <row r="3034" spans="1:5">
      <c r="A3034" s="3" t="s">
        <v>3056</v>
      </c>
      <c r="B3034" s="3" t="s">
        <v>22</v>
      </c>
      <c r="C3034" s="3">
        <v>278389</v>
      </c>
      <c r="D3034" s="3">
        <v>49660</v>
      </c>
      <c r="E3034" s="3" t="s">
        <v>23</v>
      </c>
    </row>
    <row r="3035" spans="1:5">
      <c r="A3035" s="3" t="s">
        <v>3057</v>
      </c>
      <c r="B3035" s="3" t="s">
        <v>22</v>
      </c>
      <c r="C3035" s="3">
        <v>360674</v>
      </c>
      <c r="D3035" s="3">
        <v>18846</v>
      </c>
      <c r="E3035" s="3" t="s">
        <v>23</v>
      </c>
    </row>
    <row r="3036" spans="1:5">
      <c r="A3036" s="3" t="s">
        <v>3058</v>
      </c>
      <c r="B3036" s="3" t="s">
        <v>22</v>
      </c>
      <c r="C3036" s="3">
        <v>319946</v>
      </c>
      <c r="D3036" s="3">
        <v>14260</v>
      </c>
      <c r="E3036" s="3" t="s">
        <v>23</v>
      </c>
    </row>
    <row r="3037" spans="1:5">
      <c r="A3037" s="3" t="s">
        <v>3059</v>
      </c>
      <c r="B3037" s="3" t="s">
        <v>22</v>
      </c>
      <c r="C3037" s="3">
        <v>501276</v>
      </c>
      <c r="D3037" s="3">
        <v>168378</v>
      </c>
      <c r="E3037" s="3" t="s">
        <v>23</v>
      </c>
    </row>
    <row r="3038" spans="1:5">
      <c r="A3038" s="3" t="s">
        <v>3060</v>
      </c>
      <c r="B3038" s="3" t="s">
        <v>22</v>
      </c>
      <c r="C3038" s="3">
        <v>533523</v>
      </c>
      <c r="D3038" s="3">
        <v>95210</v>
      </c>
      <c r="E3038" s="3" t="s">
        <v>23</v>
      </c>
    </row>
    <row r="3039" spans="1:5">
      <c r="A3039" s="3" t="s">
        <v>3061</v>
      </c>
      <c r="B3039" s="3" t="s">
        <v>22</v>
      </c>
      <c r="C3039" s="3">
        <v>379601</v>
      </c>
      <c r="D3039" s="3">
        <v>61236</v>
      </c>
      <c r="E3039" s="3" t="s">
        <v>23</v>
      </c>
    </row>
    <row r="3040" spans="1:5">
      <c r="A3040" s="3" t="s">
        <v>3062</v>
      </c>
      <c r="B3040" s="3" t="s">
        <v>22</v>
      </c>
      <c r="C3040" s="3">
        <v>564297</v>
      </c>
      <c r="D3040" s="3">
        <v>78343</v>
      </c>
      <c r="E3040" s="3" t="s">
        <v>23</v>
      </c>
    </row>
    <row r="3041" spans="1:5">
      <c r="A3041" s="3" t="s">
        <v>3063</v>
      </c>
      <c r="B3041" s="3" t="s">
        <v>22</v>
      </c>
      <c r="C3041" s="3">
        <v>400980</v>
      </c>
      <c r="D3041" s="3">
        <v>18472</v>
      </c>
      <c r="E3041" s="3" t="s">
        <v>23</v>
      </c>
    </row>
    <row r="3042" spans="1:5">
      <c r="A3042" s="3" t="s">
        <v>3064</v>
      </c>
      <c r="B3042" s="3" t="s">
        <v>22</v>
      </c>
      <c r="C3042" s="3">
        <v>407990</v>
      </c>
      <c r="D3042" s="3">
        <v>36295</v>
      </c>
      <c r="E3042" s="3" t="s">
        <v>23</v>
      </c>
    </row>
    <row r="3043" spans="1:5">
      <c r="A3043" s="3" t="s">
        <v>3065</v>
      </c>
      <c r="B3043" s="3" t="s">
        <v>22</v>
      </c>
      <c r="C3043" s="3">
        <v>245452</v>
      </c>
      <c r="D3043" s="3">
        <v>14247</v>
      </c>
      <c r="E3043" s="3" t="s">
        <v>23</v>
      </c>
    </row>
    <row r="3044" spans="1:5">
      <c r="A3044" s="3" t="s">
        <v>3066</v>
      </c>
      <c r="B3044" s="3" t="s">
        <v>22</v>
      </c>
      <c r="C3044" s="3">
        <v>693824</v>
      </c>
      <c r="D3044" s="3">
        <v>157190</v>
      </c>
      <c r="E3044" s="3" t="s">
        <v>23</v>
      </c>
    </row>
    <row r="3045" spans="1:5">
      <c r="A3045" s="3" t="s">
        <v>3067</v>
      </c>
      <c r="B3045" s="3" t="s">
        <v>22</v>
      </c>
      <c r="C3045" s="3">
        <v>473703</v>
      </c>
      <c r="D3045" s="3">
        <v>68280</v>
      </c>
      <c r="E3045" s="3" t="s">
        <v>23</v>
      </c>
    </row>
    <row r="3046" spans="1:5">
      <c r="A3046" s="3" t="s">
        <v>3068</v>
      </c>
      <c r="B3046" s="3" t="s">
        <v>22</v>
      </c>
      <c r="C3046" s="3">
        <v>362351</v>
      </c>
      <c r="D3046" s="3">
        <v>108214</v>
      </c>
      <c r="E3046" s="3" t="s">
        <v>23</v>
      </c>
    </row>
    <row r="3047" spans="1:5">
      <c r="A3047" s="3" t="s">
        <v>3069</v>
      </c>
      <c r="B3047" s="3" t="s">
        <v>22</v>
      </c>
      <c r="C3047" s="3">
        <v>459382</v>
      </c>
      <c r="D3047" s="3">
        <v>32891</v>
      </c>
      <c r="E3047" s="3" t="s">
        <v>23</v>
      </c>
    </row>
    <row r="3048" spans="1:5">
      <c r="A3048" s="3" t="s">
        <v>3070</v>
      </c>
      <c r="B3048" s="3" t="s">
        <v>22</v>
      </c>
      <c r="C3048" s="3">
        <v>275798</v>
      </c>
      <c r="D3048" s="3">
        <v>32283</v>
      </c>
      <c r="E3048" s="3" t="s">
        <v>23</v>
      </c>
    </row>
    <row r="3049" spans="1:5">
      <c r="A3049" s="3" t="s">
        <v>3071</v>
      </c>
      <c r="B3049" s="3" t="s">
        <v>22</v>
      </c>
      <c r="C3049" s="3">
        <v>112353</v>
      </c>
      <c r="D3049" s="3">
        <v>5865</v>
      </c>
      <c r="E3049" s="3" t="s">
        <v>23</v>
      </c>
    </row>
    <row r="3050" spans="1:5">
      <c r="A3050" s="3" t="s">
        <v>3072</v>
      </c>
      <c r="B3050" s="3" t="s">
        <v>22</v>
      </c>
      <c r="C3050" s="3">
        <v>293693</v>
      </c>
      <c r="D3050" s="3">
        <v>77432</v>
      </c>
      <c r="E3050" s="3" t="s">
        <v>23</v>
      </c>
    </row>
    <row r="3051" spans="1:5">
      <c r="A3051" s="3" t="s">
        <v>3073</v>
      </c>
      <c r="B3051" s="3" t="s">
        <v>22</v>
      </c>
      <c r="C3051" s="3">
        <v>493809</v>
      </c>
      <c r="D3051" s="3">
        <v>127702</v>
      </c>
      <c r="E3051" s="3" t="s">
        <v>23</v>
      </c>
    </row>
    <row r="3052" spans="1:5">
      <c r="A3052" s="3" t="s">
        <v>3074</v>
      </c>
      <c r="B3052" s="3" t="s">
        <v>22</v>
      </c>
      <c r="C3052" s="3">
        <v>190827</v>
      </c>
      <c r="D3052" s="3">
        <v>66721</v>
      </c>
      <c r="E3052" s="3" t="s">
        <v>23</v>
      </c>
    </row>
    <row r="3053" spans="1:5">
      <c r="A3053" s="3" t="s">
        <v>3075</v>
      </c>
      <c r="B3053" s="3" t="s">
        <v>22</v>
      </c>
      <c r="C3053" s="3">
        <v>445814</v>
      </c>
      <c r="D3053" s="3">
        <v>52453</v>
      </c>
      <c r="E3053" s="3" t="s">
        <v>23</v>
      </c>
    </row>
    <row r="3054" spans="1:5">
      <c r="A3054" s="3" t="s">
        <v>3076</v>
      </c>
      <c r="B3054" s="3" t="s">
        <v>22</v>
      </c>
      <c r="C3054" s="3">
        <v>431544</v>
      </c>
      <c r="D3054" s="3">
        <v>10845</v>
      </c>
      <c r="E3054" s="3" t="s">
        <v>23</v>
      </c>
    </row>
    <row r="3055" spans="1:5">
      <c r="A3055" s="3" t="s">
        <v>3077</v>
      </c>
      <c r="B3055" s="3" t="s">
        <v>22</v>
      </c>
      <c r="C3055" s="3">
        <v>464767</v>
      </c>
      <c r="D3055" s="3">
        <v>32744</v>
      </c>
      <c r="E3055" s="3" t="s">
        <v>23</v>
      </c>
    </row>
    <row r="3056" spans="1:5">
      <c r="A3056" s="3" t="s">
        <v>3078</v>
      </c>
      <c r="B3056" s="3" t="s">
        <v>22</v>
      </c>
      <c r="C3056" s="3">
        <v>428987</v>
      </c>
      <c r="D3056" s="3">
        <v>84846</v>
      </c>
      <c r="E3056" s="3" t="s">
        <v>23</v>
      </c>
    </row>
    <row r="3057" spans="1:5">
      <c r="A3057" s="3" t="s">
        <v>3079</v>
      </c>
      <c r="B3057" s="3" t="s">
        <v>22</v>
      </c>
      <c r="C3057" s="3">
        <v>321248</v>
      </c>
      <c r="D3057" s="3">
        <v>43315</v>
      </c>
      <c r="E3057" s="3" t="s">
        <v>23</v>
      </c>
    </row>
    <row r="3058" spans="1:5">
      <c r="A3058" s="3" t="s">
        <v>3080</v>
      </c>
      <c r="B3058" s="3" t="s">
        <v>22</v>
      </c>
      <c r="C3058" s="3">
        <v>185194</v>
      </c>
      <c r="D3058" s="3">
        <v>33949</v>
      </c>
      <c r="E3058" s="3" t="s">
        <v>23</v>
      </c>
    </row>
    <row r="3059" spans="1:5">
      <c r="A3059" s="3" t="s">
        <v>3081</v>
      </c>
      <c r="B3059" s="3" t="s">
        <v>22</v>
      </c>
      <c r="C3059" s="3">
        <v>325180</v>
      </c>
      <c r="D3059" s="3">
        <v>133445</v>
      </c>
      <c r="E3059" s="3" t="s">
        <v>23</v>
      </c>
    </row>
    <row r="3060" spans="1:5">
      <c r="A3060" s="3" t="s">
        <v>3082</v>
      </c>
      <c r="B3060" s="3" t="s">
        <v>22</v>
      </c>
      <c r="C3060" s="3">
        <v>391283</v>
      </c>
      <c r="D3060" s="3">
        <v>22700</v>
      </c>
      <c r="E3060" s="3" t="s">
        <v>23</v>
      </c>
    </row>
    <row r="3061" spans="1:5">
      <c r="A3061" s="3" t="s">
        <v>3083</v>
      </c>
      <c r="B3061" s="3" t="s">
        <v>22</v>
      </c>
      <c r="C3061" s="3">
        <v>327034</v>
      </c>
      <c r="D3061" s="3">
        <v>50200</v>
      </c>
      <c r="E3061" s="3" t="s">
        <v>23</v>
      </c>
    </row>
    <row r="3062" spans="1:5">
      <c r="A3062" s="3" t="s">
        <v>3084</v>
      </c>
      <c r="B3062" s="3" t="s">
        <v>22</v>
      </c>
      <c r="C3062" s="3">
        <v>313660</v>
      </c>
      <c r="D3062" s="3">
        <v>80111</v>
      </c>
      <c r="E3062" s="3" t="s">
        <v>23</v>
      </c>
    </row>
    <row r="3063" spans="1:5">
      <c r="A3063" s="3" t="s">
        <v>3085</v>
      </c>
      <c r="B3063" s="3" t="s">
        <v>22</v>
      </c>
      <c r="C3063" s="3">
        <v>308331</v>
      </c>
      <c r="D3063" s="3">
        <v>32274</v>
      </c>
      <c r="E3063" s="3" t="s">
        <v>23</v>
      </c>
    </row>
    <row r="3064" spans="1:5">
      <c r="A3064" s="3" t="s">
        <v>3086</v>
      </c>
      <c r="B3064" s="3" t="s">
        <v>22</v>
      </c>
      <c r="C3064" s="3">
        <v>408168</v>
      </c>
      <c r="D3064" s="3">
        <v>127164</v>
      </c>
      <c r="E3064" s="3" t="s">
        <v>23</v>
      </c>
    </row>
    <row r="3065" spans="1:5">
      <c r="A3065" s="3" t="s">
        <v>3087</v>
      </c>
      <c r="B3065" s="3" t="s">
        <v>22</v>
      </c>
      <c r="C3065" s="3">
        <v>319134</v>
      </c>
      <c r="D3065" s="3">
        <v>73763</v>
      </c>
      <c r="E3065" s="3" t="s">
        <v>23</v>
      </c>
    </row>
    <row r="3066" spans="1:5">
      <c r="A3066" s="3" t="s">
        <v>3088</v>
      </c>
      <c r="B3066" s="3" t="s">
        <v>22</v>
      </c>
      <c r="C3066" s="3">
        <v>274383</v>
      </c>
      <c r="D3066" s="3">
        <v>19122</v>
      </c>
      <c r="E3066" s="3" t="s">
        <v>23</v>
      </c>
    </row>
    <row r="3067" spans="1:5">
      <c r="A3067" s="3" t="s">
        <v>3089</v>
      </c>
      <c r="B3067" s="3" t="s">
        <v>22</v>
      </c>
      <c r="C3067" s="3">
        <v>317650</v>
      </c>
      <c r="D3067" s="3">
        <v>13332</v>
      </c>
      <c r="E3067" s="3" t="s">
        <v>23</v>
      </c>
    </row>
    <row r="3068" spans="1:5">
      <c r="A3068" s="3" t="s">
        <v>3090</v>
      </c>
      <c r="B3068" s="3" t="s">
        <v>22</v>
      </c>
      <c r="C3068" s="3">
        <v>108085</v>
      </c>
      <c r="D3068" s="3">
        <v>8040</v>
      </c>
      <c r="E3068" s="3" t="s">
        <v>23</v>
      </c>
    </row>
    <row r="3069" spans="1:5">
      <c r="A3069" s="3" t="s">
        <v>3091</v>
      </c>
      <c r="B3069" s="3" t="s">
        <v>22</v>
      </c>
      <c r="C3069" s="3">
        <v>441283</v>
      </c>
      <c r="D3069" s="3">
        <v>122996</v>
      </c>
      <c r="E3069" s="3" t="s">
        <v>23</v>
      </c>
    </row>
    <row r="3070" spans="1:5">
      <c r="A3070" s="3" t="s">
        <v>3092</v>
      </c>
      <c r="B3070" s="3" t="s">
        <v>22</v>
      </c>
      <c r="C3070" s="3">
        <v>333107</v>
      </c>
      <c r="D3070" s="3">
        <v>34437</v>
      </c>
      <c r="E3070" s="3" t="s">
        <v>23</v>
      </c>
    </row>
    <row r="3071" spans="1:5">
      <c r="A3071" s="3" t="s">
        <v>3093</v>
      </c>
      <c r="B3071" s="3" t="s">
        <v>22</v>
      </c>
      <c r="C3071" s="3">
        <v>590897</v>
      </c>
      <c r="D3071" s="3">
        <v>155478</v>
      </c>
      <c r="E3071" s="3" t="s">
        <v>23</v>
      </c>
    </row>
    <row r="3072" spans="1:5">
      <c r="A3072" s="3" t="s">
        <v>3094</v>
      </c>
      <c r="B3072" s="3" t="s">
        <v>22</v>
      </c>
      <c r="C3072" s="3">
        <v>516243</v>
      </c>
      <c r="D3072" s="3">
        <v>222260</v>
      </c>
      <c r="E3072" s="3" t="s">
        <v>23</v>
      </c>
    </row>
    <row r="3073" spans="1:5">
      <c r="A3073" s="3" t="s">
        <v>3095</v>
      </c>
      <c r="B3073" s="3" t="s">
        <v>22</v>
      </c>
      <c r="C3073" s="3">
        <v>590353</v>
      </c>
      <c r="D3073" s="3">
        <v>20102</v>
      </c>
      <c r="E3073" s="3" t="s">
        <v>23</v>
      </c>
    </row>
    <row r="3074" spans="1:5">
      <c r="A3074" s="3" t="s">
        <v>3096</v>
      </c>
      <c r="B3074" s="3" t="s">
        <v>22</v>
      </c>
      <c r="C3074" s="3">
        <v>539280</v>
      </c>
      <c r="D3074" s="3">
        <v>3700</v>
      </c>
      <c r="E3074" s="3" t="s">
        <v>23</v>
      </c>
    </row>
    <row r="3075" spans="1:5">
      <c r="A3075" s="3" t="s">
        <v>3097</v>
      </c>
      <c r="B3075" s="3" t="s">
        <v>22</v>
      </c>
      <c r="C3075" s="3">
        <v>440737</v>
      </c>
      <c r="D3075" s="3">
        <v>174838</v>
      </c>
      <c r="E3075" s="3" t="s">
        <v>23</v>
      </c>
    </row>
    <row r="3076" spans="1:5">
      <c r="A3076" s="3" t="s">
        <v>3098</v>
      </c>
      <c r="B3076" s="3" t="s">
        <v>22</v>
      </c>
      <c r="C3076" s="3">
        <v>294736</v>
      </c>
      <c r="D3076" s="3">
        <v>90332</v>
      </c>
      <c r="E3076" s="3" t="s">
        <v>23</v>
      </c>
    </row>
    <row r="3077" spans="1:5">
      <c r="A3077" s="3" t="s">
        <v>3099</v>
      </c>
      <c r="B3077" s="3" t="s">
        <v>22</v>
      </c>
      <c r="C3077" s="3">
        <v>515116</v>
      </c>
      <c r="D3077" s="3">
        <v>10362</v>
      </c>
      <c r="E3077" s="3" t="s">
        <v>23</v>
      </c>
    </row>
    <row r="3078" spans="1:5">
      <c r="A3078" s="3" t="s">
        <v>3100</v>
      </c>
      <c r="B3078" s="3" t="s">
        <v>22</v>
      </c>
      <c r="C3078" s="3">
        <v>398725</v>
      </c>
      <c r="D3078" s="3">
        <v>30051</v>
      </c>
      <c r="E3078" s="3" t="s">
        <v>23</v>
      </c>
    </row>
    <row r="3079" spans="1:5">
      <c r="A3079" s="3" t="s">
        <v>3101</v>
      </c>
      <c r="B3079" s="3" t="s">
        <v>22</v>
      </c>
      <c r="C3079" s="3">
        <v>522847</v>
      </c>
      <c r="D3079" s="3">
        <v>189773</v>
      </c>
      <c r="E3079" s="3" t="s">
        <v>23</v>
      </c>
    </row>
    <row r="3080" spans="1:5">
      <c r="A3080" s="3" t="s">
        <v>3102</v>
      </c>
      <c r="B3080" s="3" t="s">
        <v>22</v>
      </c>
      <c r="C3080" s="3">
        <v>776540</v>
      </c>
      <c r="D3080" s="3">
        <v>231938</v>
      </c>
      <c r="E3080" s="3" t="s">
        <v>23</v>
      </c>
    </row>
    <row r="3081" spans="1:5">
      <c r="A3081" s="3" t="s">
        <v>3103</v>
      </c>
      <c r="B3081" s="3" t="s">
        <v>22</v>
      </c>
      <c r="C3081" s="3">
        <v>209413</v>
      </c>
      <c r="D3081" s="3">
        <v>80404</v>
      </c>
      <c r="E3081" s="3" t="s">
        <v>23</v>
      </c>
    </row>
    <row r="3082" spans="1:5">
      <c r="A3082" s="3" t="s">
        <v>3104</v>
      </c>
      <c r="B3082" s="3" t="s">
        <v>22</v>
      </c>
      <c r="C3082" s="3">
        <v>373416</v>
      </c>
      <c r="D3082" s="3">
        <v>59573</v>
      </c>
      <c r="E3082" s="3" t="s">
        <v>23</v>
      </c>
    </row>
    <row r="3083" spans="1:5">
      <c r="A3083" s="3" t="s">
        <v>3105</v>
      </c>
      <c r="B3083" s="3" t="s">
        <v>22</v>
      </c>
      <c r="C3083" s="3">
        <v>211117</v>
      </c>
      <c r="D3083" s="3">
        <v>73177</v>
      </c>
      <c r="E3083" s="3" t="s">
        <v>23</v>
      </c>
    </row>
    <row r="3084" spans="1:5">
      <c r="A3084" s="3" t="s">
        <v>3106</v>
      </c>
      <c r="B3084" s="3" t="s">
        <v>22</v>
      </c>
      <c r="C3084" s="3">
        <v>331990</v>
      </c>
      <c r="D3084" s="3">
        <v>903</v>
      </c>
      <c r="E3084" s="3" t="s">
        <v>23</v>
      </c>
    </row>
    <row r="3085" spans="1:5">
      <c r="A3085" s="3" t="s">
        <v>3107</v>
      </c>
      <c r="B3085" s="3" t="s">
        <v>22</v>
      </c>
      <c r="C3085" s="3">
        <v>364545</v>
      </c>
      <c r="D3085" s="3">
        <v>55714</v>
      </c>
      <c r="E3085" s="3" t="s">
        <v>23</v>
      </c>
    </row>
    <row r="3086" spans="1:5">
      <c r="A3086" s="3" t="s">
        <v>3108</v>
      </c>
      <c r="B3086" s="3" t="s">
        <v>22</v>
      </c>
      <c r="C3086" s="3">
        <v>328837</v>
      </c>
      <c r="D3086" s="3">
        <v>111681</v>
      </c>
      <c r="E3086" s="3" t="s">
        <v>23</v>
      </c>
    </row>
    <row r="3087" spans="1:5">
      <c r="A3087" s="3" t="s">
        <v>3109</v>
      </c>
      <c r="B3087" s="3" t="s">
        <v>22</v>
      </c>
      <c r="C3087" s="3">
        <v>3620</v>
      </c>
      <c r="D3087" s="3">
        <v>1441</v>
      </c>
      <c r="E3087" s="3" t="s">
        <v>23</v>
      </c>
    </row>
    <row r="3088" spans="1:5">
      <c r="A3088" s="3" t="s">
        <v>3110</v>
      </c>
      <c r="B3088" s="3" t="s">
        <v>22</v>
      </c>
      <c r="C3088" s="3">
        <v>400634</v>
      </c>
      <c r="D3088" s="3">
        <v>122210</v>
      </c>
      <c r="E3088" s="3" t="s">
        <v>23</v>
      </c>
    </row>
    <row r="3089" spans="1:5">
      <c r="A3089" s="3" t="s">
        <v>3111</v>
      </c>
      <c r="B3089" s="3" t="s">
        <v>22</v>
      </c>
      <c r="C3089" s="3">
        <v>362256</v>
      </c>
      <c r="D3089" s="3">
        <v>5471</v>
      </c>
      <c r="E3089" s="3" t="s">
        <v>23</v>
      </c>
    </row>
    <row r="3090" spans="1:5">
      <c r="A3090" s="3" t="s">
        <v>3112</v>
      </c>
      <c r="B3090" s="3" t="s">
        <v>22</v>
      </c>
      <c r="C3090" s="3">
        <v>468924</v>
      </c>
      <c r="D3090" s="3">
        <v>177453</v>
      </c>
      <c r="E3090" s="3" t="s">
        <v>23</v>
      </c>
    </row>
    <row r="3091" spans="1:5">
      <c r="A3091" s="3" t="s">
        <v>3113</v>
      </c>
      <c r="B3091" s="3" t="s">
        <v>22</v>
      </c>
      <c r="C3091" s="3">
        <v>566362</v>
      </c>
      <c r="D3091" s="3">
        <v>141441</v>
      </c>
      <c r="E3091" s="3" t="s">
        <v>23</v>
      </c>
    </row>
    <row r="3092" spans="1:5">
      <c r="A3092" s="3" t="s">
        <v>3114</v>
      </c>
      <c r="B3092" s="3" t="s">
        <v>22</v>
      </c>
      <c r="C3092" s="3">
        <v>509236</v>
      </c>
      <c r="D3092" s="3">
        <v>132417</v>
      </c>
      <c r="E3092" s="3" t="s">
        <v>23</v>
      </c>
    </row>
    <row r="3093" spans="1:5">
      <c r="A3093" s="3" t="s">
        <v>3115</v>
      </c>
      <c r="B3093" s="3" t="s">
        <v>22</v>
      </c>
      <c r="C3093" s="3">
        <v>528152</v>
      </c>
      <c r="D3093" s="3">
        <v>21342</v>
      </c>
      <c r="E3093" s="3" t="s">
        <v>23</v>
      </c>
    </row>
    <row r="3094" spans="1:5">
      <c r="A3094" s="3" t="s">
        <v>3116</v>
      </c>
      <c r="B3094" s="3" t="s">
        <v>22</v>
      </c>
      <c r="C3094" s="3">
        <v>752631</v>
      </c>
      <c r="D3094" s="3">
        <v>261383</v>
      </c>
      <c r="E3094" s="3" t="s">
        <v>23</v>
      </c>
    </row>
    <row r="3095" spans="1:5">
      <c r="A3095" s="3" t="s">
        <v>3117</v>
      </c>
      <c r="B3095" s="3" t="s">
        <v>22</v>
      </c>
      <c r="C3095" s="3">
        <v>519015</v>
      </c>
      <c r="D3095" s="3">
        <v>23081</v>
      </c>
      <c r="E3095" s="3" t="s">
        <v>23</v>
      </c>
    </row>
    <row r="3096" spans="1:5">
      <c r="A3096" s="3" t="s">
        <v>3118</v>
      </c>
      <c r="B3096" s="3" t="s">
        <v>22</v>
      </c>
      <c r="C3096" s="3">
        <v>506702</v>
      </c>
      <c r="D3096" s="3">
        <v>73595</v>
      </c>
      <c r="E3096" s="3" t="s">
        <v>23</v>
      </c>
    </row>
    <row r="3097" spans="1:5">
      <c r="A3097" s="3" t="s">
        <v>3119</v>
      </c>
      <c r="B3097" s="3" t="s">
        <v>22</v>
      </c>
      <c r="C3097" s="3">
        <v>505762</v>
      </c>
      <c r="D3097" s="3">
        <v>172841</v>
      </c>
      <c r="E3097" s="3" t="s">
        <v>23</v>
      </c>
    </row>
    <row r="3098" spans="1:5">
      <c r="A3098" s="3" t="s">
        <v>3120</v>
      </c>
      <c r="B3098" s="3" t="s">
        <v>22</v>
      </c>
      <c r="C3098" s="3">
        <v>380200</v>
      </c>
      <c r="D3098" s="3">
        <v>142503</v>
      </c>
      <c r="E3098" s="3" t="s">
        <v>23</v>
      </c>
    </row>
    <row r="3099" spans="1:5">
      <c r="A3099" s="3" t="s">
        <v>3121</v>
      </c>
      <c r="B3099" s="3" t="s">
        <v>22</v>
      </c>
      <c r="C3099" s="3">
        <v>319942</v>
      </c>
      <c r="D3099" s="3">
        <v>119698</v>
      </c>
      <c r="E3099" s="3" t="s">
        <v>23</v>
      </c>
    </row>
    <row r="3100" spans="1:5">
      <c r="A3100" s="3" t="s">
        <v>3122</v>
      </c>
      <c r="B3100" s="3" t="s">
        <v>22</v>
      </c>
      <c r="C3100" s="3">
        <v>435358</v>
      </c>
      <c r="D3100" s="3">
        <v>4902</v>
      </c>
      <c r="E3100" s="3" t="s">
        <v>23</v>
      </c>
    </row>
    <row r="3101" spans="1:5">
      <c r="A3101" s="3" t="s">
        <v>3123</v>
      </c>
      <c r="B3101" s="3" t="s">
        <v>22</v>
      </c>
      <c r="C3101" s="3">
        <v>702042</v>
      </c>
      <c r="D3101" s="3">
        <v>71399</v>
      </c>
      <c r="E3101" s="3" t="s">
        <v>23</v>
      </c>
    </row>
    <row r="3102" spans="1:5">
      <c r="A3102" s="3" t="s">
        <v>3124</v>
      </c>
      <c r="B3102" s="3" t="s">
        <v>22</v>
      </c>
      <c r="C3102" s="3">
        <v>700653</v>
      </c>
      <c r="D3102" s="3">
        <v>32125</v>
      </c>
      <c r="E3102" s="3" t="s">
        <v>23</v>
      </c>
    </row>
    <row r="3103" spans="1:5">
      <c r="A3103" s="3" t="s">
        <v>3125</v>
      </c>
      <c r="B3103" s="3" t="s">
        <v>22</v>
      </c>
      <c r="C3103" s="3">
        <v>5804</v>
      </c>
      <c r="D3103" s="3">
        <v>1710</v>
      </c>
      <c r="E3103" s="3" t="s">
        <v>23</v>
      </c>
    </row>
    <row r="3104" spans="1:5">
      <c r="A3104" s="3" t="s">
        <v>3126</v>
      </c>
      <c r="B3104" s="3" t="s">
        <v>22</v>
      </c>
      <c r="C3104" s="3">
        <v>699778</v>
      </c>
      <c r="D3104" s="3">
        <v>118703</v>
      </c>
      <c r="E3104" s="3" t="s">
        <v>23</v>
      </c>
    </row>
    <row r="3105" spans="1:5">
      <c r="A3105" s="3" t="s">
        <v>3127</v>
      </c>
      <c r="B3105" s="3" t="s">
        <v>22</v>
      </c>
      <c r="C3105" s="3">
        <v>416403</v>
      </c>
      <c r="D3105" s="3">
        <v>91284</v>
      </c>
      <c r="E3105" s="3" t="s">
        <v>23</v>
      </c>
    </row>
    <row r="3106" spans="1:5">
      <c r="A3106" s="3" t="s">
        <v>3128</v>
      </c>
      <c r="B3106" s="3" t="s">
        <v>22</v>
      </c>
      <c r="C3106" s="3">
        <v>715494</v>
      </c>
      <c r="D3106" s="3">
        <v>222115</v>
      </c>
      <c r="E3106" s="3" t="s">
        <v>23</v>
      </c>
    </row>
    <row r="3107" spans="1:5">
      <c r="A3107" s="3" t="s">
        <v>3129</v>
      </c>
      <c r="B3107" s="3" t="s">
        <v>22</v>
      </c>
      <c r="C3107" s="3">
        <v>401273</v>
      </c>
      <c r="D3107" s="3">
        <v>55831</v>
      </c>
      <c r="E3107" s="3" t="s">
        <v>23</v>
      </c>
    </row>
    <row r="3108" spans="1:5">
      <c r="A3108" s="3" t="s">
        <v>3130</v>
      </c>
      <c r="B3108" s="3" t="s">
        <v>22</v>
      </c>
      <c r="C3108" s="3">
        <v>636455</v>
      </c>
      <c r="D3108" s="3">
        <v>130893</v>
      </c>
      <c r="E3108" s="3" t="s">
        <v>23</v>
      </c>
    </row>
    <row r="3109" spans="1:5">
      <c r="A3109" s="3" t="s">
        <v>3131</v>
      </c>
      <c r="B3109" s="3" t="s">
        <v>22</v>
      </c>
      <c r="C3109" s="3">
        <v>423847</v>
      </c>
      <c r="D3109" s="3">
        <v>19956</v>
      </c>
      <c r="E3109" s="3" t="s">
        <v>23</v>
      </c>
    </row>
    <row r="3110" spans="1:5">
      <c r="A3110" s="3" t="s">
        <v>3132</v>
      </c>
      <c r="B3110" s="3" t="s">
        <v>22</v>
      </c>
      <c r="C3110" s="3">
        <v>757357</v>
      </c>
      <c r="D3110" s="3">
        <v>195821</v>
      </c>
      <c r="E3110" s="3" t="s">
        <v>23</v>
      </c>
    </row>
    <row r="3111" spans="1:5">
      <c r="A3111" s="3" t="s">
        <v>3133</v>
      </c>
      <c r="B3111" s="3" t="s">
        <v>22</v>
      </c>
      <c r="C3111" s="3">
        <v>720337</v>
      </c>
      <c r="D3111" s="3">
        <v>174390</v>
      </c>
      <c r="E3111" s="3" t="s">
        <v>23</v>
      </c>
    </row>
    <row r="3112" spans="1:5">
      <c r="A3112" s="3" t="s">
        <v>3134</v>
      </c>
      <c r="B3112" s="3" t="s">
        <v>22</v>
      </c>
      <c r="C3112" s="3">
        <v>524606</v>
      </c>
      <c r="D3112" s="3">
        <v>177259</v>
      </c>
      <c r="E3112" s="3" t="s">
        <v>23</v>
      </c>
    </row>
    <row r="3113" spans="1:5">
      <c r="A3113" s="3" t="s">
        <v>3135</v>
      </c>
      <c r="B3113" s="3" t="s">
        <v>22</v>
      </c>
      <c r="C3113" s="3">
        <v>773156</v>
      </c>
      <c r="D3113" s="3">
        <v>59096</v>
      </c>
      <c r="E3113" s="3" t="s">
        <v>23</v>
      </c>
    </row>
    <row r="3114" spans="1:5">
      <c r="A3114" s="3" t="s">
        <v>3136</v>
      </c>
      <c r="B3114" s="3" t="s">
        <v>22</v>
      </c>
      <c r="C3114" s="3">
        <v>316339</v>
      </c>
      <c r="D3114" s="3">
        <v>130919</v>
      </c>
      <c r="E3114" s="3" t="s">
        <v>23</v>
      </c>
    </row>
    <row r="3115" spans="1:5">
      <c r="A3115" s="3" t="s">
        <v>3137</v>
      </c>
      <c r="B3115" s="3" t="s">
        <v>22</v>
      </c>
      <c r="C3115" s="3">
        <v>569573</v>
      </c>
      <c r="D3115" s="3">
        <v>102947</v>
      </c>
      <c r="E3115" s="3" t="s">
        <v>23</v>
      </c>
    </row>
    <row r="3116" spans="1:5">
      <c r="A3116" s="3" t="s">
        <v>3138</v>
      </c>
      <c r="B3116" s="3" t="s">
        <v>22</v>
      </c>
      <c r="C3116" s="3">
        <v>858369</v>
      </c>
      <c r="D3116" s="3">
        <v>252046</v>
      </c>
      <c r="E3116" s="3" t="s">
        <v>23</v>
      </c>
    </row>
    <row r="3117" spans="1:5">
      <c r="A3117" s="3" t="s">
        <v>3139</v>
      </c>
      <c r="B3117" s="3" t="s">
        <v>22</v>
      </c>
      <c r="C3117" s="3">
        <v>533614</v>
      </c>
      <c r="D3117" s="3">
        <v>21295</v>
      </c>
      <c r="E3117" s="3" t="s">
        <v>23</v>
      </c>
    </row>
    <row r="3118" spans="1:5">
      <c r="A3118" s="3" t="s">
        <v>3140</v>
      </c>
      <c r="B3118" s="3" t="s">
        <v>22</v>
      </c>
      <c r="C3118" s="3">
        <v>929311</v>
      </c>
      <c r="D3118" s="3">
        <v>294134</v>
      </c>
      <c r="E3118" s="3" t="s">
        <v>23</v>
      </c>
    </row>
    <row r="3119" spans="1:5">
      <c r="A3119" s="3" t="s">
        <v>3141</v>
      </c>
      <c r="B3119" s="3" t="s">
        <v>22</v>
      </c>
      <c r="C3119" s="3">
        <v>435083</v>
      </c>
      <c r="D3119" s="3">
        <v>116225</v>
      </c>
      <c r="E3119" s="3" t="s">
        <v>23</v>
      </c>
    </row>
    <row r="3120" spans="1:5">
      <c r="A3120" s="3" t="s">
        <v>3142</v>
      </c>
      <c r="B3120" s="3" t="s">
        <v>22</v>
      </c>
      <c r="C3120" s="3">
        <v>351223</v>
      </c>
      <c r="D3120" s="3">
        <v>138084</v>
      </c>
      <c r="E3120" s="3" t="s">
        <v>23</v>
      </c>
    </row>
    <row r="3121" spans="1:5">
      <c r="A3121" s="3" t="s">
        <v>3143</v>
      </c>
      <c r="B3121" s="3" t="s">
        <v>22</v>
      </c>
      <c r="C3121" s="3">
        <v>616599</v>
      </c>
      <c r="D3121" s="3">
        <v>215102</v>
      </c>
      <c r="E3121" s="3" t="s">
        <v>23</v>
      </c>
    </row>
    <row r="3122" spans="1:5">
      <c r="A3122" s="3" t="s">
        <v>3144</v>
      </c>
      <c r="B3122" s="3" t="s">
        <v>22</v>
      </c>
      <c r="C3122" s="3">
        <v>534331</v>
      </c>
      <c r="D3122" s="3">
        <v>114011</v>
      </c>
      <c r="E3122" s="3" t="s">
        <v>23</v>
      </c>
    </row>
    <row r="3123" spans="1:5">
      <c r="A3123" s="3" t="s">
        <v>3145</v>
      </c>
      <c r="B3123" s="3" t="s">
        <v>22</v>
      </c>
      <c r="C3123" s="3">
        <v>827122</v>
      </c>
      <c r="D3123" s="3">
        <v>244069</v>
      </c>
      <c r="E3123" s="3" t="s">
        <v>23</v>
      </c>
    </row>
    <row r="3124" spans="1:5">
      <c r="A3124" s="3" t="s">
        <v>3146</v>
      </c>
      <c r="B3124" s="3" t="s">
        <v>22</v>
      </c>
      <c r="C3124" s="3">
        <v>519956</v>
      </c>
      <c r="D3124" s="3">
        <v>57535</v>
      </c>
      <c r="E3124" s="3" t="s">
        <v>23</v>
      </c>
    </row>
    <row r="3125" spans="1:5">
      <c r="A3125" s="3" t="s">
        <v>3147</v>
      </c>
      <c r="B3125" s="3" t="s">
        <v>22</v>
      </c>
      <c r="C3125" s="3">
        <v>377058</v>
      </c>
      <c r="D3125" s="3">
        <v>19519</v>
      </c>
      <c r="E3125" s="3" t="s">
        <v>23</v>
      </c>
    </row>
    <row r="3126" spans="1:5">
      <c r="A3126" s="3" t="s">
        <v>3148</v>
      </c>
      <c r="B3126" s="3" t="s">
        <v>22</v>
      </c>
      <c r="C3126" s="3">
        <v>522758</v>
      </c>
      <c r="D3126" s="3">
        <v>108715</v>
      </c>
      <c r="E3126" s="3" t="s">
        <v>23</v>
      </c>
    </row>
    <row r="3127" spans="1:5">
      <c r="A3127" s="3" t="s">
        <v>3149</v>
      </c>
      <c r="B3127" s="3" t="s">
        <v>22</v>
      </c>
      <c r="C3127" s="3">
        <v>527020</v>
      </c>
      <c r="D3127" s="3">
        <v>111721</v>
      </c>
      <c r="E3127" s="3" t="s">
        <v>23</v>
      </c>
    </row>
    <row r="3128" spans="1:5">
      <c r="A3128" s="3" t="s">
        <v>3150</v>
      </c>
      <c r="B3128" s="3" t="s">
        <v>22</v>
      </c>
      <c r="C3128" s="3">
        <v>783833</v>
      </c>
      <c r="D3128" s="3">
        <v>9599</v>
      </c>
      <c r="E3128" s="3" t="s">
        <v>23</v>
      </c>
    </row>
    <row r="3129" spans="1:5">
      <c r="A3129" s="3" t="s">
        <v>3151</v>
      </c>
      <c r="B3129" s="3" t="s">
        <v>22</v>
      </c>
      <c r="C3129" s="3">
        <v>372391</v>
      </c>
      <c r="D3129" s="3">
        <v>13</v>
      </c>
      <c r="E3129" s="3" t="s">
        <v>23</v>
      </c>
    </row>
    <row r="3130" spans="1:5">
      <c r="A3130" s="3" t="s">
        <v>3152</v>
      </c>
      <c r="B3130" s="3" t="s">
        <v>22</v>
      </c>
      <c r="C3130" s="3">
        <v>727973</v>
      </c>
      <c r="D3130" s="3">
        <v>291389</v>
      </c>
      <c r="E3130" s="3" t="s">
        <v>23</v>
      </c>
    </row>
    <row r="3131" spans="1:5">
      <c r="A3131" s="3" t="s">
        <v>3153</v>
      </c>
      <c r="B3131" s="3" t="s">
        <v>22</v>
      </c>
      <c r="C3131" s="3">
        <v>673349</v>
      </c>
      <c r="D3131" s="3">
        <v>20187</v>
      </c>
      <c r="E3131" s="3" t="s">
        <v>23</v>
      </c>
    </row>
    <row r="3132" spans="1:5">
      <c r="A3132" s="3" t="s">
        <v>3154</v>
      </c>
      <c r="B3132" s="3" t="s">
        <v>22</v>
      </c>
      <c r="C3132" s="3">
        <v>4864</v>
      </c>
      <c r="D3132" s="3">
        <v>1121</v>
      </c>
      <c r="E3132" s="3" t="s">
        <v>23</v>
      </c>
    </row>
    <row r="3133" spans="1:5">
      <c r="A3133" s="3" t="s">
        <v>3155</v>
      </c>
      <c r="B3133" s="3" t="s">
        <v>22</v>
      </c>
      <c r="C3133" s="3">
        <v>651460</v>
      </c>
      <c r="D3133" s="3">
        <v>136994</v>
      </c>
      <c r="E3133" s="3" t="s">
        <v>23</v>
      </c>
    </row>
    <row r="3134" spans="1:5">
      <c r="A3134" s="3" t="s">
        <v>3156</v>
      </c>
      <c r="B3134" s="3" t="s">
        <v>22</v>
      </c>
      <c r="C3134" s="3">
        <v>558140</v>
      </c>
      <c r="D3134" s="3">
        <v>27729</v>
      </c>
      <c r="E3134" s="3" t="s">
        <v>23</v>
      </c>
    </row>
    <row r="3135" spans="1:5">
      <c r="A3135" s="3" t="s">
        <v>3157</v>
      </c>
      <c r="B3135" s="3" t="s">
        <v>22</v>
      </c>
      <c r="C3135" s="3">
        <v>858142</v>
      </c>
      <c r="D3135" s="3">
        <v>44903</v>
      </c>
      <c r="E3135" s="3" t="s">
        <v>23</v>
      </c>
    </row>
    <row r="3136" spans="1:5">
      <c r="A3136" s="3" t="s">
        <v>3158</v>
      </c>
      <c r="B3136" s="3" t="s">
        <v>22</v>
      </c>
      <c r="C3136" s="3">
        <v>402449</v>
      </c>
      <c r="D3136" s="3">
        <v>5426</v>
      </c>
      <c r="E3136" s="3" t="s">
        <v>23</v>
      </c>
    </row>
    <row r="3137" spans="1:5">
      <c r="A3137" s="3" t="s">
        <v>3159</v>
      </c>
      <c r="B3137" s="3" t="s">
        <v>22</v>
      </c>
      <c r="C3137" s="3">
        <v>544500</v>
      </c>
      <c r="D3137" s="3">
        <v>146889</v>
      </c>
      <c r="E3137" s="3" t="s">
        <v>23</v>
      </c>
    </row>
    <row r="3138" spans="1:5">
      <c r="A3138" s="3" t="s">
        <v>3160</v>
      </c>
      <c r="B3138" s="3" t="s">
        <v>22</v>
      </c>
      <c r="C3138" s="3">
        <v>705315</v>
      </c>
      <c r="D3138" s="3">
        <v>110795</v>
      </c>
      <c r="E3138" s="3" t="s">
        <v>23</v>
      </c>
    </row>
    <row r="3139" spans="1:5">
      <c r="A3139" s="3" t="s">
        <v>3161</v>
      </c>
      <c r="B3139" s="3" t="s">
        <v>22</v>
      </c>
      <c r="C3139" s="3">
        <v>540520</v>
      </c>
      <c r="D3139" s="3">
        <v>134923</v>
      </c>
      <c r="E3139" s="3" t="s">
        <v>23</v>
      </c>
    </row>
    <row r="3140" spans="1:5">
      <c r="A3140" s="3" t="s">
        <v>3162</v>
      </c>
      <c r="B3140" s="3" t="s">
        <v>22</v>
      </c>
      <c r="C3140" s="3">
        <v>427392</v>
      </c>
      <c r="D3140" s="3">
        <v>26676</v>
      </c>
      <c r="E3140" s="3" t="s">
        <v>23</v>
      </c>
    </row>
    <row r="3141" spans="1:5">
      <c r="A3141" s="3" t="s">
        <v>3163</v>
      </c>
      <c r="B3141" s="3" t="s">
        <v>22</v>
      </c>
      <c r="C3141" s="3">
        <v>432911</v>
      </c>
      <c r="D3141" s="3">
        <v>41420</v>
      </c>
      <c r="E3141" s="3" t="s">
        <v>23</v>
      </c>
    </row>
    <row r="3142" spans="1:5">
      <c r="A3142" s="3" t="s">
        <v>3164</v>
      </c>
      <c r="B3142" s="3" t="s">
        <v>22</v>
      </c>
      <c r="C3142" s="3">
        <v>826524</v>
      </c>
      <c r="D3142" s="3">
        <v>172878</v>
      </c>
      <c r="E3142" s="3" t="s">
        <v>23</v>
      </c>
    </row>
    <row r="3143" spans="1:5">
      <c r="A3143" s="3" t="s">
        <v>3165</v>
      </c>
      <c r="B3143" s="3" t="s">
        <v>22</v>
      </c>
      <c r="C3143" s="3">
        <v>2033</v>
      </c>
      <c r="D3143" s="3">
        <v>973</v>
      </c>
      <c r="E3143" s="3" t="s">
        <v>23</v>
      </c>
    </row>
    <row r="3144" spans="1:5">
      <c r="A3144" s="3" t="s">
        <v>3166</v>
      </c>
      <c r="B3144" s="3" t="s">
        <v>22</v>
      </c>
      <c r="C3144" s="3">
        <v>588538</v>
      </c>
      <c r="D3144" s="3">
        <v>90308</v>
      </c>
      <c r="E3144" s="3" t="s">
        <v>23</v>
      </c>
    </row>
    <row r="3145" spans="1:5">
      <c r="A3145" s="3" t="s">
        <v>3167</v>
      </c>
      <c r="B3145" s="3" t="s">
        <v>22</v>
      </c>
      <c r="C3145" s="3">
        <v>6555</v>
      </c>
      <c r="D3145" s="3">
        <v>2015</v>
      </c>
      <c r="E3145" s="3" t="s">
        <v>23</v>
      </c>
    </row>
    <row r="3146" spans="1:5">
      <c r="A3146" s="3" t="s">
        <v>3168</v>
      </c>
      <c r="B3146" s="3" t="s">
        <v>22</v>
      </c>
      <c r="C3146" s="3">
        <v>825114</v>
      </c>
      <c r="D3146" s="3">
        <v>253224</v>
      </c>
      <c r="E3146" s="3" t="s">
        <v>23</v>
      </c>
    </row>
    <row r="3147" spans="1:5">
      <c r="A3147" s="3" t="s">
        <v>3169</v>
      </c>
      <c r="B3147" s="3" t="s">
        <v>22</v>
      </c>
      <c r="C3147" s="3">
        <v>561571</v>
      </c>
      <c r="D3147" s="3">
        <v>7391</v>
      </c>
      <c r="E3147" s="3" t="s">
        <v>23</v>
      </c>
    </row>
    <row r="3148" spans="1:5">
      <c r="A3148" s="3" t="s">
        <v>3170</v>
      </c>
      <c r="B3148" s="3" t="s">
        <v>22</v>
      </c>
      <c r="C3148" s="3">
        <v>589657</v>
      </c>
      <c r="D3148" s="3">
        <v>56367</v>
      </c>
      <c r="E3148" s="3" t="s">
        <v>23</v>
      </c>
    </row>
    <row r="3149" spans="1:5">
      <c r="A3149" s="3" t="s">
        <v>3171</v>
      </c>
      <c r="B3149" s="3" t="s">
        <v>22</v>
      </c>
      <c r="C3149" s="3">
        <v>523853</v>
      </c>
      <c r="D3149" s="3">
        <v>130591</v>
      </c>
      <c r="E3149" s="3" t="s">
        <v>23</v>
      </c>
    </row>
    <row r="3150" spans="1:5">
      <c r="A3150" s="3" t="s">
        <v>3172</v>
      </c>
      <c r="B3150" s="3" t="s">
        <v>22</v>
      </c>
      <c r="C3150" s="3">
        <v>478682</v>
      </c>
      <c r="D3150" s="3">
        <v>91278</v>
      </c>
      <c r="E3150" s="3" t="s">
        <v>23</v>
      </c>
    </row>
    <row r="3151" spans="1:5">
      <c r="A3151" s="3" t="s">
        <v>3173</v>
      </c>
      <c r="B3151" s="3" t="s">
        <v>22</v>
      </c>
      <c r="C3151" s="3">
        <v>356483</v>
      </c>
      <c r="D3151" s="3">
        <v>58862</v>
      </c>
      <c r="E3151" s="3" t="s">
        <v>23</v>
      </c>
    </row>
    <row r="3152" spans="1:5">
      <c r="A3152" s="3" t="s">
        <v>3174</v>
      </c>
      <c r="B3152" s="3" t="s">
        <v>22</v>
      </c>
      <c r="C3152" s="3">
        <v>607554</v>
      </c>
      <c r="D3152" s="3">
        <v>234638</v>
      </c>
      <c r="E3152" s="3" t="s">
        <v>23</v>
      </c>
    </row>
    <row r="3153" spans="1:5">
      <c r="A3153" s="3" t="s">
        <v>3175</v>
      </c>
      <c r="B3153" s="3" t="s">
        <v>22</v>
      </c>
      <c r="C3153" s="3">
        <v>417388</v>
      </c>
      <c r="D3153" s="3">
        <v>6015</v>
      </c>
      <c r="E3153" s="3" t="s">
        <v>23</v>
      </c>
    </row>
    <row r="3154" spans="1:5">
      <c r="A3154" s="3" t="s">
        <v>3176</v>
      </c>
      <c r="B3154" s="3" t="s">
        <v>22</v>
      </c>
      <c r="C3154" s="3">
        <v>406416</v>
      </c>
      <c r="D3154" s="3">
        <v>40501</v>
      </c>
      <c r="E3154" s="3" t="s">
        <v>23</v>
      </c>
    </row>
    <row r="3155" spans="1:5">
      <c r="A3155" s="3" t="s">
        <v>3177</v>
      </c>
      <c r="B3155" s="3" t="s">
        <v>22</v>
      </c>
      <c r="C3155" s="3">
        <v>511322</v>
      </c>
      <c r="D3155" s="3">
        <v>146694</v>
      </c>
      <c r="E3155" s="3" t="s">
        <v>23</v>
      </c>
    </row>
    <row r="3156" spans="1:5">
      <c r="A3156" s="3" t="s">
        <v>3178</v>
      </c>
      <c r="B3156" s="3" t="s">
        <v>22</v>
      </c>
      <c r="C3156" s="3">
        <v>609994</v>
      </c>
      <c r="D3156" s="3">
        <v>6791</v>
      </c>
      <c r="E3156" s="3" t="s">
        <v>23</v>
      </c>
    </row>
    <row r="3157" spans="1:5">
      <c r="A3157" s="3" t="s">
        <v>3179</v>
      </c>
      <c r="B3157" s="3" t="s">
        <v>22</v>
      </c>
      <c r="C3157" s="3">
        <v>542562</v>
      </c>
      <c r="D3157" s="3">
        <v>168613</v>
      </c>
      <c r="E3157" s="3" t="s">
        <v>23</v>
      </c>
    </row>
    <row r="3158" spans="1:5">
      <c r="A3158" s="3" t="s">
        <v>3180</v>
      </c>
      <c r="B3158" s="3" t="s">
        <v>22</v>
      </c>
      <c r="C3158" s="3">
        <v>440685</v>
      </c>
      <c r="D3158" s="3">
        <v>87125</v>
      </c>
      <c r="E3158" s="3" t="s">
        <v>23</v>
      </c>
    </row>
    <row r="3159" spans="1:5">
      <c r="A3159" s="3" t="s">
        <v>3181</v>
      </c>
      <c r="B3159" s="3" t="s">
        <v>22</v>
      </c>
      <c r="C3159" s="3">
        <v>541426</v>
      </c>
      <c r="D3159" s="3">
        <v>40535</v>
      </c>
      <c r="E3159" s="3" t="s">
        <v>23</v>
      </c>
    </row>
    <row r="3160" spans="1:5">
      <c r="A3160" s="3" t="s">
        <v>3182</v>
      </c>
      <c r="B3160" s="3" t="s">
        <v>22</v>
      </c>
      <c r="C3160" s="3">
        <v>421021</v>
      </c>
      <c r="D3160" s="3">
        <v>4297</v>
      </c>
      <c r="E3160" s="3" t="s">
        <v>23</v>
      </c>
    </row>
    <row r="3161" spans="1:5">
      <c r="A3161" s="3" t="s">
        <v>3183</v>
      </c>
      <c r="B3161" s="3" t="s">
        <v>22</v>
      </c>
      <c r="C3161" s="3">
        <v>420811</v>
      </c>
      <c r="D3161" s="3">
        <v>160333</v>
      </c>
      <c r="E3161" s="3" t="s">
        <v>23</v>
      </c>
    </row>
    <row r="3162" spans="1:5">
      <c r="A3162" s="3" t="s">
        <v>3184</v>
      </c>
      <c r="B3162" s="3" t="s">
        <v>22</v>
      </c>
      <c r="C3162" s="3">
        <v>651931</v>
      </c>
      <c r="D3162" s="3">
        <v>102904</v>
      </c>
      <c r="E3162" s="3" t="s">
        <v>23</v>
      </c>
    </row>
    <row r="3163" spans="1:5">
      <c r="A3163" s="3" t="s">
        <v>3185</v>
      </c>
      <c r="B3163" s="3" t="s">
        <v>22</v>
      </c>
      <c r="C3163" s="3">
        <v>694939</v>
      </c>
      <c r="D3163" s="3">
        <v>103732</v>
      </c>
      <c r="E3163" s="3" t="s">
        <v>23</v>
      </c>
    </row>
    <row r="3164" spans="1:5">
      <c r="A3164" s="3" t="s">
        <v>3186</v>
      </c>
      <c r="B3164" s="3" t="s">
        <v>22</v>
      </c>
      <c r="C3164" s="3">
        <v>582953</v>
      </c>
      <c r="D3164" s="3">
        <v>230132</v>
      </c>
      <c r="E3164" s="3" t="s">
        <v>23</v>
      </c>
    </row>
    <row r="3165" spans="1:5">
      <c r="A3165" s="3" t="s">
        <v>3187</v>
      </c>
      <c r="B3165" s="3" t="s">
        <v>22</v>
      </c>
      <c r="C3165" s="3">
        <v>336695</v>
      </c>
      <c r="D3165" s="3">
        <v>134042</v>
      </c>
      <c r="E3165" s="3" t="s">
        <v>23</v>
      </c>
    </row>
    <row r="3166" spans="1:5">
      <c r="A3166" s="3" t="s">
        <v>3188</v>
      </c>
      <c r="B3166" s="3" t="s">
        <v>22</v>
      </c>
      <c r="C3166" s="3">
        <v>498399</v>
      </c>
      <c r="D3166" s="3">
        <v>33567</v>
      </c>
      <c r="E3166" s="3" t="s">
        <v>23</v>
      </c>
    </row>
    <row r="3167" spans="1:5">
      <c r="A3167" s="3" t="s">
        <v>3189</v>
      </c>
      <c r="B3167" s="3" t="s">
        <v>22</v>
      </c>
      <c r="C3167" s="3">
        <v>663979</v>
      </c>
      <c r="D3167" s="3">
        <v>15964</v>
      </c>
      <c r="E3167" s="3" t="s">
        <v>23</v>
      </c>
    </row>
    <row r="3168" spans="1:5">
      <c r="A3168" s="3" t="s">
        <v>3190</v>
      </c>
      <c r="B3168" s="3" t="s">
        <v>22</v>
      </c>
      <c r="C3168" s="3">
        <v>511284</v>
      </c>
      <c r="D3168" s="3">
        <v>196982</v>
      </c>
      <c r="E3168" s="3" t="s">
        <v>23</v>
      </c>
    </row>
    <row r="3169" spans="1:5">
      <c r="A3169" s="3" t="s">
        <v>3191</v>
      </c>
      <c r="B3169" s="3" t="s">
        <v>22</v>
      </c>
      <c r="C3169" s="3">
        <v>440747</v>
      </c>
      <c r="D3169" s="3">
        <v>101139</v>
      </c>
      <c r="E3169" s="3" t="s">
        <v>23</v>
      </c>
    </row>
    <row r="3170" spans="1:5">
      <c r="A3170" s="3" t="s">
        <v>3192</v>
      </c>
      <c r="B3170" s="3" t="s">
        <v>22</v>
      </c>
      <c r="C3170" s="3">
        <v>437427</v>
      </c>
      <c r="D3170" s="3">
        <v>7675</v>
      </c>
      <c r="E3170" s="3" t="s">
        <v>23</v>
      </c>
    </row>
    <row r="3171" spans="1:5">
      <c r="A3171" s="3" t="s">
        <v>3193</v>
      </c>
      <c r="B3171" s="3" t="s">
        <v>22</v>
      </c>
      <c r="C3171" s="3">
        <v>409259</v>
      </c>
      <c r="D3171" s="3">
        <v>32021</v>
      </c>
      <c r="E3171" s="3" t="s">
        <v>23</v>
      </c>
    </row>
    <row r="3172" spans="1:5">
      <c r="A3172" s="3" t="s">
        <v>3194</v>
      </c>
      <c r="B3172" s="3" t="s">
        <v>22</v>
      </c>
      <c r="C3172" s="3">
        <v>555892</v>
      </c>
      <c r="D3172" s="3">
        <v>195026</v>
      </c>
      <c r="E3172" s="3" t="s">
        <v>23</v>
      </c>
    </row>
    <row r="3173" spans="1:5">
      <c r="A3173" s="3" t="s">
        <v>3195</v>
      </c>
      <c r="B3173" s="3" t="s">
        <v>22</v>
      </c>
      <c r="C3173" s="3">
        <v>1020131</v>
      </c>
      <c r="D3173" s="3">
        <v>340865</v>
      </c>
      <c r="E3173" s="3" t="s">
        <v>23</v>
      </c>
    </row>
    <row r="3174" spans="1:5">
      <c r="A3174" s="3" t="s">
        <v>3196</v>
      </c>
      <c r="B3174" s="3" t="s">
        <v>22</v>
      </c>
      <c r="C3174" s="3">
        <v>330306</v>
      </c>
      <c r="D3174" s="3">
        <v>128184</v>
      </c>
      <c r="E3174" s="3" t="s">
        <v>23</v>
      </c>
    </row>
    <row r="3175" spans="1:5">
      <c r="A3175" s="3" t="s">
        <v>3197</v>
      </c>
      <c r="B3175" s="3" t="s">
        <v>22</v>
      </c>
      <c r="C3175" s="3">
        <v>588371</v>
      </c>
      <c r="D3175" s="3">
        <v>87384</v>
      </c>
      <c r="E3175" s="3" t="s">
        <v>23</v>
      </c>
    </row>
    <row r="3176" spans="1:5">
      <c r="A3176" s="3" t="s">
        <v>3198</v>
      </c>
      <c r="B3176" s="3" t="s">
        <v>22</v>
      </c>
      <c r="C3176" s="3">
        <v>339950</v>
      </c>
      <c r="D3176" s="3">
        <v>135622</v>
      </c>
      <c r="E3176" s="3" t="s">
        <v>23</v>
      </c>
    </row>
    <row r="3177" spans="1:5">
      <c r="A3177" s="3" t="s">
        <v>3199</v>
      </c>
      <c r="B3177" s="3" t="s">
        <v>22</v>
      </c>
      <c r="C3177" s="3">
        <v>419354</v>
      </c>
      <c r="D3177" s="3">
        <v>4606</v>
      </c>
      <c r="E3177" s="3" t="s">
        <v>23</v>
      </c>
    </row>
    <row r="3178" spans="1:5">
      <c r="A3178" s="3" t="s">
        <v>3200</v>
      </c>
      <c r="B3178" s="3" t="s">
        <v>22</v>
      </c>
      <c r="C3178" s="3">
        <v>799097</v>
      </c>
      <c r="D3178" s="3">
        <v>144860</v>
      </c>
      <c r="E3178" s="3" t="s">
        <v>23</v>
      </c>
    </row>
    <row r="3179" spans="1:5">
      <c r="A3179" s="3" t="s">
        <v>3201</v>
      </c>
      <c r="B3179" s="3" t="s">
        <v>22</v>
      </c>
      <c r="C3179" s="3">
        <v>320641</v>
      </c>
      <c r="D3179" s="3">
        <v>115863</v>
      </c>
      <c r="E3179" s="3" t="s">
        <v>23</v>
      </c>
    </row>
    <row r="3180" spans="1:5">
      <c r="A3180" s="3" t="s">
        <v>3202</v>
      </c>
      <c r="B3180" s="3" t="s">
        <v>22</v>
      </c>
      <c r="C3180" s="3">
        <v>574272</v>
      </c>
      <c r="D3180" s="3">
        <v>206721</v>
      </c>
      <c r="E3180" s="3" t="s">
        <v>23</v>
      </c>
    </row>
    <row r="3181" spans="1:5">
      <c r="A3181" s="3" t="s">
        <v>3203</v>
      </c>
      <c r="B3181" s="3" t="s">
        <v>22</v>
      </c>
      <c r="C3181" s="3">
        <v>564110</v>
      </c>
      <c r="D3181" s="3">
        <v>206113</v>
      </c>
      <c r="E3181" s="3" t="s">
        <v>23</v>
      </c>
    </row>
    <row r="3182" spans="1:5">
      <c r="A3182" s="3" t="s">
        <v>3204</v>
      </c>
      <c r="B3182" s="3" t="s">
        <v>22</v>
      </c>
      <c r="C3182" s="3">
        <v>759397</v>
      </c>
      <c r="D3182" s="3">
        <v>2291</v>
      </c>
      <c r="E3182" s="3" t="s">
        <v>23</v>
      </c>
    </row>
    <row r="3183" spans="1:5">
      <c r="A3183" s="3" t="s">
        <v>3205</v>
      </c>
      <c r="B3183" s="3" t="s">
        <v>22</v>
      </c>
      <c r="C3183" s="3">
        <v>566223</v>
      </c>
      <c r="D3183" s="3">
        <v>249933</v>
      </c>
      <c r="E3183" s="3" t="s">
        <v>23</v>
      </c>
    </row>
    <row r="3184" spans="1:5">
      <c r="A3184" s="3" t="s">
        <v>3206</v>
      </c>
      <c r="B3184" s="3" t="s">
        <v>22</v>
      </c>
      <c r="C3184" s="3">
        <v>667888</v>
      </c>
      <c r="D3184" s="3">
        <v>184578</v>
      </c>
      <c r="E3184" s="3" t="s">
        <v>23</v>
      </c>
    </row>
    <row r="3185" spans="1:5">
      <c r="A3185" s="3" t="s">
        <v>3207</v>
      </c>
      <c r="B3185" s="3" t="s">
        <v>22</v>
      </c>
      <c r="C3185" s="3">
        <v>308835</v>
      </c>
      <c r="D3185" s="3">
        <v>113693</v>
      </c>
      <c r="E3185" s="3" t="s">
        <v>23</v>
      </c>
    </row>
    <row r="3186" spans="1:5">
      <c r="A3186" s="3" t="s">
        <v>3208</v>
      </c>
      <c r="B3186" s="3" t="s">
        <v>22</v>
      </c>
      <c r="C3186" s="3">
        <v>526512</v>
      </c>
      <c r="D3186" s="3">
        <v>2803</v>
      </c>
      <c r="E3186" s="3" t="s">
        <v>23</v>
      </c>
    </row>
    <row r="3187" spans="1:5">
      <c r="A3187" s="3" t="s">
        <v>3209</v>
      </c>
      <c r="B3187" s="3" t="s">
        <v>22</v>
      </c>
      <c r="C3187" s="3">
        <v>597672</v>
      </c>
      <c r="D3187" s="3">
        <v>194239</v>
      </c>
      <c r="E3187" s="3" t="s">
        <v>23</v>
      </c>
    </row>
    <row r="3188" spans="1:5">
      <c r="A3188" s="3" t="s">
        <v>3210</v>
      </c>
      <c r="B3188" s="3" t="s">
        <v>22</v>
      </c>
      <c r="C3188" s="3">
        <v>608918</v>
      </c>
      <c r="D3188" s="3">
        <v>47406</v>
      </c>
      <c r="E3188" s="3" t="s">
        <v>23</v>
      </c>
    </row>
    <row r="3189" spans="1:5">
      <c r="A3189" s="3" t="s">
        <v>3211</v>
      </c>
      <c r="B3189" s="3" t="s">
        <v>22</v>
      </c>
      <c r="C3189" s="3">
        <v>919832</v>
      </c>
      <c r="D3189" s="3">
        <v>210931</v>
      </c>
      <c r="E3189" s="3" t="s">
        <v>23</v>
      </c>
    </row>
    <row r="3190" spans="1:5">
      <c r="A3190" s="3" t="s">
        <v>3212</v>
      </c>
      <c r="B3190" s="3" t="s">
        <v>22</v>
      </c>
      <c r="C3190" s="3">
        <v>552289</v>
      </c>
      <c r="D3190" s="3">
        <v>202148</v>
      </c>
      <c r="E3190" s="3" t="s">
        <v>23</v>
      </c>
    </row>
    <row r="3191" spans="1:5">
      <c r="A3191" s="3" t="s">
        <v>3213</v>
      </c>
      <c r="B3191" s="3" t="s">
        <v>22</v>
      </c>
      <c r="C3191" s="3">
        <v>416114</v>
      </c>
      <c r="D3191" s="3">
        <v>146688</v>
      </c>
      <c r="E3191" s="3" t="s">
        <v>23</v>
      </c>
    </row>
    <row r="3192" spans="1:5">
      <c r="A3192" s="3" t="s">
        <v>3214</v>
      </c>
      <c r="B3192" s="3" t="s">
        <v>22</v>
      </c>
      <c r="C3192" s="3">
        <v>244653</v>
      </c>
      <c r="D3192" s="3">
        <v>81351</v>
      </c>
      <c r="E3192" s="3" t="s">
        <v>23</v>
      </c>
    </row>
    <row r="3193" spans="1:5">
      <c r="A3193" s="3" t="s">
        <v>3215</v>
      </c>
      <c r="B3193" s="3" t="s">
        <v>22</v>
      </c>
      <c r="C3193" s="3">
        <v>729507</v>
      </c>
      <c r="D3193" s="3">
        <v>38711</v>
      </c>
      <c r="E3193" s="3" t="s">
        <v>23</v>
      </c>
    </row>
    <row r="3194" spans="1:5">
      <c r="A3194" s="3" t="s">
        <v>3216</v>
      </c>
      <c r="B3194" s="3" t="s">
        <v>22</v>
      </c>
      <c r="C3194" s="3">
        <v>949712</v>
      </c>
      <c r="D3194" s="3">
        <v>171904</v>
      </c>
      <c r="E3194" s="3" t="s">
        <v>23</v>
      </c>
    </row>
    <row r="3195" spans="1:5">
      <c r="A3195" s="3" t="s">
        <v>3217</v>
      </c>
      <c r="B3195" s="3" t="s">
        <v>22</v>
      </c>
      <c r="C3195" s="3">
        <v>843990</v>
      </c>
      <c r="D3195" s="3">
        <v>91430</v>
      </c>
      <c r="E3195" s="3" t="s">
        <v>23</v>
      </c>
    </row>
    <row r="3196" spans="1:5">
      <c r="A3196" s="3" t="s">
        <v>3218</v>
      </c>
      <c r="B3196" s="3" t="s">
        <v>22</v>
      </c>
      <c r="C3196" s="3">
        <v>870656</v>
      </c>
      <c r="D3196" s="3">
        <v>228848</v>
      </c>
      <c r="E3196" s="3" t="s">
        <v>23</v>
      </c>
    </row>
    <row r="3197" spans="1:5">
      <c r="A3197" s="3" t="s">
        <v>3219</v>
      </c>
      <c r="B3197" s="3" t="s">
        <v>22</v>
      </c>
      <c r="C3197" s="3">
        <v>718181</v>
      </c>
      <c r="D3197" s="3">
        <v>18877</v>
      </c>
      <c r="E3197" s="3" t="s">
        <v>23</v>
      </c>
    </row>
    <row r="3198" spans="1:5">
      <c r="A3198" s="3" t="s">
        <v>3220</v>
      </c>
      <c r="B3198" s="3" t="s">
        <v>22</v>
      </c>
      <c r="C3198" s="3">
        <v>432767</v>
      </c>
      <c r="D3198" s="3">
        <v>71905</v>
      </c>
      <c r="E3198" s="3" t="s">
        <v>23</v>
      </c>
    </row>
    <row r="3199" spans="1:5">
      <c r="A3199" s="3" t="s">
        <v>3221</v>
      </c>
      <c r="B3199" s="3" t="s">
        <v>22</v>
      </c>
      <c r="C3199" s="3">
        <v>739663</v>
      </c>
      <c r="D3199" s="3">
        <v>153385</v>
      </c>
      <c r="E3199" s="3" t="s">
        <v>23</v>
      </c>
    </row>
    <row r="3200" spans="1:5">
      <c r="A3200" s="3" t="s">
        <v>3222</v>
      </c>
      <c r="B3200" s="3" t="s">
        <v>22</v>
      </c>
      <c r="C3200" s="3">
        <v>815919</v>
      </c>
      <c r="D3200" s="3">
        <v>55403</v>
      </c>
      <c r="E3200" s="3" t="s">
        <v>23</v>
      </c>
    </row>
    <row r="3201" spans="1:5">
      <c r="A3201" s="3" t="s">
        <v>3223</v>
      </c>
      <c r="B3201" s="3" t="s">
        <v>22</v>
      </c>
      <c r="C3201" s="3">
        <v>326394</v>
      </c>
      <c r="D3201" s="3">
        <v>98337</v>
      </c>
      <c r="E3201" s="3" t="s">
        <v>23</v>
      </c>
    </row>
    <row r="3202" spans="1:5">
      <c r="A3202" s="3" t="s">
        <v>3224</v>
      </c>
      <c r="B3202" s="3" t="s">
        <v>22</v>
      </c>
      <c r="C3202" s="3">
        <v>666953</v>
      </c>
      <c r="D3202" s="3">
        <v>44408</v>
      </c>
      <c r="E3202" s="3" t="s">
        <v>23</v>
      </c>
    </row>
    <row r="3203" spans="1:5">
      <c r="A3203" s="3" t="s">
        <v>3225</v>
      </c>
      <c r="B3203" s="3" t="s">
        <v>22</v>
      </c>
      <c r="C3203" s="3">
        <v>484998</v>
      </c>
      <c r="D3203" s="3">
        <v>26333</v>
      </c>
      <c r="E3203" s="3" t="s">
        <v>23</v>
      </c>
    </row>
    <row r="3204" spans="1:5">
      <c r="A3204" s="3" t="s">
        <v>3226</v>
      </c>
      <c r="B3204" s="3" t="s">
        <v>22</v>
      </c>
      <c r="C3204" s="3">
        <v>1006051</v>
      </c>
      <c r="D3204" s="3">
        <v>304280</v>
      </c>
      <c r="E3204" s="3" t="s">
        <v>23</v>
      </c>
    </row>
    <row r="3205" spans="1:5">
      <c r="A3205" s="3" t="s">
        <v>3227</v>
      </c>
      <c r="B3205" s="3" t="s">
        <v>22</v>
      </c>
      <c r="C3205" s="3">
        <v>552868</v>
      </c>
      <c r="D3205" s="3">
        <v>167407</v>
      </c>
      <c r="E3205" s="3" t="s">
        <v>23</v>
      </c>
    </row>
    <row r="3206" spans="1:5">
      <c r="A3206" s="3" t="s">
        <v>3228</v>
      </c>
      <c r="B3206" s="3" t="s">
        <v>22</v>
      </c>
      <c r="C3206" s="3">
        <v>658300</v>
      </c>
      <c r="D3206" s="3">
        <v>104609</v>
      </c>
      <c r="E3206" s="3" t="s">
        <v>23</v>
      </c>
    </row>
    <row r="3207" spans="1:5">
      <c r="A3207" s="3" t="s">
        <v>3229</v>
      </c>
      <c r="B3207" s="3" t="s">
        <v>22</v>
      </c>
      <c r="C3207" s="3">
        <v>317082</v>
      </c>
      <c r="D3207" s="3">
        <v>91616</v>
      </c>
      <c r="E3207" s="3" t="s">
        <v>23</v>
      </c>
    </row>
    <row r="3208" spans="1:5">
      <c r="A3208" s="3" t="s">
        <v>3230</v>
      </c>
      <c r="B3208" s="3" t="s">
        <v>22</v>
      </c>
      <c r="C3208" s="3">
        <v>681288</v>
      </c>
      <c r="D3208" s="3">
        <v>178489</v>
      </c>
      <c r="E3208" s="3" t="s">
        <v>23</v>
      </c>
    </row>
    <row r="3209" spans="1:5">
      <c r="A3209" s="3" t="s">
        <v>3231</v>
      </c>
      <c r="B3209" s="3" t="s">
        <v>22</v>
      </c>
      <c r="C3209" s="3">
        <v>1063770</v>
      </c>
      <c r="D3209" s="3">
        <v>286568</v>
      </c>
      <c r="E3209" s="3" t="s">
        <v>23</v>
      </c>
    </row>
    <row r="3210" spans="1:5">
      <c r="A3210" s="3" t="s">
        <v>3232</v>
      </c>
      <c r="B3210" s="3" t="s">
        <v>22</v>
      </c>
      <c r="C3210" s="3">
        <v>782807</v>
      </c>
      <c r="D3210" s="3">
        <v>19810</v>
      </c>
      <c r="E3210" s="3" t="s">
        <v>23</v>
      </c>
    </row>
    <row r="3211" spans="1:5">
      <c r="A3211" s="3" t="s">
        <v>3233</v>
      </c>
      <c r="B3211" s="3" t="s">
        <v>22</v>
      </c>
      <c r="C3211" s="3">
        <v>824789</v>
      </c>
      <c r="D3211" s="3">
        <v>73303</v>
      </c>
      <c r="E3211" s="3" t="s">
        <v>23</v>
      </c>
    </row>
    <row r="3212" spans="1:5">
      <c r="A3212" s="3" t="s">
        <v>3234</v>
      </c>
      <c r="B3212" s="3" t="s">
        <v>22</v>
      </c>
      <c r="C3212" s="3">
        <v>559089</v>
      </c>
      <c r="D3212" s="3">
        <v>47941</v>
      </c>
      <c r="E3212" s="3" t="s">
        <v>23</v>
      </c>
    </row>
    <row r="3213" spans="1:5">
      <c r="A3213" s="3" t="s">
        <v>3235</v>
      </c>
      <c r="B3213" s="3" t="s">
        <v>22</v>
      </c>
      <c r="C3213" s="3">
        <v>450348</v>
      </c>
      <c r="D3213" s="3">
        <v>101767</v>
      </c>
      <c r="E3213" s="3" t="s">
        <v>23</v>
      </c>
    </row>
    <row r="3214" spans="1:5">
      <c r="A3214" s="3" t="s">
        <v>3236</v>
      </c>
      <c r="B3214" s="3" t="s">
        <v>22</v>
      </c>
      <c r="C3214" s="3">
        <v>589493</v>
      </c>
      <c r="D3214" s="3">
        <v>234122</v>
      </c>
      <c r="E3214" s="3" t="s">
        <v>23</v>
      </c>
    </row>
    <row r="3215" spans="1:5">
      <c r="A3215" s="3" t="s">
        <v>3237</v>
      </c>
      <c r="B3215" s="3" t="s">
        <v>22</v>
      </c>
      <c r="C3215" s="3">
        <v>709641</v>
      </c>
      <c r="D3215" s="3">
        <v>16201</v>
      </c>
      <c r="E3215" s="3" t="s">
        <v>23</v>
      </c>
    </row>
    <row r="3216" spans="1:5">
      <c r="A3216" s="3" t="s">
        <v>3238</v>
      </c>
      <c r="B3216" s="3" t="s">
        <v>22</v>
      </c>
      <c r="C3216" s="3">
        <v>609377</v>
      </c>
      <c r="D3216" s="3">
        <v>55783</v>
      </c>
      <c r="E3216" s="3" t="s">
        <v>23</v>
      </c>
    </row>
    <row r="3217" spans="1:5">
      <c r="A3217" s="3" t="s">
        <v>3239</v>
      </c>
      <c r="B3217" s="3" t="s">
        <v>22</v>
      </c>
      <c r="C3217" s="3">
        <v>549329</v>
      </c>
      <c r="D3217" s="3">
        <v>138966</v>
      </c>
      <c r="E3217" s="3" t="s">
        <v>23</v>
      </c>
    </row>
    <row r="3218" spans="1:5">
      <c r="A3218" s="3" t="s">
        <v>3240</v>
      </c>
      <c r="B3218" s="3" t="s">
        <v>22</v>
      </c>
      <c r="C3218" s="3">
        <v>742791</v>
      </c>
      <c r="D3218" s="3">
        <v>14742</v>
      </c>
      <c r="E3218" s="3" t="s">
        <v>23</v>
      </c>
    </row>
    <row r="3219" spans="1:5">
      <c r="A3219" s="3" t="s">
        <v>3241</v>
      </c>
      <c r="B3219" s="3" t="s">
        <v>22</v>
      </c>
      <c r="C3219" s="3">
        <v>751660</v>
      </c>
      <c r="D3219" s="3">
        <v>263515</v>
      </c>
      <c r="E3219" s="3" t="s">
        <v>23</v>
      </c>
    </row>
    <row r="3220" spans="1:5">
      <c r="A3220" s="3" t="s">
        <v>3242</v>
      </c>
      <c r="B3220" s="3" t="s">
        <v>22</v>
      </c>
      <c r="C3220" s="3">
        <v>626464</v>
      </c>
      <c r="D3220" s="3">
        <v>168330</v>
      </c>
      <c r="E3220" s="3" t="s">
        <v>23</v>
      </c>
    </row>
    <row r="3221" spans="1:5">
      <c r="A3221" s="3" t="s">
        <v>3243</v>
      </c>
      <c r="B3221" s="3" t="s">
        <v>22</v>
      </c>
      <c r="C3221" s="3">
        <v>552462</v>
      </c>
      <c r="D3221" s="3">
        <v>11552</v>
      </c>
      <c r="E3221" s="3" t="s">
        <v>23</v>
      </c>
    </row>
    <row r="3222" spans="1:5">
      <c r="A3222" s="3" t="s">
        <v>3244</v>
      </c>
      <c r="B3222" s="3" t="s">
        <v>22</v>
      </c>
      <c r="C3222" s="3">
        <v>941570</v>
      </c>
      <c r="D3222" s="3">
        <v>4734</v>
      </c>
      <c r="E3222" s="3" t="s">
        <v>23</v>
      </c>
    </row>
    <row r="3223" spans="1:5">
      <c r="A3223" s="3" t="s">
        <v>3245</v>
      </c>
      <c r="B3223" s="3" t="s">
        <v>22</v>
      </c>
      <c r="C3223" s="3">
        <v>729392</v>
      </c>
      <c r="D3223" s="3">
        <v>281493</v>
      </c>
      <c r="E3223" s="3" t="s">
        <v>23</v>
      </c>
    </row>
    <row r="3224" spans="1:5">
      <c r="A3224" s="3" t="s">
        <v>3246</v>
      </c>
      <c r="B3224" s="3" t="s">
        <v>22</v>
      </c>
      <c r="C3224" s="3">
        <v>1002885</v>
      </c>
      <c r="D3224" s="3">
        <v>279049</v>
      </c>
      <c r="E3224" s="3" t="s">
        <v>23</v>
      </c>
    </row>
    <row r="3225" spans="1:5">
      <c r="A3225" s="3" t="s">
        <v>3247</v>
      </c>
      <c r="B3225" s="3" t="s">
        <v>22</v>
      </c>
      <c r="C3225" s="3">
        <v>753829</v>
      </c>
      <c r="D3225" s="3">
        <v>143531</v>
      </c>
      <c r="E3225" s="3" t="s">
        <v>23</v>
      </c>
    </row>
    <row r="3226" spans="1:5">
      <c r="A3226" s="3" t="s">
        <v>3248</v>
      </c>
      <c r="B3226" s="3" t="s">
        <v>22</v>
      </c>
      <c r="C3226" s="3">
        <v>1004758</v>
      </c>
      <c r="D3226" s="3">
        <v>113562</v>
      </c>
      <c r="E3226" s="3" t="s">
        <v>23</v>
      </c>
    </row>
    <row r="3227" spans="1:5">
      <c r="A3227" s="3" t="s">
        <v>3249</v>
      </c>
      <c r="B3227" s="3" t="s">
        <v>22</v>
      </c>
      <c r="C3227" s="3">
        <v>772480</v>
      </c>
      <c r="D3227" s="3">
        <v>112729</v>
      </c>
      <c r="E3227" s="3" t="s">
        <v>23</v>
      </c>
    </row>
    <row r="3228" spans="1:5">
      <c r="A3228" s="3" t="s">
        <v>3250</v>
      </c>
      <c r="B3228" s="3" t="s">
        <v>22</v>
      </c>
      <c r="C3228" s="3">
        <v>682980</v>
      </c>
      <c r="D3228" s="3">
        <v>13242</v>
      </c>
      <c r="E3228" s="3" t="s">
        <v>23</v>
      </c>
    </row>
    <row r="3229" spans="1:5">
      <c r="A3229" s="3" t="s">
        <v>3251</v>
      </c>
      <c r="B3229" s="3" t="s">
        <v>22</v>
      </c>
      <c r="C3229" s="3">
        <v>436480</v>
      </c>
      <c r="D3229" s="3">
        <v>66012</v>
      </c>
      <c r="E3229" s="3" t="s">
        <v>23</v>
      </c>
    </row>
    <row r="3230" spans="1:5">
      <c r="A3230" s="3" t="s">
        <v>3252</v>
      </c>
      <c r="B3230" s="3" t="s">
        <v>22</v>
      </c>
      <c r="C3230" s="3">
        <v>735914</v>
      </c>
      <c r="D3230" s="3">
        <v>170924</v>
      </c>
      <c r="E3230" s="3" t="s">
        <v>23</v>
      </c>
    </row>
    <row r="3231" spans="1:5">
      <c r="A3231" s="3" t="s">
        <v>3253</v>
      </c>
      <c r="B3231" s="3" t="s">
        <v>22</v>
      </c>
      <c r="C3231" s="3">
        <v>779236</v>
      </c>
      <c r="D3231" s="3">
        <v>101192</v>
      </c>
      <c r="E3231" s="3" t="s">
        <v>23</v>
      </c>
    </row>
    <row r="3232" spans="1:5">
      <c r="A3232" s="3" t="s">
        <v>3254</v>
      </c>
      <c r="B3232" s="3" t="s">
        <v>22</v>
      </c>
      <c r="C3232" s="3">
        <v>686726</v>
      </c>
      <c r="D3232" s="3">
        <v>288633</v>
      </c>
      <c r="E3232" s="3" t="s">
        <v>23</v>
      </c>
    </row>
    <row r="3233" spans="1:5">
      <c r="A3233" s="3" t="s">
        <v>3255</v>
      </c>
      <c r="B3233" s="3" t="s">
        <v>22</v>
      </c>
      <c r="C3233" s="3">
        <v>954038</v>
      </c>
      <c r="D3233" s="3">
        <v>226711</v>
      </c>
      <c r="E3233" s="3" t="s">
        <v>23</v>
      </c>
    </row>
    <row r="3234" spans="1:5">
      <c r="A3234" s="3" t="s">
        <v>3256</v>
      </c>
      <c r="B3234" s="3" t="s">
        <v>22</v>
      </c>
      <c r="C3234" s="3">
        <v>1054715</v>
      </c>
      <c r="D3234" s="3">
        <v>147251</v>
      </c>
      <c r="E3234" s="3" t="s">
        <v>23</v>
      </c>
    </row>
    <row r="3235" spans="1:5">
      <c r="A3235" s="3" t="s">
        <v>3257</v>
      </c>
      <c r="B3235" s="3" t="s">
        <v>22</v>
      </c>
      <c r="C3235" s="3">
        <v>891236</v>
      </c>
      <c r="D3235" s="3">
        <v>133633</v>
      </c>
      <c r="E3235" s="3" t="s">
        <v>23</v>
      </c>
    </row>
    <row r="3236" spans="1:5">
      <c r="A3236" s="3" t="s">
        <v>3258</v>
      </c>
      <c r="B3236" s="3" t="s">
        <v>22</v>
      </c>
      <c r="C3236" s="3">
        <v>542506</v>
      </c>
      <c r="D3236" s="3">
        <v>176336</v>
      </c>
      <c r="E3236" s="3" t="s">
        <v>23</v>
      </c>
    </row>
    <row r="3237" spans="1:5">
      <c r="A3237" s="3" t="s">
        <v>3259</v>
      </c>
      <c r="B3237" s="3" t="s">
        <v>22</v>
      </c>
      <c r="C3237" s="3">
        <v>127666</v>
      </c>
      <c r="D3237" s="3">
        <v>21655</v>
      </c>
      <c r="E3237" s="3" t="s">
        <v>23</v>
      </c>
    </row>
    <row r="3238" spans="1:5">
      <c r="A3238" s="3" t="s">
        <v>3260</v>
      </c>
      <c r="B3238" s="3" t="s">
        <v>22</v>
      </c>
      <c r="C3238" s="3">
        <v>204330</v>
      </c>
      <c r="D3238" s="3">
        <v>67331</v>
      </c>
      <c r="E3238" s="3" t="s">
        <v>23</v>
      </c>
    </row>
    <row r="3239" spans="1:5">
      <c r="A3239" s="3" t="s">
        <v>3261</v>
      </c>
      <c r="B3239" s="3" t="s">
        <v>22</v>
      </c>
      <c r="C3239" s="3">
        <v>763263</v>
      </c>
      <c r="D3239" s="3">
        <v>290926</v>
      </c>
      <c r="E3239" s="3" t="s">
        <v>23</v>
      </c>
    </row>
    <row r="3240" spans="1:5">
      <c r="A3240" s="3" t="s">
        <v>3262</v>
      </c>
      <c r="B3240" s="3" t="s">
        <v>22</v>
      </c>
      <c r="C3240" s="3">
        <v>1002899</v>
      </c>
      <c r="D3240" s="3">
        <v>265565</v>
      </c>
      <c r="E3240" s="3" t="s">
        <v>23</v>
      </c>
    </row>
    <row r="3241" spans="1:5">
      <c r="A3241" s="3" t="s">
        <v>3263</v>
      </c>
      <c r="B3241" s="3" t="s">
        <v>22</v>
      </c>
      <c r="C3241" s="3">
        <v>1001195</v>
      </c>
      <c r="D3241" s="3">
        <v>200682</v>
      </c>
      <c r="E3241" s="3" t="s">
        <v>23</v>
      </c>
    </row>
    <row r="3242" spans="1:5">
      <c r="A3242" s="3" t="s">
        <v>3264</v>
      </c>
      <c r="B3242" s="3" t="s">
        <v>22</v>
      </c>
      <c r="C3242" s="3">
        <v>779726</v>
      </c>
      <c r="D3242" s="3">
        <v>166134</v>
      </c>
      <c r="E3242" s="3" t="s">
        <v>23</v>
      </c>
    </row>
    <row r="3243" spans="1:5">
      <c r="A3243" s="3" t="s">
        <v>3265</v>
      </c>
      <c r="B3243" s="3" t="s">
        <v>22</v>
      </c>
      <c r="C3243" s="3">
        <v>858293</v>
      </c>
      <c r="D3243" s="3">
        <v>205900</v>
      </c>
      <c r="E3243" s="3" t="s">
        <v>23</v>
      </c>
    </row>
    <row r="3244" spans="1:5">
      <c r="A3244" s="3" t="s">
        <v>3266</v>
      </c>
      <c r="B3244" s="3" t="s">
        <v>22</v>
      </c>
      <c r="C3244" s="3">
        <v>416739</v>
      </c>
      <c r="D3244" s="3">
        <v>112082</v>
      </c>
      <c r="E3244" s="3" t="s">
        <v>23</v>
      </c>
    </row>
    <row r="3245" spans="1:5">
      <c r="A3245" s="3" t="s">
        <v>3267</v>
      </c>
      <c r="B3245" s="3" t="s">
        <v>22</v>
      </c>
      <c r="C3245" s="3">
        <v>620849</v>
      </c>
      <c r="D3245" s="3">
        <v>279779</v>
      </c>
      <c r="E3245" s="3" t="s">
        <v>23</v>
      </c>
    </row>
    <row r="3246" spans="1:5">
      <c r="A3246" s="3" t="s">
        <v>3268</v>
      </c>
      <c r="B3246" s="3" t="s">
        <v>22</v>
      </c>
      <c r="C3246" s="3">
        <v>570127</v>
      </c>
      <c r="D3246" s="3">
        <v>7014</v>
      </c>
      <c r="E3246" s="3" t="s">
        <v>23</v>
      </c>
    </row>
    <row r="3247" spans="1:5">
      <c r="A3247" s="3" t="s">
        <v>3269</v>
      </c>
      <c r="B3247" s="3" t="s">
        <v>22</v>
      </c>
      <c r="C3247" s="3">
        <v>811296</v>
      </c>
      <c r="D3247" s="3">
        <v>221804</v>
      </c>
      <c r="E3247" s="3" t="s">
        <v>23</v>
      </c>
    </row>
    <row r="3248" spans="1:5">
      <c r="A3248" s="3" t="s">
        <v>3270</v>
      </c>
      <c r="B3248" s="3" t="s">
        <v>22</v>
      </c>
      <c r="C3248" s="3">
        <v>660354</v>
      </c>
      <c r="D3248" s="3">
        <v>157793</v>
      </c>
      <c r="E3248" s="3" t="s">
        <v>23</v>
      </c>
    </row>
    <row r="3249" spans="1:5">
      <c r="A3249" s="3" t="s">
        <v>3271</v>
      </c>
      <c r="B3249" s="3" t="s">
        <v>22</v>
      </c>
      <c r="C3249" s="3">
        <v>831090</v>
      </c>
      <c r="D3249" s="3">
        <v>177811</v>
      </c>
      <c r="E3249" s="3" t="s">
        <v>23</v>
      </c>
    </row>
    <row r="3250" spans="1:5">
      <c r="A3250" s="3" t="s">
        <v>3272</v>
      </c>
      <c r="B3250" s="3" t="s">
        <v>22</v>
      </c>
      <c r="C3250" s="3">
        <v>439595</v>
      </c>
      <c r="D3250" s="3">
        <v>98111</v>
      </c>
      <c r="E3250" s="3" t="s">
        <v>23</v>
      </c>
    </row>
    <row r="3251" spans="1:5">
      <c r="A3251" s="3" t="s">
        <v>3273</v>
      </c>
      <c r="B3251" s="3" t="s">
        <v>22</v>
      </c>
      <c r="C3251" s="3">
        <v>623559</v>
      </c>
      <c r="D3251" s="3">
        <v>72489</v>
      </c>
      <c r="E3251" s="3" t="s">
        <v>23</v>
      </c>
    </row>
    <row r="3252" spans="1:5">
      <c r="A3252" s="3" t="s">
        <v>3274</v>
      </c>
      <c r="B3252" s="3" t="s">
        <v>22</v>
      </c>
      <c r="C3252" s="3">
        <v>808665</v>
      </c>
      <c r="D3252" s="3">
        <v>27715</v>
      </c>
      <c r="E3252" s="3" t="s">
        <v>23</v>
      </c>
    </row>
    <row r="3253" spans="1:5">
      <c r="A3253" s="3" t="s">
        <v>3275</v>
      </c>
      <c r="B3253" s="3" t="s">
        <v>22</v>
      </c>
      <c r="C3253" s="3">
        <v>443599</v>
      </c>
      <c r="D3253" s="3">
        <v>7815</v>
      </c>
      <c r="E3253" s="3" t="s">
        <v>23</v>
      </c>
    </row>
    <row r="3254" spans="1:5">
      <c r="A3254" s="3" t="s">
        <v>3276</v>
      </c>
      <c r="B3254" s="3" t="s">
        <v>22</v>
      </c>
      <c r="C3254" s="3">
        <v>538688</v>
      </c>
      <c r="D3254" s="3">
        <v>207449</v>
      </c>
      <c r="E3254" s="3" t="s">
        <v>23</v>
      </c>
    </row>
    <row r="3255" spans="1:5">
      <c r="A3255" s="3" t="s">
        <v>3277</v>
      </c>
      <c r="B3255" s="3" t="s">
        <v>22</v>
      </c>
      <c r="C3255" s="3">
        <v>671838</v>
      </c>
      <c r="D3255" s="3">
        <v>139983</v>
      </c>
      <c r="E3255" s="3" t="s">
        <v>23</v>
      </c>
    </row>
    <row r="3256" spans="1:5">
      <c r="A3256" s="3" t="s">
        <v>3278</v>
      </c>
      <c r="B3256" s="3" t="s">
        <v>22</v>
      </c>
      <c r="C3256" s="3">
        <v>323164</v>
      </c>
      <c r="D3256" s="3">
        <v>7213</v>
      </c>
      <c r="E3256" s="3" t="s">
        <v>23</v>
      </c>
    </row>
    <row r="3257" spans="1:5">
      <c r="A3257" s="3" t="s">
        <v>3279</v>
      </c>
      <c r="B3257" s="3" t="s">
        <v>22</v>
      </c>
      <c r="C3257" s="3">
        <v>430880</v>
      </c>
      <c r="D3257" s="3">
        <v>146582</v>
      </c>
      <c r="E3257" s="3" t="s">
        <v>23</v>
      </c>
    </row>
    <row r="3258" spans="1:5">
      <c r="A3258" s="3" t="s">
        <v>3280</v>
      </c>
      <c r="B3258" s="3" t="s">
        <v>22</v>
      </c>
      <c r="C3258" s="3">
        <v>304155</v>
      </c>
      <c r="D3258" s="3">
        <v>109422</v>
      </c>
      <c r="E3258" s="3" t="s">
        <v>23</v>
      </c>
    </row>
    <row r="3259" spans="1:5">
      <c r="A3259" s="3" t="s">
        <v>3281</v>
      </c>
      <c r="B3259" s="3" t="s">
        <v>22</v>
      </c>
      <c r="C3259" s="3">
        <v>420141</v>
      </c>
      <c r="D3259" s="3">
        <v>53590</v>
      </c>
      <c r="E3259" s="3" t="s">
        <v>23</v>
      </c>
    </row>
    <row r="3260" spans="1:5">
      <c r="A3260" s="3" t="s">
        <v>3282</v>
      </c>
      <c r="B3260" s="3" t="s">
        <v>22</v>
      </c>
      <c r="C3260" s="3">
        <v>443959</v>
      </c>
      <c r="D3260" s="3">
        <v>2074</v>
      </c>
      <c r="E3260" s="3" t="s">
        <v>23</v>
      </c>
    </row>
    <row r="3261" spans="1:5">
      <c r="A3261" s="3" t="s">
        <v>3283</v>
      </c>
      <c r="B3261" s="3" t="s">
        <v>22</v>
      </c>
      <c r="C3261" s="3">
        <v>257848</v>
      </c>
      <c r="D3261" s="3">
        <v>82570</v>
      </c>
      <c r="E3261" s="3" t="s">
        <v>23</v>
      </c>
    </row>
    <row r="3262" spans="1:5">
      <c r="A3262" s="3" t="s">
        <v>3284</v>
      </c>
      <c r="B3262" s="3" t="s">
        <v>22</v>
      </c>
      <c r="C3262" s="3">
        <v>303328</v>
      </c>
      <c r="D3262" s="3">
        <v>95807</v>
      </c>
      <c r="E3262" s="3" t="s">
        <v>23</v>
      </c>
    </row>
    <row r="3263" spans="1:5">
      <c r="A3263" s="3" t="s">
        <v>3285</v>
      </c>
      <c r="B3263" s="3" t="s">
        <v>22</v>
      </c>
      <c r="C3263" s="3">
        <v>236470</v>
      </c>
      <c r="D3263" s="3">
        <v>1669</v>
      </c>
      <c r="E3263" s="3" t="s">
        <v>23</v>
      </c>
    </row>
    <row r="3264" spans="1:5">
      <c r="A3264" s="3" t="s">
        <v>3286</v>
      </c>
      <c r="B3264" s="3" t="s">
        <v>22</v>
      </c>
      <c r="C3264" s="3">
        <v>285294</v>
      </c>
      <c r="D3264" s="3">
        <v>5195</v>
      </c>
      <c r="E3264" s="3" t="s">
        <v>23</v>
      </c>
    </row>
    <row r="3265" spans="1:5">
      <c r="A3265" s="3" t="s">
        <v>3287</v>
      </c>
      <c r="B3265" s="3" t="s">
        <v>22</v>
      </c>
      <c r="C3265" s="3">
        <v>358114</v>
      </c>
      <c r="D3265" s="3">
        <v>111591</v>
      </c>
      <c r="E3265" s="3" t="s">
        <v>23</v>
      </c>
    </row>
    <row r="3266" spans="1:5">
      <c r="A3266" s="3" t="s">
        <v>3288</v>
      </c>
      <c r="B3266" s="3" t="s">
        <v>22</v>
      </c>
      <c r="C3266" s="3">
        <v>371335</v>
      </c>
      <c r="D3266" s="3">
        <v>68928</v>
      </c>
      <c r="E3266" s="3" t="s">
        <v>23</v>
      </c>
    </row>
    <row r="3267" spans="1:5">
      <c r="A3267" s="3" t="s">
        <v>3289</v>
      </c>
      <c r="B3267" s="3" t="s">
        <v>22</v>
      </c>
      <c r="C3267" s="3">
        <v>136654</v>
      </c>
      <c r="D3267" s="3">
        <v>48988</v>
      </c>
      <c r="E3267" s="3" t="s">
        <v>23</v>
      </c>
    </row>
    <row r="3268" spans="1:5">
      <c r="A3268" s="3" t="s">
        <v>3290</v>
      </c>
      <c r="B3268" s="3" t="s">
        <v>22</v>
      </c>
      <c r="C3268" s="3">
        <v>418418</v>
      </c>
      <c r="D3268" s="3">
        <v>55022</v>
      </c>
      <c r="E3268" s="3" t="s">
        <v>23</v>
      </c>
    </row>
    <row r="3269" spans="1:5">
      <c r="A3269" s="3" t="s">
        <v>3291</v>
      </c>
      <c r="B3269" s="3" t="s">
        <v>22</v>
      </c>
      <c r="C3269" s="3">
        <v>63925</v>
      </c>
      <c r="D3269" s="3">
        <v>19685</v>
      </c>
      <c r="E3269" s="3" t="s">
        <v>23</v>
      </c>
    </row>
    <row r="3270" spans="1:5">
      <c r="A3270" s="3" t="s">
        <v>3292</v>
      </c>
      <c r="B3270" s="3" t="s">
        <v>22</v>
      </c>
      <c r="C3270" s="3">
        <v>251598</v>
      </c>
      <c r="D3270" s="3">
        <v>581</v>
      </c>
      <c r="E3270" s="3" t="s">
        <v>23</v>
      </c>
    </row>
    <row r="3271" spans="1:5">
      <c r="A3271" s="3" t="s">
        <v>3293</v>
      </c>
      <c r="B3271" s="3" t="s">
        <v>22</v>
      </c>
      <c r="C3271" s="3">
        <v>465068</v>
      </c>
      <c r="D3271" s="3">
        <v>18228</v>
      </c>
      <c r="E3271" s="3" t="s">
        <v>23</v>
      </c>
    </row>
    <row r="3272" spans="1:5">
      <c r="A3272" s="3" t="s">
        <v>3294</v>
      </c>
      <c r="B3272" s="3" t="s">
        <v>22</v>
      </c>
      <c r="C3272" s="3">
        <v>285422</v>
      </c>
      <c r="D3272" s="3">
        <v>98259</v>
      </c>
      <c r="E3272" s="3" t="s">
        <v>23</v>
      </c>
    </row>
    <row r="3273" spans="1:5">
      <c r="A3273" s="3" t="s">
        <v>3295</v>
      </c>
      <c r="B3273" s="3" t="s">
        <v>22</v>
      </c>
      <c r="C3273" s="3">
        <v>470026</v>
      </c>
      <c r="D3273" s="3">
        <v>162163</v>
      </c>
      <c r="E3273" s="3" t="s">
        <v>23</v>
      </c>
    </row>
    <row r="3274" spans="1:5">
      <c r="A3274" s="3" t="s">
        <v>3296</v>
      </c>
      <c r="B3274" s="3" t="s">
        <v>22</v>
      </c>
      <c r="C3274" s="3">
        <v>396440</v>
      </c>
      <c r="D3274" s="3">
        <v>97974</v>
      </c>
      <c r="E3274" s="3" t="s">
        <v>23</v>
      </c>
    </row>
    <row r="3275" spans="1:5">
      <c r="A3275" s="3" t="s">
        <v>3297</v>
      </c>
      <c r="B3275" s="3" t="s">
        <v>22</v>
      </c>
      <c r="C3275" s="3">
        <v>243160</v>
      </c>
      <c r="D3275" s="3">
        <v>315</v>
      </c>
      <c r="E3275" s="3" t="s">
        <v>23</v>
      </c>
    </row>
    <row r="3276" spans="1:5">
      <c r="A3276" s="3" t="s">
        <v>3298</v>
      </c>
      <c r="B3276" s="3" t="s">
        <v>22</v>
      </c>
      <c r="C3276" s="3">
        <v>252535</v>
      </c>
      <c r="D3276" s="3">
        <v>89288</v>
      </c>
      <c r="E3276" s="3" t="s">
        <v>23</v>
      </c>
    </row>
    <row r="3277" spans="1:5">
      <c r="A3277" s="3" t="s">
        <v>3299</v>
      </c>
      <c r="B3277" s="3" t="s">
        <v>22</v>
      </c>
      <c r="C3277" s="3">
        <v>418221</v>
      </c>
      <c r="D3277" s="3">
        <v>106422</v>
      </c>
      <c r="E3277" s="3" t="s">
        <v>23</v>
      </c>
    </row>
    <row r="3278" spans="1:5">
      <c r="A3278" s="3" t="s">
        <v>3300</v>
      </c>
      <c r="B3278" s="3" t="s">
        <v>22</v>
      </c>
      <c r="C3278" s="3">
        <v>306522</v>
      </c>
      <c r="D3278" s="3">
        <v>65194</v>
      </c>
      <c r="E3278" s="3" t="s">
        <v>23</v>
      </c>
    </row>
    <row r="3279" spans="1:5">
      <c r="A3279" s="3" t="s">
        <v>3301</v>
      </c>
      <c r="B3279" s="3" t="s">
        <v>22</v>
      </c>
      <c r="C3279" s="3">
        <v>477460</v>
      </c>
      <c r="D3279" s="3">
        <v>2474</v>
      </c>
      <c r="E3279" s="3" t="s">
        <v>23</v>
      </c>
    </row>
    <row r="3280" spans="1:5">
      <c r="A3280" s="3" t="s">
        <v>3302</v>
      </c>
      <c r="B3280" s="3" t="s">
        <v>22</v>
      </c>
      <c r="C3280" s="3">
        <v>571904</v>
      </c>
      <c r="D3280" s="3">
        <v>167155</v>
      </c>
      <c r="E3280" s="3" t="s">
        <v>23</v>
      </c>
    </row>
    <row r="3281" spans="1:5">
      <c r="A3281" s="3" t="s">
        <v>3303</v>
      </c>
      <c r="B3281" s="3" t="s">
        <v>22</v>
      </c>
      <c r="C3281" s="3">
        <v>347928</v>
      </c>
      <c r="D3281" s="3">
        <v>19622</v>
      </c>
      <c r="E3281" s="3" t="s">
        <v>23</v>
      </c>
    </row>
    <row r="3282" spans="1:5">
      <c r="A3282" s="3" t="s">
        <v>3304</v>
      </c>
      <c r="B3282" s="3" t="s">
        <v>22</v>
      </c>
      <c r="C3282" s="3">
        <v>344289</v>
      </c>
      <c r="D3282" s="3">
        <v>24923</v>
      </c>
      <c r="E3282" s="3" t="s">
        <v>23</v>
      </c>
    </row>
    <row r="3283" spans="1:5">
      <c r="A3283" s="3" t="s">
        <v>3305</v>
      </c>
      <c r="B3283" s="3" t="s">
        <v>22</v>
      </c>
      <c r="C3283" s="3">
        <v>324244</v>
      </c>
      <c r="D3283" s="3">
        <v>100771</v>
      </c>
      <c r="E3283" s="3" t="s">
        <v>23</v>
      </c>
    </row>
    <row r="3284" spans="1:5">
      <c r="A3284" s="3" t="s">
        <v>3306</v>
      </c>
      <c r="B3284" s="3" t="s">
        <v>22</v>
      </c>
      <c r="C3284" s="3">
        <v>380357</v>
      </c>
      <c r="D3284" s="3">
        <v>138778</v>
      </c>
      <c r="E3284" s="3" t="s">
        <v>23</v>
      </c>
    </row>
    <row r="3285" spans="1:5">
      <c r="A3285" s="3" t="s">
        <v>3307</v>
      </c>
      <c r="B3285" s="3" t="s">
        <v>22</v>
      </c>
      <c r="C3285" s="3">
        <v>255270</v>
      </c>
      <c r="D3285" s="3">
        <v>93614</v>
      </c>
      <c r="E3285" s="3" t="s">
        <v>23</v>
      </c>
    </row>
    <row r="3286" spans="1:5">
      <c r="A3286" s="3" t="s">
        <v>3308</v>
      </c>
      <c r="B3286" s="3" t="s">
        <v>22</v>
      </c>
      <c r="C3286" s="3">
        <v>429530</v>
      </c>
      <c r="D3286" s="3">
        <v>21616</v>
      </c>
      <c r="E3286" s="3" t="s">
        <v>23</v>
      </c>
    </row>
    <row r="3287" spans="1:5">
      <c r="A3287" s="3" t="s">
        <v>3309</v>
      </c>
      <c r="B3287" s="3" t="s">
        <v>22</v>
      </c>
      <c r="C3287" s="3">
        <v>247966</v>
      </c>
      <c r="D3287" s="3">
        <v>45001</v>
      </c>
      <c r="E3287" s="3" t="s">
        <v>23</v>
      </c>
    </row>
    <row r="3288" spans="1:5">
      <c r="A3288" s="3" t="s">
        <v>3310</v>
      </c>
      <c r="B3288" s="3" t="s">
        <v>22</v>
      </c>
      <c r="C3288" s="3">
        <v>511402</v>
      </c>
      <c r="D3288" s="3">
        <v>40432</v>
      </c>
      <c r="E3288" s="3" t="s">
        <v>23</v>
      </c>
    </row>
    <row r="3289" spans="1:5">
      <c r="A3289" s="3" t="s">
        <v>3311</v>
      </c>
      <c r="B3289" s="3" t="s">
        <v>22</v>
      </c>
      <c r="C3289" s="3">
        <v>521428</v>
      </c>
      <c r="D3289" s="3">
        <v>7765</v>
      </c>
      <c r="E3289" s="3" t="s">
        <v>23</v>
      </c>
    </row>
    <row r="3290" spans="1:5">
      <c r="A3290" s="3" t="s">
        <v>3312</v>
      </c>
      <c r="B3290" s="3" t="s">
        <v>22</v>
      </c>
      <c r="C3290" s="3">
        <v>575835</v>
      </c>
      <c r="D3290" s="3">
        <v>83241</v>
      </c>
      <c r="E3290" s="3" t="s">
        <v>23</v>
      </c>
    </row>
    <row r="3291" spans="1:5">
      <c r="A3291" s="3" t="s">
        <v>3313</v>
      </c>
      <c r="B3291" s="3" t="s">
        <v>22</v>
      </c>
      <c r="C3291" s="3">
        <v>103228</v>
      </c>
      <c r="D3291" s="3">
        <v>350</v>
      </c>
      <c r="E3291" s="3" t="s">
        <v>23</v>
      </c>
    </row>
    <row r="3292" spans="1:5">
      <c r="A3292" s="3" t="s">
        <v>3314</v>
      </c>
      <c r="B3292" s="3" t="s">
        <v>22</v>
      </c>
      <c r="C3292" s="3">
        <v>418438</v>
      </c>
      <c r="D3292" s="3">
        <v>84078</v>
      </c>
      <c r="E3292" s="3" t="s">
        <v>23</v>
      </c>
    </row>
    <row r="3293" spans="1:5">
      <c r="A3293" s="3" t="s">
        <v>3315</v>
      </c>
      <c r="B3293" s="3" t="s">
        <v>22</v>
      </c>
      <c r="C3293" s="3">
        <v>518566</v>
      </c>
      <c r="D3293" s="3">
        <v>98564</v>
      </c>
      <c r="E3293" s="3" t="s">
        <v>23</v>
      </c>
    </row>
    <row r="3294" spans="1:5">
      <c r="A3294" s="3" t="s">
        <v>3316</v>
      </c>
      <c r="B3294" s="3" t="s">
        <v>22</v>
      </c>
      <c r="C3294" s="3">
        <v>541228</v>
      </c>
      <c r="D3294" s="3">
        <v>117877</v>
      </c>
      <c r="E3294" s="3" t="s">
        <v>23</v>
      </c>
    </row>
    <row r="3295" spans="1:5">
      <c r="A3295" s="3" t="s">
        <v>3317</v>
      </c>
      <c r="B3295" s="3" t="s">
        <v>22</v>
      </c>
      <c r="C3295" s="3">
        <v>458444</v>
      </c>
      <c r="D3295" s="3">
        <v>15875</v>
      </c>
      <c r="E3295" s="3" t="s">
        <v>23</v>
      </c>
    </row>
    <row r="3296" spans="1:5">
      <c r="A3296" s="3" t="s">
        <v>3318</v>
      </c>
      <c r="B3296" s="3" t="s">
        <v>22</v>
      </c>
      <c r="C3296" s="3">
        <v>358730</v>
      </c>
      <c r="D3296" s="3">
        <v>37352</v>
      </c>
      <c r="E3296" s="3" t="s">
        <v>23</v>
      </c>
    </row>
    <row r="3297" spans="1:5">
      <c r="A3297" s="3" t="s">
        <v>3319</v>
      </c>
      <c r="B3297" s="3" t="s">
        <v>22</v>
      </c>
      <c r="C3297" s="3">
        <v>234047</v>
      </c>
      <c r="D3297" s="3">
        <v>33440</v>
      </c>
      <c r="E3297" s="3" t="s">
        <v>23</v>
      </c>
    </row>
    <row r="3298" spans="1:5">
      <c r="A3298" s="3" t="s">
        <v>3320</v>
      </c>
      <c r="B3298" s="3" t="s">
        <v>22</v>
      </c>
      <c r="C3298" s="3">
        <v>323103</v>
      </c>
      <c r="D3298" s="3">
        <v>80773</v>
      </c>
      <c r="E3298" s="3" t="s">
        <v>23</v>
      </c>
    </row>
    <row r="3299" spans="1:5">
      <c r="A3299" s="3" t="s">
        <v>3321</v>
      </c>
      <c r="B3299" s="3" t="s">
        <v>22</v>
      </c>
      <c r="C3299" s="3">
        <v>353738</v>
      </c>
      <c r="D3299" s="3">
        <v>28802</v>
      </c>
      <c r="E3299" s="3" t="s">
        <v>23</v>
      </c>
    </row>
    <row r="3300" spans="1:5">
      <c r="A3300" s="3" t="s">
        <v>3322</v>
      </c>
      <c r="B3300" s="3" t="s">
        <v>22</v>
      </c>
      <c r="C3300" s="3">
        <v>274777</v>
      </c>
      <c r="D3300" s="3">
        <v>61764</v>
      </c>
      <c r="E3300" s="3" t="s">
        <v>23</v>
      </c>
    </row>
    <row r="3301" spans="1:5">
      <c r="A3301" s="3" t="s">
        <v>3323</v>
      </c>
      <c r="B3301" s="3" t="s">
        <v>22</v>
      </c>
      <c r="C3301" s="3">
        <v>459844</v>
      </c>
      <c r="D3301" s="3">
        <v>38559</v>
      </c>
      <c r="E3301" s="3" t="s">
        <v>23</v>
      </c>
    </row>
    <row r="3302" spans="1:5">
      <c r="A3302" s="3" t="s">
        <v>3324</v>
      </c>
      <c r="B3302" s="3" t="s">
        <v>22</v>
      </c>
      <c r="C3302" s="3">
        <v>576353</v>
      </c>
      <c r="D3302" s="3">
        <v>87294</v>
      </c>
      <c r="E3302" s="3" t="s">
        <v>23</v>
      </c>
    </row>
    <row r="3303" spans="1:5">
      <c r="A3303" s="3" t="s">
        <v>3325</v>
      </c>
      <c r="B3303" s="3" t="s">
        <v>22</v>
      </c>
      <c r="C3303" s="3">
        <v>355400</v>
      </c>
      <c r="D3303" s="3">
        <v>30982</v>
      </c>
      <c r="E3303" s="3" t="s">
        <v>23</v>
      </c>
    </row>
    <row r="3304" spans="1:5">
      <c r="A3304" s="3" t="s">
        <v>3326</v>
      </c>
      <c r="B3304" s="3" t="s">
        <v>22</v>
      </c>
      <c r="C3304" s="3">
        <v>549535</v>
      </c>
      <c r="D3304" s="3">
        <v>182813</v>
      </c>
      <c r="E3304" s="3" t="s">
        <v>23</v>
      </c>
    </row>
    <row r="3305" spans="1:5">
      <c r="A3305" s="3" t="s">
        <v>3327</v>
      </c>
      <c r="B3305" s="3" t="s">
        <v>22</v>
      </c>
      <c r="C3305" s="3">
        <v>496050</v>
      </c>
      <c r="D3305" s="3">
        <v>88893</v>
      </c>
      <c r="E3305" s="3" t="s">
        <v>23</v>
      </c>
    </row>
    <row r="3306" spans="1:5">
      <c r="A3306" s="3" t="s">
        <v>3328</v>
      </c>
      <c r="B3306" s="3" t="s">
        <v>22</v>
      </c>
      <c r="C3306" s="3">
        <v>203224</v>
      </c>
      <c r="D3306" s="3">
        <v>31108</v>
      </c>
      <c r="E3306" s="3" t="s">
        <v>23</v>
      </c>
    </row>
    <row r="3307" spans="1:5">
      <c r="A3307" s="3" t="s">
        <v>3329</v>
      </c>
      <c r="B3307" s="3" t="s">
        <v>22</v>
      </c>
      <c r="C3307" s="3">
        <v>411253</v>
      </c>
      <c r="D3307" s="3">
        <v>67516</v>
      </c>
      <c r="E3307" s="3" t="s">
        <v>23</v>
      </c>
    </row>
    <row r="3308" spans="1:5">
      <c r="A3308" s="3" t="s">
        <v>3330</v>
      </c>
      <c r="B3308" s="3" t="s">
        <v>22</v>
      </c>
      <c r="C3308" s="3">
        <v>284291</v>
      </c>
      <c r="D3308" s="3">
        <v>28318</v>
      </c>
      <c r="E3308" s="3" t="s">
        <v>23</v>
      </c>
    </row>
    <row r="3309" spans="1:5">
      <c r="A3309" s="3" t="s">
        <v>3331</v>
      </c>
      <c r="B3309" s="3" t="s">
        <v>22</v>
      </c>
      <c r="C3309" s="3">
        <v>585949</v>
      </c>
      <c r="D3309" s="3">
        <v>129752</v>
      </c>
      <c r="E3309" s="3" t="s">
        <v>23</v>
      </c>
    </row>
    <row r="3310" spans="1:5">
      <c r="A3310" s="3" t="s">
        <v>3332</v>
      </c>
      <c r="B3310" s="3" t="s">
        <v>22</v>
      </c>
      <c r="C3310" s="3">
        <v>302623</v>
      </c>
      <c r="D3310" s="3">
        <v>78912</v>
      </c>
      <c r="E3310" s="3" t="s">
        <v>23</v>
      </c>
    </row>
    <row r="3311" spans="1:5">
      <c r="A3311" s="3" t="s">
        <v>3333</v>
      </c>
      <c r="B3311" s="3" t="s">
        <v>22</v>
      </c>
      <c r="C3311" s="3">
        <v>381541</v>
      </c>
      <c r="D3311" s="3">
        <v>23212</v>
      </c>
      <c r="E3311" s="3" t="s">
        <v>23</v>
      </c>
    </row>
    <row r="3312" spans="1:5">
      <c r="A3312" s="3" t="s">
        <v>3334</v>
      </c>
      <c r="B3312" s="3" t="s">
        <v>22</v>
      </c>
      <c r="C3312" s="3">
        <v>489957</v>
      </c>
      <c r="D3312" s="3">
        <v>92708</v>
      </c>
      <c r="E3312" s="3" t="s">
        <v>23</v>
      </c>
    </row>
    <row r="3313" spans="1:5">
      <c r="A3313" s="3" t="s">
        <v>3335</v>
      </c>
      <c r="B3313" s="3" t="s">
        <v>22</v>
      </c>
      <c r="C3313" s="3">
        <v>441325</v>
      </c>
      <c r="D3313" s="3">
        <v>89653</v>
      </c>
      <c r="E3313" s="3" t="s">
        <v>23</v>
      </c>
    </row>
    <row r="3314" spans="1:5">
      <c r="A3314" s="3" t="s">
        <v>3336</v>
      </c>
      <c r="B3314" s="3" t="s">
        <v>22</v>
      </c>
      <c r="C3314" s="3">
        <v>404983</v>
      </c>
      <c r="D3314" s="3">
        <v>10285</v>
      </c>
      <c r="E3314" s="3" t="s">
        <v>23</v>
      </c>
    </row>
    <row r="3315" spans="1:5">
      <c r="A3315" s="3" t="s">
        <v>3337</v>
      </c>
      <c r="B3315" s="3" t="s">
        <v>22</v>
      </c>
      <c r="C3315" s="3">
        <v>386586</v>
      </c>
      <c r="D3315" s="3">
        <v>14524</v>
      </c>
      <c r="E3315" s="3" t="s">
        <v>23</v>
      </c>
    </row>
    <row r="3316" spans="1:5">
      <c r="A3316" s="3" t="s">
        <v>3338</v>
      </c>
      <c r="B3316" s="3" t="s">
        <v>22</v>
      </c>
      <c r="C3316" s="3">
        <v>393609</v>
      </c>
      <c r="D3316" s="3">
        <v>115360</v>
      </c>
      <c r="E3316" s="3" t="s">
        <v>23</v>
      </c>
    </row>
    <row r="3317" spans="1:5">
      <c r="A3317" s="3" t="s">
        <v>3339</v>
      </c>
      <c r="B3317" s="3" t="s">
        <v>22</v>
      </c>
      <c r="C3317" s="3">
        <v>342106</v>
      </c>
      <c r="D3317" s="3">
        <v>22964</v>
      </c>
      <c r="E3317" s="3" t="s">
        <v>23</v>
      </c>
    </row>
    <row r="3318" spans="1:5">
      <c r="A3318" s="3" t="s">
        <v>3340</v>
      </c>
      <c r="B3318" s="3" t="s">
        <v>22</v>
      </c>
      <c r="C3318" s="3">
        <v>267409</v>
      </c>
      <c r="D3318" s="3">
        <v>19100</v>
      </c>
      <c r="E3318" s="3" t="s">
        <v>23</v>
      </c>
    </row>
    <row r="3319" spans="1:5">
      <c r="A3319" s="3" t="s">
        <v>3341</v>
      </c>
      <c r="B3319" s="3" t="s">
        <v>22</v>
      </c>
      <c r="C3319" s="3">
        <v>534383</v>
      </c>
      <c r="D3319" s="3">
        <v>133585</v>
      </c>
      <c r="E3319" s="3" t="s">
        <v>23</v>
      </c>
    </row>
    <row r="3320" spans="1:5">
      <c r="A3320" s="3" t="s">
        <v>3342</v>
      </c>
      <c r="B3320" s="3" t="s">
        <v>22</v>
      </c>
      <c r="C3320" s="3">
        <v>699513</v>
      </c>
      <c r="D3320" s="3">
        <v>176992</v>
      </c>
      <c r="E3320" s="3" t="s">
        <v>23</v>
      </c>
    </row>
    <row r="3321" spans="1:5">
      <c r="A3321" s="3" t="s">
        <v>3343</v>
      </c>
      <c r="B3321" s="3" t="s">
        <v>22</v>
      </c>
      <c r="C3321" s="3">
        <v>347864</v>
      </c>
      <c r="D3321" s="3">
        <v>17363</v>
      </c>
      <c r="E3321" s="3" t="s">
        <v>23</v>
      </c>
    </row>
    <row r="3322" spans="1:5">
      <c r="A3322" s="3" t="s">
        <v>3344</v>
      </c>
      <c r="B3322" s="3" t="s">
        <v>22</v>
      </c>
      <c r="C3322" s="3">
        <v>213614</v>
      </c>
      <c r="D3322" s="3">
        <v>7664</v>
      </c>
      <c r="E3322" s="3" t="s">
        <v>23</v>
      </c>
    </row>
    <row r="3323" spans="1:5">
      <c r="A3323" s="3" t="s">
        <v>3345</v>
      </c>
      <c r="B3323" s="3" t="s">
        <v>22</v>
      </c>
      <c r="C3323" s="3">
        <v>395239</v>
      </c>
      <c r="D3323" s="3">
        <v>103407</v>
      </c>
      <c r="E3323" s="3" t="s">
        <v>23</v>
      </c>
    </row>
    <row r="3324" spans="1:5">
      <c r="A3324" s="3" t="s">
        <v>3346</v>
      </c>
      <c r="B3324" s="3" t="s">
        <v>22</v>
      </c>
      <c r="C3324" s="3">
        <v>320359</v>
      </c>
      <c r="D3324" s="3">
        <v>41150</v>
      </c>
      <c r="E3324" s="3" t="s">
        <v>23</v>
      </c>
    </row>
    <row r="3325" spans="1:5">
      <c r="A3325" s="3" t="s">
        <v>3347</v>
      </c>
      <c r="B3325" s="3" t="s">
        <v>22</v>
      </c>
      <c r="C3325" s="3">
        <v>343579</v>
      </c>
      <c r="D3325" s="3">
        <v>72328</v>
      </c>
      <c r="E3325" s="3" t="s">
        <v>23</v>
      </c>
    </row>
    <row r="3326" spans="1:5">
      <c r="A3326" s="3" t="s">
        <v>3348</v>
      </c>
      <c r="B3326" s="3" t="s">
        <v>22</v>
      </c>
      <c r="C3326" s="3">
        <v>562728</v>
      </c>
      <c r="D3326" s="3">
        <v>21298</v>
      </c>
      <c r="E3326" s="3" t="s">
        <v>23</v>
      </c>
    </row>
    <row r="3327" spans="1:5">
      <c r="A3327" s="3" t="s">
        <v>3349</v>
      </c>
      <c r="B3327" s="3" t="s">
        <v>22</v>
      </c>
      <c r="C3327" s="3">
        <v>522147</v>
      </c>
      <c r="D3327" s="3">
        <v>62008</v>
      </c>
      <c r="E3327" s="3" t="s">
        <v>23</v>
      </c>
    </row>
    <row r="3328" spans="1:5">
      <c r="A3328" s="3" t="s">
        <v>3350</v>
      </c>
      <c r="B3328" s="3" t="s">
        <v>22</v>
      </c>
      <c r="C3328" s="3">
        <v>375562</v>
      </c>
      <c r="D3328" s="3">
        <v>26500</v>
      </c>
      <c r="E3328" s="3" t="s">
        <v>23</v>
      </c>
    </row>
    <row r="3329" spans="1:5">
      <c r="A3329" s="3" t="s">
        <v>3351</v>
      </c>
      <c r="B3329" s="3" t="s">
        <v>22</v>
      </c>
      <c r="C3329" s="3">
        <v>349183</v>
      </c>
      <c r="D3329" s="3">
        <v>83318</v>
      </c>
      <c r="E3329" s="3" t="s">
        <v>23</v>
      </c>
    </row>
    <row r="3330" spans="1:5">
      <c r="A3330" s="3" t="s">
        <v>3352</v>
      </c>
      <c r="B3330" s="3" t="s">
        <v>22</v>
      </c>
      <c r="C3330" s="3">
        <v>182430</v>
      </c>
      <c r="D3330" s="3">
        <v>28719</v>
      </c>
      <c r="E3330" s="3" t="s">
        <v>23</v>
      </c>
    </row>
    <row r="3331" spans="1:5">
      <c r="A3331" s="3" t="s">
        <v>3353</v>
      </c>
      <c r="B3331" s="3" t="s">
        <v>22</v>
      </c>
      <c r="C3331" s="3">
        <v>204612</v>
      </c>
      <c r="D3331" s="3">
        <v>77203</v>
      </c>
      <c r="E3331" s="3" t="s">
        <v>23</v>
      </c>
    </row>
    <row r="3332" spans="1:5">
      <c r="A3332" s="3" t="s">
        <v>3354</v>
      </c>
      <c r="B3332" s="3" t="s">
        <v>22</v>
      </c>
      <c r="C3332" s="3">
        <v>407457</v>
      </c>
      <c r="D3332" s="3">
        <v>85880</v>
      </c>
      <c r="E3332" s="3" t="s">
        <v>23</v>
      </c>
    </row>
    <row r="3333" spans="1:5">
      <c r="A3333" s="3" t="s">
        <v>3355</v>
      </c>
      <c r="B3333" s="3" t="s">
        <v>22</v>
      </c>
      <c r="C3333" s="3">
        <v>485456</v>
      </c>
      <c r="D3333" s="3">
        <v>50797</v>
      </c>
      <c r="E3333" s="3" t="s">
        <v>23</v>
      </c>
    </row>
    <row r="3334" spans="1:5">
      <c r="A3334" s="3" t="s">
        <v>3356</v>
      </c>
      <c r="B3334" s="3" t="s">
        <v>22</v>
      </c>
      <c r="C3334" s="3">
        <v>490454</v>
      </c>
      <c r="D3334" s="3">
        <v>78908</v>
      </c>
      <c r="E3334" s="3" t="s">
        <v>23</v>
      </c>
    </row>
    <row r="3335" spans="1:5">
      <c r="A3335" s="3" t="s">
        <v>3357</v>
      </c>
      <c r="B3335" s="3" t="s">
        <v>22</v>
      </c>
      <c r="C3335" s="3">
        <v>0</v>
      </c>
      <c r="D3335" s="3">
        <v>0</v>
      </c>
      <c r="E3335" s="3" t="s">
        <v>1173</v>
      </c>
    </row>
    <row r="3336" spans="1:5">
      <c r="A3336" s="3" t="s">
        <v>3358</v>
      </c>
      <c r="B3336" s="3" t="s">
        <v>22</v>
      </c>
      <c r="C3336" s="3">
        <v>418246</v>
      </c>
      <c r="D3336" s="3">
        <v>66858</v>
      </c>
      <c r="E3336" s="3" t="s">
        <v>23</v>
      </c>
    </row>
    <row r="3337" spans="1:5">
      <c r="A3337" s="3" t="s">
        <v>3359</v>
      </c>
      <c r="B3337" s="3" t="s">
        <v>22</v>
      </c>
      <c r="C3337" s="3">
        <v>236036</v>
      </c>
      <c r="D3337" s="3">
        <v>27178</v>
      </c>
      <c r="E3337" s="3" t="s">
        <v>23</v>
      </c>
    </row>
    <row r="3338" spans="1:5">
      <c r="A3338" s="3" t="s">
        <v>3360</v>
      </c>
      <c r="B3338" s="3" t="s">
        <v>22</v>
      </c>
      <c r="C3338" s="3">
        <v>401273</v>
      </c>
      <c r="D3338" s="3">
        <v>68879</v>
      </c>
      <c r="E3338" s="3" t="s">
        <v>23</v>
      </c>
    </row>
    <row r="3339" spans="1:5">
      <c r="A3339" s="3" t="s">
        <v>3361</v>
      </c>
      <c r="B3339" s="3" t="s">
        <v>22</v>
      </c>
      <c r="C3339" s="3">
        <v>324627</v>
      </c>
      <c r="D3339" s="3">
        <v>32071</v>
      </c>
      <c r="E3339" s="3" t="s">
        <v>23</v>
      </c>
    </row>
    <row r="3340" spans="1:5">
      <c r="A3340" s="3" t="s">
        <v>3362</v>
      </c>
      <c r="B3340" s="3" t="s">
        <v>22</v>
      </c>
      <c r="C3340" s="3">
        <v>469652</v>
      </c>
      <c r="D3340" s="3">
        <v>87458</v>
      </c>
      <c r="E3340" s="3" t="s">
        <v>23</v>
      </c>
    </row>
    <row r="3341" spans="1:5">
      <c r="A3341" s="3" t="s">
        <v>3363</v>
      </c>
      <c r="B3341" s="3" t="s">
        <v>22</v>
      </c>
      <c r="C3341" s="3">
        <v>371281</v>
      </c>
      <c r="D3341" s="3">
        <v>89750</v>
      </c>
      <c r="E3341" s="3" t="s">
        <v>23</v>
      </c>
    </row>
    <row r="3342" spans="1:5">
      <c r="A3342" s="3" t="s">
        <v>3364</v>
      </c>
      <c r="B3342" s="3" t="s">
        <v>22</v>
      </c>
      <c r="C3342" s="3">
        <v>502487</v>
      </c>
      <c r="D3342" s="3">
        <v>50878</v>
      </c>
      <c r="E3342" s="3" t="s">
        <v>23</v>
      </c>
    </row>
    <row r="3343" spans="1:5">
      <c r="A3343" s="3" t="s">
        <v>3365</v>
      </c>
      <c r="B3343" s="3" t="s">
        <v>22</v>
      </c>
      <c r="C3343" s="3">
        <v>300720</v>
      </c>
      <c r="D3343" s="3">
        <v>83016</v>
      </c>
      <c r="E3343" s="3" t="s">
        <v>23</v>
      </c>
    </row>
    <row r="3344" spans="1:5">
      <c r="A3344" s="3" t="s">
        <v>3366</v>
      </c>
      <c r="B3344" s="3" t="s">
        <v>22</v>
      </c>
      <c r="C3344" s="3">
        <v>433727</v>
      </c>
      <c r="D3344" s="3">
        <v>92077</v>
      </c>
      <c r="E3344" s="3" t="s">
        <v>23</v>
      </c>
    </row>
    <row r="3345" spans="1:5">
      <c r="A3345" s="3" t="s">
        <v>3367</v>
      </c>
      <c r="B3345" s="3" t="s">
        <v>22</v>
      </c>
      <c r="C3345" s="3">
        <v>493677</v>
      </c>
      <c r="D3345" s="3">
        <v>52796</v>
      </c>
      <c r="E3345" s="3" t="s">
        <v>23</v>
      </c>
    </row>
    <row r="3346" spans="1:5">
      <c r="A3346" s="3" t="s">
        <v>3368</v>
      </c>
      <c r="B3346" s="3" t="s">
        <v>22</v>
      </c>
      <c r="C3346" s="3">
        <v>280616</v>
      </c>
      <c r="D3346" s="3">
        <v>2595</v>
      </c>
      <c r="E3346" s="3" t="s">
        <v>23</v>
      </c>
    </row>
    <row r="3347" spans="1:5">
      <c r="A3347" s="3" t="s">
        <v>3369</v>
      </c>
      <c r="B3347" s="3" t="s">
        <v>22</v>
      </c>
      <c r="C3347" s="3">
        <v>384366</v>
      </c>
      <c r="D3347" s="3">
        <v>98211</v>
      </c>
      <c r="E3347" s="3" t="s">
        <v>23</v>
      </c>
    </row>
    <row r="3348" spans="1:5">
      <c r="A3348" s="3" t="s">
        <v>3370</v>
      </c>
      <c r="B3348" s="3" t="s">
        <v>22</v>
      </c>
      <c r="C3348" s="3">
        <v>428596</v>
      </c>
      <c r="D3348" s="3">
        <v>58069</v>
      </c>
      <c r="E3348" s="3" t="s">
        <v>23</v>
      </c>
    </row>
    <row r="3349" spans="1:5">
      <c r="A3349" s="3" t="s">
        <v>3371</v>
      </c>
      <c r="B3349" s="3" t="s">
        <v>22</v>
      </c>
      <c r="C3349" s="3">
        <v>484364</v>
      </c>
      <c r="D3349" s="3">
        <v>26819</v>
      </c>
      <c r="E3349" s="3" t="s">
        <v>23</v>
      </c>
    </row>
    <row r="3350" spans="1:5">
      <c r="A3350" s="3" t="s">
        <v>3372</v>
      </c>
      <c r="B3350" s="3" t="s">
        <v>22</v>
      </c>
      <c r="C3350" s="3">
        <v>514125</v>
      </c>
      <c r="D3350" s="3">
        <v>97928</v>
      </c>
      <c r="E3350" s="3" t="s">
        <v>23</v>
      </c>
    </row>
    <row r="3351" spans="1:5">
      <c r="A3351" s="3" t="s">
        <v>3373</v>
      </c>
      <c r="B3351" s="3" t="s">
        <v>22</v>
      </c>
      <c r="C3351" s="3">
        <v>449798</v>
      </c>
      <c r="D3351" s="3">
        <v>177120</v>
      </c>
      <c r="E3351" s="3" t="s">
        <v>23</v>
      </c>
    </row>
    <row r="3352" spans="1:5">
      <c r="A3352" s="3" t="s">
        <v>3374</v>
      </c>
      <c r="B3352" s="3" t="s">
        <v>22</v>
      </c>
      <c r="C3352" s="3">
        <v>662063</v>
      </c>
      <c r="D3352" s="3">
        <v>123043</v>
      </c>
      <c r="E3352" s="3" t="s">
        <v>23</v>
      </c>
    </row>
    <row r="3353" spans="1:5">
      <c r="A3353" s="3" t="s">
        <v>3375</v>
      </c>
      <c r="B3353" s="3" t="s">
        <v>22</v>
      </c>
      <c r="C3353" s="3">
        <v>616070</v>
      </c>
      <c r="D3353" s="3">
        <v>9399</v>
      </c>
      <c r="E3353" s="3" t="s">
        <v>23</v>
      </c>
    </row>
    <row r="3354" spans="1:5">
      <c r="A3354" s="3" t="s">
        <v>3376</v>
      </c>
      <c r="B3354" s="3" t="s">
        <v>22</v>
      </c>
      <c r="C3354" s="3">
        <v>481893</v>
      </c>
      <c r="D3354" s="3">
        <v>173936</v>
      </c>
      <c r="E3354" s="3" t="s">
        <v>23</v>
      </c>
    </row>
    <row r="3355" spans="1:5">
      <c r="A3355" s="3" t="s">
        <v>3377</v>
      </c>
      <c r="B3355" s="3" t="s">
        <v>22</v>
      </c>
      <c r="C3355" s="3">
        <v>313495</v>
      </c>
      <c r="D3355" s="3">
        <v>69565</v>
      </c>
      <c r="E3355" s="3" t="s">
        <v>23</v>
      </c>
    </row>
    <row r="3356" spans="1:5">
      <c r="A3356" s="3" t="s">
        <v>3378</v>
      </c>
      <c r="B3356" s="3" t="s">
        <v>22</v>
      </c>
      <c r="C3356" s="3">
        <v>306700</v>
      </c>
      <c r="D3356" s="3">
        <v>2062</v>
      </c>
      <c r="E3356" s="3" t="s">
        <v>23</v>
      </c>
    </row>
    <row r="3357" spans="1:5">
      <c r="A3357" s="3" t="s">
        <v>3379</v>
      </c>
      <c r="B3357" s="3" t="s">
        <v>22</v>
      </c>
      <c r="C3357" s="3">
        <v>333324</v>
      </c>
      <c r="D3357" s="3">
        <v>14783</v>
      </c>
      <c r="E3357" s="3" t="s">
        <v>23</v>
      </c>
    </row>
    <row r="3358" spans="1:5">
      <c r="A3358" s="3" t="s">
        <v>3380</v>
      </c>
      <c r="B3358" s="3" t="s">
        <v>22</v>
      </c>
      <c r="C3358" s="3">
        <v>458842</v>
      </c>
      <c r="D3358" s="3">
        <v>187938</v>
      </c>
      <c r="E3358" s="3" t="s">
        <v>23</v>
      </c>
    </row>
    <row r="3359" spans="1:5">
      <c r="A3359" s="3" t="s">
        <v>3381</v>
      </c>
      <c r="B3359" s="3" t="s">
        <v>22</v>
      </c>
      <c r="C3359" s="3">
        <v>662383</v>
      </c>
      <c r="D3359" s="3">
        <v>56910</v>
      </c>
      <c r="E3359" s="3" t="s">
        <v>23</v>
      </c>
    </row>
    <row r="3360" spans="1:5">
      <c r="A3360" s="3" t="s">
        <v>3382</v>
      </c>
      <c r="B3360" s="3" t="s">
        <v>22</v>
      </c>
      <c r="C3360" s="3">
        <v>161837</v>
      </c>
      <c r="D3360" s="3">
        <v>49091</v>
      </c>
      <c r="E3360" s="3" t="s">
        <v>23</v>
      </c>
    </row>
    <row r="3361" spans="1:5">
      <c r="A3361" s="3" t="s">
        <v>3383</v>
      </c>
      <c r="B3361" s="3" t="s">
        <v>22</v>
      </c>
      <c r="C3361" s="3">
        <v>477396</v>
      </c>
      <c r="D3361" s="3">
        <v>84952</v>
      </c>
      <c r="E3361" s="3" t="s">
        <v>23</v>
      </c>
    </row>
    <row r="3362" spans="1:5">
      <c r="A3362" s="3" t="s">
        <v>3384</v>
      </c>
      <c r="B3362" s="3" t="s">
        <v>22</v>
      </c>
      <c r="C3362" s="3">
        <v>312483</v>
      </c>
      <c r="D3362" s="3">
        <v>112922</v>
      </c>
      <c r="E3362" s="3" t="s">
        <v>23</v>
      </c>
    </row>
    <row r="3363" spans="1:5">
      <c r="A3363" s="3" t="s">
        <v>3385</v>
      </c>
      <c r="B3363" s="3" t="s">
        <v>22</v>
      </c>
      <c r="C3363" s="3">
        <v>453428</v>
      </c>
      <c r="D3363" s="3">
        <v>923</v>
      </c>
      <c r="E3363" s="3" t="s">
        <v>23</v>
      </c>
    </row>
    <row r="3364" spans="1:5">
      <c r="A3364" s="3" t="s">
        <v>3386</v>
      </c>
      <c r="B3364" s="3" t="s">
        <v>22</v>
      </c>
      <c r="C3364" s="3">
        <v>688895</v>
      </c>
      <c r="D3364" s="3">
        <v>8177</v>
      </c>
      <c r="E3364" s="3" t="s">
        <v>23</v>
      </c>
    </row>
    <row r="3365" spans="1:5">
      <c r="A3365" s="3" t="s">
        <v>3387</v>
      </c>
      <c r="B3365" s="3" t="s">
        <v>22</v>
      </c>
      <c r="C3365" s="3">
        <v>319104</v>
      </c>
      <c r="D3365" s="3">
        <v>103486</v>
      </c>
      <c r="E3365" s="3" t="s">
        <v>23</v>
      </c>
    </row>
    <row r="3366" spans="1:5">
      <c r="A3366" s="3" t="s">
        <v>3388</v>
      </c>
      <c r="B3366" s="3" t="s">
        <v>22</v>
      </c>
      <c r="C3366" s="3">
        <v>513950</v>
      </c>
      <c r="D3366" s="3">
        <v>174712</v>
      </c>
      <c r="E3366" s="3" t="s">
        <v>23</v>
      </c>
    </row>
    <row r="3367" spans="1:5">
      <c r="A3367" s="3" t="s">
        <v>3389</v>
      </c>
      <c r="B3367" s="3" t="s">
        <v>22</v>
      </c>
      <c r="C3367" s="3">
        <v>486246</v>
      </c>
      <c r="D3367" s="3">
        <v>179543</v>
      </c>
      <c r="E3367" s="3" t="s">
        <v>23</v>
      </c>
    </row>
    <row r="3368" spans="1:5">
      <c r="A3368" s="3" t="s">
        <v>3390</v>
      </c>
      <c r="B3368" s="3" t="s">
        <v>22</v>
      </c>
      <c r="C3368" s="3">
        <v>414325</v>
      </c>
      <c r="D3368" s="3">
        <v>3484</v>
      </c>
      <c r="E3368" s="3" t="s">
        <v>23</v>
      </c>
    </row>
    <row r="3369" spans="1:5">
      <c r="A3369" s="3" t="s">
        <v>3391</v>
      </c>
      <c r="B3369" s="3" t="s">
        <v>22</v>
      </c>
      <c r="C3369" s="3">
        <v>483827</v>
      </c>
      <c r="D3369" s="3">
        <v>166134</v>
      </c>
      <c r="E3369" s="3" t="s">
        <v>23</v>
      </c>
    </row>
    <row r="3370" spans="1:5">
      <c r="A3370" s="3" t="s">
        <v>3392</v>
      </c>
      <c r="B3370" s="3" t="s">
        <v>22</v>
      </c>
      <c r="C3370" s="3">
        <v>600813</v>
      </c>
      <c r="D3370" s="3">
        <v>206074</v>
      </c>
      <c r="E3370" s="3" t="s">
        <v>23</v>
      </c>
    </row>
    <row r="3371" spans="1:5">
      <c r="A3371" s="3" t="s">
        <v>3393</v>
      </c>
      <c r="B3371" s="3" t="s">
        <v>22</v>
      </c>
      <c r="C3371" s="3">
        <v>545431</v>
      </c>
      <c r="D3371" s="3">
        <v>218874</v>
      </c>
      <c r="E3371" s="3" t="s">
        <v>23</v>
      </c>
    </row>
    <row r="3372" spans="1:5">
      <c r="A3372" s="3" t="s">
        <v>3394</v>
      </c>
      <c r="B3372" s="3" t="s">
        <v>22</v>
      </c>
      <c r="C3372" s="3">
        <v>428550</v>
      </c>
      <c r="D3372" s="3">
        <v>3725</v>
      </c>
      <c r="E3372" s="3" t="s">
        <v>23</v>
      </c>
    </row>
    <row r="3373" spans="1:5">
      <c r="A3373" s="3" t="s">
        <v>3395</v>
      </c>
      <c r="B3373" s="3" t="s">
        <v>22</v>
      </c>
      <c r="C3373" s="3">
        <v>612010</v>
      </c>
      <c r="D3373" s="3">
        <v>136023</v>
      </c>
      <c r="E3373" s="3" t="s">
        <v>23</v>
      </c>
    </row>
    <row r="3374" spans="1:5">
      <c r="A3374" s="3" t="s">
        <v>3396</v>
      </c>
      <c r="B3374" s="3" t="s">
        <v>22</v>
      </c>
      <c r="C3374" s="3">
        <v>658475</v>
      </c>
      <c r="D3374" s="3">
        <v>74770</v>
      </c>
      <c r="E3374" s="3" t="s">
        <v>23</v>
      </c>
    </row>
    <row r="3375" spans="1:5">
      <c r="A3375" s="3" t="s">
        <v>3397</v>
      </c>
      <c r="B3375" s="3" t="s">
        <v>22</v>
      </c>
      <c r="C3375" s="3">
        <v>651834</v>
      </c>
      <c r="D3375" s="3">
        <v>122176</v>
      </c>
      <c r="E3375" s="3" t="s">
        <v>23</v>
      </c>
    </row>
    <row r="3376" spans="1:5">
      <c r="A3376" s="3" t="s">
        <v>3398</v>
      </c>
      <c r="B3376" s="3" t="s">
        <v>22</v>
      </c>
      <c r="C3376" s="3">
        <v>538844</v>
      </c>
      <c r="D3376" s="3">
        <v>194331</v>
      </c>
      <c r="E3376" s="3" t="s">
        <v>23</v>
      </c>
    </row>
    <row r="3377" spans="1:5">
      <c r="A3377" s="3" t="s">
        <v>3399</v>
      </c>
      <c r="B3377" s="3" t="s">
        <v>22</v>
      </c>
      <c r="C3377" s="3">
        <v>304203</v>
      </c>
      <c r="D3377" s="3">
        <v>95325</v>
      </c>
      <c r="E3377" s="3" t="s">
        <v>23</v>
      </c>
    </row>
    <row r="3378" spans="1:5">
      <c r="A3378" s="3" t="s">
        <v>3400</v>
      </c>
      <c r="B3378" s="3" t="s">
        <v>22</v>
      </c>
      <c r="C3378" s="3">
        <v>188994</v>
      </c>
      <c r="D3378" s="3">
        <v>71080</v>
      </c>
      <c r="E3378" s="3" t="s">
        <v>23</v>
      </c>
    </row>
    <row r="3379" spans="1:5">
      <c r="A3379" s="3" t="s">
        <v>3401</v>
      </c>
      <c r="B3379" s="3" t="s">
        <v>22</v>
      </c>
      <c r="C3379" s="3">
        <v>640281</v>
      </c>
      <c r="D3379" s="3">
        <v>31623</v>
      </c>
      <c r="E3379" s="3" t="s">
        <v>23</v>
      </c>
    </row>
    <row r="3380" spans="1:5">
      <c r="A3380" s="3" t="s">
        <v>3402</v>
      </c>
      <c r="B3380" s="3" t="s">
        <v>22</v>
      </c>
      <c r="C3380" s="3">
        <v>720649</v>
      </c>
      <c r="D3380" s="3">
        <v>177981</v>
      </c>
      <c r="E3380" s="3" t="s">
        <v>23</v>
      </c>
    </row>
    <row r="3381" spans="1:5">
      <c r="A3381" s="3" t="s">
        <v>3403</v>
      </c>
      <c r="B3381" s="3" t="s">
        <v>22</v>
      </c>
      <c r="C3381" s="3">
        <v>890210</v>
      </c>
      <c r="D3381" s="3">
        <v>27048</v>
      </c>
      <c r="E3381" s="3" t="s">
        <v>23</v>
      </c>
    </row>
    <row r="3382" spans="1:5">
      <c r="A3382" s="3" t="s">
        <v>3404</v>
      </c>
      <c r="B3382" s="3" t="s">
        <v>22</v>
      </c>
      <c r="C3382" s="3">
        <v>767599</v>
      </c>
      <c r="D3382" s="3">
        <v>158700</v>
      </c>
      <c r="E3382" s="3" t="s">
        <v>23</v>
      </c>
    </row>
    <row r="3383" spans="1:5">
      <c r="A3383" s="3" t="s">
        <v>3405</v>
      </c>
      <c r="B3383" s="3" t="s">
        <v>22</v>
      </c>
      <c r="C3383" s="3">
        <v>690807</v>
      </c>
      <c r="D3383" s="3">
        <v>17483</v>
      </c>
      <c r="E3383" s="3" t="s">
        <v>23</v>
      </c>
    </row>
    <row r="3384" spans="1:5">
      <c r="A3384" s="3" t="s">
        <v>3406</v>
      </c>
      <c r="B3384" s="3" t="s">
        <v>22</v>
      </c>
      <c r="C3384" s="3">
        <v>304123</v>
      </c>
      <c r="D3384" s="3">
        <v>55095</v>
      </c>
      <c r="E3384" s="3" t="s">
        <v>23</v>
      </c>
    </row>
    <row r="3385" spans="1:5">
      <c r="A3385" s="3" t="s">
        <v>3407</v>
      </c>
      <c r="B3385" s="3" t="s">
        <v>22</v>
      </c>
      <c r="C3385" s="3">
        <v>617593</v>
      </c>
      <c r="D3385" s="3">
        <v>204692</v>
      </c>
      <c r="E3385" s="3" t="s">
        <v>23</v>
      </c>
    </row>
    <row r="3386" spans="1:5">
      <c r="A3386" s="3" t="s">
        <v>3408</v>
      </c>
      <c r="B3386" s="3" t="s">
        <v>22</v>
      </c>
      <c r="C3386" s="3">
        <v>301803</v>
      </c>
      <c r="D3386" s="3">
        <v>5343</v>
      </c>
      <c r="E3386" s="3" t="s">
        <v>23</v>
      </c>
    </row>
    <row r="3387" spans="1:5">
      <c r="A3387" s="3" t="s">
        <v>3409</v>
      </c>
      <c r="B3387" s="3" t="s">
        <v>22</v>
      </c>
      <c r="C3387" s="3">
        <v>540874</v>
      </c>
      <c r="D3387" s="3">
        <v>125616</v>
      </c>
      <c r="E3387" s="3" t="s">
        <v>23</v>
      </c>
    </row>
    <row r="3388" spans="1:5">
      <c r="A3388" s="3" t="s">
        <v>3410</v>
      </c>
      <c r="B3388" s="3" t="s">
        <v>22</v>
      </c>
      <c r="C3388" s="3">
        <v>813605</v>
      </c>
      <c r="D3388" s="3">
        <v>280389</v>
      </c>
      <c r="E3388" s="3" t="s">
        <v>23</v>
      </c>
    </row>
    <row r="3389" spans="1:5">
      <c r="A3389" s="3" t="s">
        <v>3411</v>
      </c>
      <c r="B3389" s="3" t="s">
        <v>22</v>
      </c>
      <c r="C3389" s="3">
        <v>500103</v>
      </c>
      <c r="D3389" s="3">
        <v>56772</v>
      </c>
      <c r="E3389" s="3" t="s">
        <v>23</v>
      </c>
    </row>
    <row r="3390" spans="1:5">
      <c r="A3390" s="3" t="s">
        <v>3412</v>
      </c>
      <c r="B3390" s="3" t="s">
        <v>22</v>
      </c>
      <c r="C3390" s="3">
        <v>772770</v>
      </c>
      <c r="D3390" s="3">
        <v>192838</v>
      </c>
      <c r="E3390" s="3" t="s">
        <v>23</v>
      </c>
    </row>
    <row r="3391" spans="1:5">
      <c r="A3391" s="3" t="s">
        <v>3413</v>
      </c>
      <c r="B3391" s="3" t="s">
        <v>22</v>
      </c>
      <c r="C3391" s="3">
        <v>514389</v>
      </c>
      <c r="D3391" s="3">
        <v>194251</v>
      </c>
      <c r="E3391" s="3" t="s">
        <v>23</v>
      </c>
    </row>
    <row r="3392" spans="1:5">
      <c r="A3392" s="3" t="s">
        <v>3414</v>
      </c>
      <c r="B3392" s="3" t="s">
        <v>22</v>
      </c>
      <c r="C3392" s="3">
        <v>664213</v>
      </c>
      <c r="D3392" s="3">
        <v>185442</v>
      </c>
      <c r="E3392" s="3" t="s">
        <v>23</v>
      </c>
    </row>
    <row r="3393" spans="1:5">
      <c r="A3393" s="3" t="s">
        <v>3415</v>
      </c>
      <c r="B3393" s="3" t="s">
        <v>22</v>
      </c>
      <c r="C3393" s="3">
        <v>472253</v>
      </c>
      <c r="D3393" s="3">
        <v>124862</v>
      </c>
      <c r="E3393" s="3" t="s">
        <v>23</v>
      </c>
    </row>
    <row r="3394" spans="1:5">
      <c r="A3394" s="3" t="s">
        <v>3416</v>
      </c>
      <c r="B3394" s="3" t="s">
        <v>22</v>
      </c>
      <c r="C3394" s="3">
        <v>660798</v>
      </c>
      <c r="D3394" s="3">
        <v>66613</v>
      </c>
      <c r="E3394" s="3" t="s">
        <v>23</v>
      </c>
    </row>
    <row r="3395" spans="1:5">
      <c r="A3395" s="3" t="s">
        <v>3417</v>
      </c>
      <c r="B3395" s="3" t="s">
        <v>22</v>
      </c>
      <c r="C3395" s="3">
        <v>675416</v>
      </c>
      <c r="D3395" s="3">
        <v>8368</v>
      </c>
      <c r="E3395" s="3" t="s">
        <v>23</v>
      </c>
    </row>
    <row r="3396" spans="1:5">
      <c r="A3396" s="3" t="s">
        <v>3418</v>
      </c>
      <c r="B3396" s="3" t="s">
        <v>22</v>
      </c>
      <c r="C3396" s="3">
        <v>562360</v>
      </c>
      <c r="D3396" s="3">
        <v>23698</v>
      </c>
      <c r="E3396" s="3" t="s">
        <v>23</v>
      </c>
    </row>
    <row r="3397" spans="1:5">
      <c r="A3397" s="3" t="s">
        <v>3419</v>
      </c>
      <c r="B3397" s="3" t="s">
        <v>22</v>
      </c>
      <c r="C3397" s="3">
        <v>615143</v>
      </c>
      <c r="D3397" s="3">
        <v>112512</v>
      </c>
      <c r="E3397" s="3" t="s">
        <v>23</v>
      </c>
    </row>
    <row r="3398" spans="1:5">
      <c r="A3398" s="3" t="s">
        <v>3420</v>
      </c>
      <c r="B3398" s="3" t="s">
        <v>22</v>
      </c>
      <c r="C3398" s="3">
        <v>775731</v>
      </c>
      <c r="D3398" s="3">
        <v>176174</v>
      </c>
      <c r="E3398" s="3" t="s">
        <v>23</v>
      </c>
    </row>
    <row r="3399" spans="1:5">
      <c r="A3399" s="3" t="s">
        <v>3421</v>
      </c>
      <c r="B3399" s="3" t="s">
        <v>22</v>
      </c>
      <c r="C3399" s="3">
        <v>473302</v>
      </c>
      <c r="D3399" s="3">
        <v>121898</v>
      </c>
      <c r="E3399" s="3" t="s">
        <v>23</v>
      </c>
    </row>
    <row r="3400" spans="1:5">
      <c r="A3400" s="3" t="s">
        <v>3422</v>
      </c>
      <c r="B3400" s="3" t="s">
        <v>22</v>
      </c>
      <c r="C3400" s="3">
        <v>535125</v>
      </c>
      <c r="D3400" s="3">
        <v>179374</v>
      </c>
      <c r="E3400" s="3" t="s">
        <v>23</v>
      </c>
    </row>
    <row r="3401" spans="1:5">
      <c r="A3401" s="3" t="s">
        <v>3423</v>
      </c>
      <c r="B3401" s="3" t="s">
        <v>22</v>
      </c>
      <c r="C3401" s="3">
        <v>549795</v>
      </c>
      <c r="D3401" s="3">
        <v>40701</v>
      </c>
      <c r="E3401" s="3" t="s">
        <v>23</v>
      </c>
    </row>
    <row r="3402" spans="1:5">
      <c r="A3402" s="3" t="s">
        <v>3424</v>
      </c>
      <c r="B3402" s="3" t="s">
        <v>22</v>
      </c>
      <c r="C3402" s="3">
        <v>303368</v>
      </c>
      <c r="D3402" s="3">
        <v>10589</v>
      </c>
      <c r="E3402" s="3" t="s">
        <v>23</v>
      </c>
    </row>
    <row r="3403" spans="1:5">
      <c r="A3403" s="3" t="s">
        <v>3425</v>
      </c>
      <c r="B3403" s="3" t="s">
        <v>22</v>
      </c>
      <c r="C3403" s="3">
        <v>379110</v>
      </c>
      <c r="D3403" s="3">
        <v>42407</v>
      </c>
      <c r="E3403" s="3" t="s">
        <v>23</v>
      </c>
    </row>
    <row r="3404" spans="1:5">
      <c r="A3404" s="3" t="s">
        <v>3426</v>
      </c>
      <c r="B3404" s="3" t="s">
        <v>22</v>
      </c>
      <c r="C3404" s="3">
        <v>460525</v>
      </c>
      <c r="D3404" s="3">
        <v>16896</v>
      </c>
      <c r="E3404" s="3" t="s">
        <v>23</v>
      </c>
    </row>
    <row r="3405" spans="1:5">
      <c r="A3405" s="3" t="s">
        <v>3427</v>
      </c>
      <c r="B3405" s="3" t="s">
        <v>22</v>
      </c>
      <c r="C3405" s="3">
        <v>669675</v>
      </c>
      <c r="D3405" s="3">
        <v>198834</v>
      </c>
      <c r="E3405" s="3" t="s">
        <v>23</v>
      </c>
    </row>
    <row r="3406" spans="1:5">
      <c r="A3406" s="3" t="s">
        <v>3428</v>
      </c>
      <c r="B3406" s="3" t="s">
        <v>22</v>
      </c>
      <c r="C3406" s="3">
        <v>544845</v>
      </c>
      <c r="D3406" s="3">
        <v>148794</v>
      </c>
      <c r="E3406" s="3" t="s">
        <v>23</v>
      </c>
    </row>
    <row r="3407" spans="1:5">
      <c r="A3407" s="3" t="s">
        <v>3429</v>
      </c>
      <c r="B3407" s="3" t="s">
        <v>22</v>
      </c>
      <c r="C3407" s="3">
        <v>528461</v>
      </c>
      <c r="D3407" s="3">
        <v>3919</v>
      </c>
      <c r="E3407" s="3" t="s">
        <v>23</v>
      </c>
    </row>
    <row r="3408" spans="1:5">
      <c r="A3408" s="3" t="s">
        <v>3430</v>
      </c>
      <c r="B3408" s="3" t="s">
        <v>22</v>
      </c>
      <c r="C3408" s="3">
        <v>373271</v>
      </c>
      <c r="D3408" s="3">
        <v>4547</v>
      </c>
      <c r="E3408" s="3" t="s">
        <v>23</v>
      </c>
    </row>
    <row r="3409" spans="1:5">
      <c r="A3409" s="3" t="s">
        <v>3431</v>
      </c>
      <c r="B3409" s="3" t="s">
        <v>22</v>
      </c>
      <c r="C3409" s="3">
        <v>544727</v>
      </c>
      <c r="D3409" s="3">
        <v>239966</v>
      </c>
      <c r="E3409" s="3" t="s">
        <v>23</v>
      </c>
    </row>
    <row r="3410" spans="1:5">
      <c r="A3410" s="3" t="s">
        <v>3432</v>
      </c>
      <c r="B3410" s="3" t="s">
        <v>22</v>
      </c>
      <c r="C3410" s="3">
        <v>667035</v>
      </c>
      <c r="D3410" s="3">
        <v>24635</v>
      </c>
      <c r="E3410" s="3" t="s">
        <v>23</v>
      </c>
    </row>
    <row r="3411" spans="1:5">
      <c r="A3411" s="3" t="s">
        <v>3433</v>
      </c>
      <c r="B3411" s="3" t="s">
        <v>22</v>
      </c>
      <c r="C3411" s="3">
        <v>579502</v>
      </c>
      <c r="D3411" s="3">
        <v>171872</v>
      </c>
      <c r="E3411" s="3" t="s">
        <v>23</v>
      </c>
    </row>
    <row r="3412" spans="1:5">
      <c r="A3412" s="3" t="s">
        <v>3434</v>
      </c>
      <c r="B3412" s="3" t="s">
        <v>22</v>
      </c>
      <c r="C3412" s="3">
        <v>750475</v>
      </c>
      <c r="D3412" s="3">
        <v>137618</v>
      </c>
      <c r="E3412" s="3" t="s">
        <v>23</v>
      </c>
    </row>
    <row r="3413" spans="1:5">
      <c r="A3413" s="3" t="s">
        <v>3435</v>
      </c>
      <c r="B3413" s="3" t="s">
        <v>22</v>
      </c>
      <c r="C3413" s="3">
        <v>438672</v>
      </c>
      <c r="D3413" s="3">
        <v>32715</v>
      </c>
      <c r="E3413" s="3" t="s">
        <v>23</v>
      </c>
    </row>
    <row r="3414" spans="1:5">
      <c r="A3414" s="3" t="s">
        <v>3436</v>
      </c>
      <c r="B3414" s="3" t="s">
        <v>22</v>
      </c>
      <c r="C3414" s="3">
        <v>587264</v>
      </c>
      <c r="D3414" s="3">
        <v>21217</v>
      </c>
      <c r="E3414" s="3" t="s">
        <v>23</v>
      </c>
    </row>
    <row r="3415" spans="1:5">
      <c r="A3415" s="3" t="s">
        <v>3437</v>
      </c>
      <c r="B3415" s="3" t="s">
        <v>22</v>
      </c>
      <c r="C3415" s="3">
        <v>363972</v>
      </c>
      <c r="D3415" s="3">
        <v>54598</v>
      </c>
      <c r="E3415" s="3" t="s">
        <v>23</v>
      </c>
    </row>
    <row r="3416" spans="1:5">
      <c r="A3416" s="3" t="s">
        <v>3438</v>
      </c>
      <c r="B3416" s="3" t="s">
        <v>22</v>
      </c>
      <c r="C3416" s="3">
        <v>616396</v>
      </c>
      <c r="D3416" s="3">
        <v>183736</v>
      </c>
      <c r="E3416" s="3" t="s">
        <v>23</v>
      </c>
    </row>
    <row r="3417" spans="1:5">
      <c r="A3417" s="3" t="s">
        <v>3439</v>
      </c>
      <c r="B3417" s="3" t="s">
        <v>22</v>
      </c>
      <c r="C3417" s="3">
        <v>588336</v>
      </c>
      <c r="D3417" s="3">
        <v>64190</v>
      </c>
      <c r="E3417" s="3" t="s">
        <v>23</v>
      </c>
    </row>
    <row r="3418" spans="1:5">
      <c r="A3418" s="3" t="s">
        <v>3440</v>
      </c>
      <c r="B3418" s="3" t="s">
        <v>22</v>
      </c>
      <c r="C3418" s="3">
        <v>505020</v>
      </c>
      <c r="D3418" s="3">
        <v>157548</v>
      </c>
      <c r="E3418" s="3" t="s">
        <v>23</v>
      </c>
    </row>
    <row r="3419" spans="1:5">
      <c r="A3419" s="3" t="s">
        <v>3441</v>
      </c>
      <c r="B3419" s="3" t="s">
        <v>22</v>
      </c>
      <c r="C3419" s="3">
        <v>776929</v>
      </c>
      <c r="D3419" s="3">
        <v>240685</v>
      </c>
      <c r="E3419" s="3" t="s">
        <v>23</v>
      </c>
    </row>
    <row r="3420" spans="1:5">
      <c r="A3420" s="3" t="s">
        <v>3442</v>
      </c>
      <c r="B3420" s="3" t="s">
        <v>22</v>
      </c>
      <c r="C3420" s="3">
        <v>727431</v>
      </c>
      <c r="D3420" s="3">
        <v>171652</v>
      </c>
      <c r="E3420" s="3" t="s">
        <v>23</v>
      </c>
    </row>
    <row r="3421" spans="1:5">
      <c r="A3421" s="3" t="s">
        <v>3443</v>
      </c>
      <c r="B3421" s="3" t="s">
        <v>22</v>
      </c>
      <c r="C3421" s="3">
        <v>644436</v>
      </c>
      <c r="D3421" s="3">
        <v>26484</v>
      </c>
      <c r="E3421" s="3" t="s">
        <v>23</v>
      </c>
    </row>
    <row r="3422" spans="1:5">
      <c r="A3422" s="3" t="s">
        <v>3444</v>
      </c>
      <c r="B3422" s="3" t="s">
        <v>22</v>
      </c>
      <c r="C3422" s="3">
        <v>422650</v>
      </c>
      <c r="D3422" s="3">
        <v>87103</v>
      </c>
      <c r="E3422" s="3" t="s">
        <v>23</v>
      </c>
    </row>
    <row r="3423" spans="1:5">
      <c r="A3423" s="3" t="s">
        <v>3445</v>
      </c>
      <c r="B3423" s="3" t="s">
        <v>22</v>
      </c>
      <c r="C3423" s="3">
        <v>422741</v>
      </c>
      <c r="D3423" s="3">
        <v>53048</v>
      </c>
      <c r="E3423" s="3" t="s">
        <v>23</v>
      </c>
    </row>
    <row r="3424" spans="1:5">
      <c r="A3424" s="3" t="s">
        <v>3446</v>
      </c>
      <c r="B3424" s="3" t="s">
        <v>22</v>
      </c>
      <c r="C3424" s="3">
        <v>168639</v>
      </c>
      <c r="D3424" s="3">
        <v>55045</v>
      </c>
      <c r="E3424" s="3" t="s">
        <v>23</v>
      </c>
    </row>
    <row r="3425" spans="1:5">
      <c r="A3425" s="3" t="s">
        <v>3447</v>
      </c>
      <c r="B3425" s="3" t="s">
        <v>22</v>
      </c>
      <c r="C3425" s="3">
        <v>730795</v>
      </c>
      <c r="D3425" s="3">
        <v>279496</v>
      </c>
      <c r="E3425" s="3" t="s">
        <v>23</v>
      </c>
    </row>
    <row r="3426" spans="1:5">
      <c r="A3426" s="3" t="s">
        <v>3448</v>
      </c>
      <c r="B3426" s="3" t="s">
        <v>22</v>
      </c>
      <c r="C3426" s="3">
        <v>631308</v>
      </c>
      <c r="D3426" s="3">
        <v>57674</v>
      </c>
      <c r="E3426" s="3" t="s">
        <v>23</v>
      </c>
    </row>
    <row r="3427" spans="1:5">
      <c r="A3427" s="3" t="s">
        <v>3449</v>
      </c>
      <c r="B3427" s="3" t="s">
        <v>22</v>
      </c>
      <c r="C3427" s="3">
        <v>494302</v>
      </c>
      <c r="D3427" s="3">
        <v>26934</v>
      </c>
      <c r="E3427" s="3" t="s">
        <v>23</v>
      </c>
    </row>
    <row r="3428" spans="1:5">
      <c r="A3428" s="3" t="s">
        <v>3450</v>
      </c>
      <c r="B3428" s="3" t="s">
        <v>22</v>
      </c>
      <c r="C3428" s="3">
        <v>603880</v>
      </c>
      <c r="D3428" s="3">
        <v>110445</v>
      </c>
      <c r="E3428" s="3" t="s">
        <v>23</v>
      </c>
    </row>
    <row r="3429" spans="1:5">
      <c r="A3429" s="3" t="s">
        <v>3451</v>
      </c>
      <c r="B3429" s="3" t="s">
        <v>22</v>
      </c>
      <c r="C3429" s="3">
        <v>741616</v>
      </c>
      <c r="D3429" s="3">
        <v>172614</v>
      </c>
      <c r="E3429" s="3" t="s">
        <v>23</v>
      </c>
    </row>
    <row r="3430" spans="1:5">
      <c r="A3430" s="3" t="s">
        <v>3452</v>
      </c>
      <c r="B3430" s="3" t="s">
        <v>22</v>
      </c>
      <c r="C3430" s="3">
        <v>480523</v>
      </c>
      <c r="D3430" s="3">
        <v>110023</v>
      </c>
      <c r="E3430" s="3" t="s">
        <v>23</v>
      </c>
    </row>
    <row r="3431" spans="1:5">
      <c r="A3431" s="3" t="s">
        <v>3453</v>
      </c>
      <c r="B3431" s="3" t="s">
        <v>22</v>
      </c>
      <c r="C3431" s="3">
        <v>659552</v>
      </c>
      <c r="D3431" s="3">
        <v>239242</v>
      </c>
      <c r="E3431" s="3" t="s">
        <v>23</v>
      </c>
    </row>
    <row r="3432" spans="1:5">
      <c r="A3432" s="3" t="s">
        <v>3454</v>
      </c>
      <c r="B3432" s="3" t="s">
        <v>22</v>
      </c>
      <c r="C3432" s="3">
        <v>447958</v>
      </c>
      <c r="D3432" s="3">
        <v>106734</v>
      </c>
      <c r="E3432" s="3" t="s">
        <v>23</v>
      </c>
    </row>
    <row r="3433" spans="1:5">
      <c r="A3433" s="3" t="s">
        <v>3455</v>
      </c>
      <c r="B3433" s="3" t="s">
        <v>22</v>
      </c>
      <c r="C3433" s="3">
        <v>641816</v>
      </c>
      <c r="D3433" s="3">
        <v>136092</v>
      </c>
      <c r="E3433" s="3" t="s">
        <v>23</v>
      </c>
    </row>
    <row r="3434" spans="1:5">
      <c r="A3434" s="3" t="s">
        <v>3456</v>
      </c>
      <c r="B3434" s="3" t="s">
        <v>22</v>
      </c>
      <c r="C3434" s="3">
        <v>357596</v>
      </c>
      <c r="D3434" s="3">
        <v>32363</v>
      </c>
      <c r="E3434" s="3" t="s">
        <v>23</v>
      </c>
    </row>
    <row r="3435" spans="1:5">
      <c r="A3435" s="3" t="s">
        <v>3457</v>
      </c>
      <c r="B3435" s="3" t="s">
        <v>22</v>
      </c>
      <c r="C3435" s="3">
        <v>559932</v>
      </c>
      <c r="D3435" s="3">
        <v>23507</v>
      </c>
      <c r="E3435" s="3" t="s">
        <v>23</v>
      </c>
    </row>
    <row r="3436" spans="1:5">
      <c r="A3436" s="3" t="s">
        <v>3458</v>
      </c>
      <c r="B3436" s="3" t="s">
        <v>22</v>
      </c>
      <c r="C3436" s="3">
        <v>428136</v>
      </c>
      <c r="D3436" s="3">
        <v>136044</v>
      </c>
      <c r="E3436" s="3" t="s">
        <v>23</v>
      </c>
    </row>
    <row r="3437" spans="1:5">
      <c r="A3437" s="3" t="s">
        <v>3459</v>
      </c>
      <c r="B3437" s="3" t="s">
        <v>22</v>
      </c>
      <c r="C3437" s="3">
        <v>509915</v>
      </c>
      <c r="D3437" s="3">
        <v>94565</v>
      </c>
      <c r="E3437" s="3" t="s">
        <v>23</v>
      </c>
    </row>
    <row r="3438" spans="1:5">
      <c r="A3438" s="3" t="s">
        <v>3460</v>
      </c>
      <c r="B3438" s="3" t="s">
        <v>22</v>
      </c>
      <c r="C3438" s="3">
        <v>502920</v>
      </c>
      <c r="D3438" s="3">
        <v>49961</v>
      </c>
      <c r="E3438" s="3" t="s">
        <v>23</v>
      </c>
    </row>
    <row r="3439" spans="1:5">
      <c r="A3439" s="3" t="s">
        <v>3461</v>
      </c>
      <c r="B3439" s="3" t="s">
        <v>22</v>
      </c>
      <c r="C3439" s="3">
        <v>413214</v>
      </c>
      <c r="D3439" s="3">
        <v>12160</v>
      </c>
      <c r="E3439" s="3" t="s">
        <v>23</v>
      </c>
    </row>
    <row r="3440" spans="1:5">
      <c r="A3440" s="3" t="s">
        <v>3462</v>
      </c>
      <c r="B3440" s="3" t="s">
        <v>22</v>
      </c>
      <c r="C3440" s="3">
        <v>451015</v>
      </c>
      <c r="D3440" s="3">
        <v>183904</v>
      </c>
      <c r="E3440" s="3" t="s">
        <v>23</v>
      </c>
    </row>
    <row r="3441" spans="1:5">
      <c r="A3441" s="3" t="s">
        <v>3463</v>
      </c>
      <c r="B3441" s="3" t="s">
        <v>22</v>
      </c>
      <c r="C3441" s="3">
        <v>518078</v>
      </c>
      <c r="D3441" s="3">
        <v>12550</v>
      </c>
      <c r="E3441" s="3" t="s">
        <v>23</v>
      </c>
    </row>
    <row r="3442" spans="1:5">
      <c r="A3442" s="3" t="s">
        <v>3464</v>
      </c>
      <c r="B3442" s="3" t="s">
        <v>22</v>
      </c>
      <c r="C3442" s="3">
        <v>494854</v>
      </c>
      <c r="D3442" s="3">
        <v>80000</v>
      </c>
      <c r="E3442" s="3" t="s">
        <v>23</v>
      </c>
    </row>
    <row r="3443" spans="1:5">
      <c r="A3443" s="3" t="s">
        <v>3465</v>
      </c>
      <c r="B3443" s="3" t="s">
        <v>22</v>
      </c>
      <c r="C3443" s="3">
        <v>684279</v>
      </c>
      <c r="D3443" s="3">
        <v>193405</v>
      </c>
      <c r="E3443" s="3" t="s">
        <v>23</v>
      </c>
    </row>
    <row r="3444" spans="1:5">
      <c r="A3444" s="3" t="s">
        <v>3466</v>
      </c>
      <c r="B3444" s="3" t="s">
        <v>22</v>
      </c>
      <c r="C3444" s="3">
        <v>453353</v>
      </c>
      <c r="D3444" s="3">
        <v>164035</v>
      </c>
      <c r="E3444" s="3" t="s">
        <v>23</v>
      </c>
    </row>
    <row r="3445" spans="1:5">
      <c r="A3445" s="3" t="s">
        <v>3467</v>
      </c>
      <c r="B3445" s="3" t="s">
        <v>22</v>
      </c>
      <c r="C3445" s="3">
        <v>770130</v>
      </c>
      <c r="D3445" s="3">
        <v>103449</v>
      </c>
      <c r="E3445" s="3" t="s">
        <v>23</v>
      </c>
    </row>
    <row r="3446" spans="1:5">
      <c r="A3446" s="3" t="s">
        <v>3468</v>
      </c>
      <c r="B3446" s="3" t="s">
        <v>22</v>
      </c>
      <c r="C3446" s="3">
        <v>340589</v>
      </c>
      <c r="D3446" s="3">
        <v>3305</v>
      </c>
      <c r="E3446" s="3" t="s">
        <v>23</v>
      </c>
    </row>
    <row r="3447" spans="1:5">
      <c r="A3447" s="3" t="s">
        <v>3469</v>
      </c>
      <c r="B3447" s="3" t="s">
        <v>22</v>
      </c>
      <c r="C3447" s="3">
        <v>450583</v>
      </c>
      <c r="D3447" s="3">
        <v>150535</v>
      </c>
      <c r="E3447" s="3" t="s">
        <v>23</v>
      </c>
    </row>
    <row r="3448" spans="1:5">
      <c r="A3448" s="3" t="s">
        <v>3470</v>
      </c>
      <c r="B3448" s="3" t="s">
        <v>22</v>
      </c>
      <c r="C3448" s="3">
        <v>466021</v>
      </c>
      <c r="D3448" s="3">
        <v>190705</v>
      </c>
      <c r="E3448" s="3" t="s">
        <v>23</v>
      </c>
    </row>
    <row r="3449" spans="1:5">
      <c r="A3449" s="3" t="s">
        <v>3471</v>
      </c>
      <c r="B3449" s="3" t="s">
        <v>22</v>
      </c>
      <c r="C3449" s="3">
        <v>427336</v>
      </c>
      <c r="D3449" s="3">
        <v>5974</v>
      </c>
      <c r="E3449" s="3" t="s">
        <v>23</v>
      </c>
    </row>
    <row r="3450" spans="1:5">
      <c r="A3450" s="3" t="s">
        <v>3472</v>
      </c>
      <c r="B3450" s="3" t="s">
        <v>22</v>
      </c>
      <c r="C3450" s="3">
        <v>438681</v>
      </c>
      <c r="D3450" s="3">
        <v>2521</v>
      </c>
      <c r="E3450" s="3" t="s">
        <v>23</v>
      </c>
    </row>
    <row r="3451" spans="1:5">
      <c r="A3451" s="3" t="s">
        <v>3473</v>
      </c>
      <c r="B3451" s="3" t="s">
        <v>22</v>
      </c>
      <c r="C3451" s="3">
        <v>647649</v>
      </c>
      <c r="D3451" s="3">
        <v>254111</v>
      </c>
      <c r="E3451" s="3" t="s">
        <v>23</v>
      </c>
    </row>
    <row r="3452" spans="1:5">
      <c r="A3452" s="3" t="s">
        <v>3474</v>
      </c>
      <c r="B3452" s="3" t="s">
        <v>22</v>
      </c>
      <c r="C3452" s="3">
        <v>699760</v>
      </c>
      <c r="D3452" s="3">
        <v>120838</v>
      </c>
      <c r="E3452" s="3" t="s">
        <v>23</v>
      </c>
    </row>
    <row r="3453" spans="1:5">
      <c r="A3453" s="3" t="s">
        <v>3475</v>
      </c>
      <c r="B3453" s="3" t="s">
        <v>22</v>
      </c>
      <c r="C3453" s="3">
        <v>20455</v>
      </c>
      <c r="D3453" s="3">
        <v>6004</v>
      </c>
      <c r="E3453" s="3" t="s">
        <v>23</v>
      </c>
    </row>
    <row r="3454" spans="1:5">
      <c r="A3454" s="3" t="s">
        <v>3476</v>
      </c>
      <c r="B3454" s="3" t="s">
        <v>22</v>
      </c>
      <c r="C3454" s="3">
        <v>399622</v>
      </c>
      <c r="D3454" s="3">
        <v>67389</v>
      </c>
      <c r="E3454" s="3" t="s">
        <v>23</v>
      </c>
    </row>
    <row r="3455" spans="1:5">
      <c r="A3455" s="3" t="s">
        <v>3477</v>
      </c>
      <c r="B3455" s="3" t="s">
        <v>22</v>
      </c>
      <c r="C3455" s="3">
        <v>424230</v>
      </c>
      <c r="D3455" s="3">
        <v>180206</v>
      </c>
      <c r="E3455" s="3" t="s">
        <v>23</v>
      </c>
    </row>
    <row r="3456" spans="1:5">
      <c r="A3456" s="3" t="s">
        <v>3478</v>
      </c>
      <c r="B3456" s="3" t="s">
        <v>22</v>
      </c>
      <c r="C3456" s="3">
        <v>407971</v>
      </c>
      <c r="D3456" s="3">
        <v>3111</v>
      </c>
      <c r="E3456" s="3" t="s">
        <v>23</v>
      </c>
    </row>
    <row r="3457" spans="1:5">
      <c r="A3457" s="3" t="s">
        <v>3479</v>
      </c>
      <c r="B3457" s="3" t="s">
        <v>22</v>
      </c>
      <c r="C3457" s="3">
        <v>703435</v>
      </c>
      <c r="D3457" s="3">
        <v>27530</v>
      </c>
      <c r="E3457" s="3" t="s">
        <v>23</v>
      </c>
    </row>
    <row r="3458" spans="1:5">
      <c r="A3458" s="3" t="s">
        <v>3480</v>
      </c>
      <c r="B3458" s="3" t="s">
        <v>22</v>
      </c>
      <c r="C3458" s="3">
        <v>489167</v>
      </c>
      <c r="D3458" s="3">
        <v>180628</v>
      </c>
      <c r="E3458" s="3" t="s">
        <v>23</v>
      </c>
    </row>
    <row r="3459" spans="1:5">
      <c r="A3459" s="3" t="s">
        <v>3481</v>
      </c>
      <c r="B3459" s="3" t="s">
        <v>22</v>
      </c>
      <c r="C3459" s="3">
        <v>4245</v>
      </c>
      <c r="D3459" s="3">
        <v>1661</v>
      </c>
      <c r="E3459" s="3" t="s">
        <v>23</v>
      </c>
    </row>
    <row r="3460" spans="1:5">
      <c r="A3460" s="3" t="s">
        <v>3482</v>
      </c>
      <c r="B3460" s="3" t="s">
        <v>22</v>
      </c>
      <c r="C3460" s="3">
        <v>209043</v>
      </c>
      <c r="D3460" s="3">
        <v>56268</v>
      </c>
      <c r="E3460" s="3" t="s">
        <v>23</v>
      </c>
    </row>
    <row r="3461" spans="1:5">
      <c r="A3461" s="3" t="s">
        <v>3483</v>
      </c>
      <c r="B3461" s="3" t="s">
        <v>22</v>
      </c>
      <c r="C3461" s="3">
        <v>723089</v>
      </c>
      <c r="D3461" s="3">
        <v>1192</v>
      </c>
      <c r="E3461" s="3" t="s">
        <v>23</v>
      </c>
    </row>
    <row r="3462" spans="1:5">
      <c r="A3462" s="3" t="s">
        <v>3484</v>
      </c>
      <c r="B3462" s="3" t="s">
        <v>22</v>
      </c>
      <c r="C3462" s="3">
        <v>525720</v>
      </c>
      <c r="D3462" s="3">
        <v>221196</v>
      </c>
      <c r="E3462" s="3" t="s">
        <v>23</v>
      </c>
    </row>
    <row r="3463" spans="1:5">
      <c r="A3463" s="3" t="s">
        <v>3485</v>
      </c>
      <c r="B3463" s="3" t="s">
        <v>22</v>
      </c>
      <c r="C3463" s="3">
        <v>777951</v>
      </c>
      <c r="D3463" s="3">
        <v>292698</v>
      </c>
      <c r="E3463" s="3" t="s">
        <v>23</v>
      </c>
    </row>
    <row r="3464" spans="1:5">
      <c r="A3464" s="3" t="s">
        <v>3486</v>
      </c>
      <c r="B3464" s="3" t="s">
        <v>22</v>
      </c>
      <c r="C3464" s="3">
        <v>433599</v>
      </c>
      <c r="D3464" s="3">
        <v>153108</v>
      </c>
      <c r="E3464" s="3" t="s">
        <v>23</v>
      </c>
    </row>
    <row r="3465" spans="1:5">
      <c r="A3465" s="3" t="s">
        <v>3487</v>
      </c>
      <c r="B3465" s="3" t="s">
        <v>22</v>
      </c>
      <c r="C3465" s="3">
        <v>416731</v>
      </c>
      <c r="D3465" s="3">
        <v>2465</v>
      </c>
      <c r="E3465" s="3" t="s">
        <v>23</v>
      </c>
    </row>
    <row r="3466" spans="1:5">
      <c r="A3466" s="3" t="s">
        <v>3488</v>
      </c>
      <c r="B3466" s="3" t="s">
        <v>22</v>
      </c>
      <c r="C3466" s="3">
        <v>831638</v>
      </c>
      <c r="D3466" s="3">
        <v>326830</v>
      </c>
      <c r="E3466" s="3" t="s">
        <v>23</v>
      </c>
    </row>
    <row r="3467" spans="1:5">
      <c r="A3467" s="3" t="s">
        <v>3489</v>
      </c>
      <c r="B3467" s="3" t="s">
        <v>22</v>
      </c>
      <c r="C3467" s="3">
        <v>614259</v>
      </c>
      <c r="D3467" s="3">
        <v>106120</v>
      </c>
      <c r="E3467" s="3" t="s">
        <v>23</v>
      </c>
    </row>
    <row r="3468" spans="1:5">
      <c r="A3468" s="3" t="s">
        <v>3490</v>
      </c>
      <c r="B3468" s="3" t="s">
        <v>22</v>
      </c>
      <c r="C3468" s="3">
        <v>735390</v>
      </c>
      <c r="D3468" s="3">
        <v>178175</v>
      </c>
      <c r="E3468" s="3" t="s">
        <v>23</v>
      </c>
    </row>
    <row r="3469" spans="1:5">
      <c r="A3469" s="3" t="s">
        <v>3491</v>
      </c>
      <c r="B3469" s="3" t="s">
        <v>22</v>
      </c>
      <c r="C3469" s="3">
        <v>508412</v>
      </c>
      <c r="D3469" s="3">
        <v>184734</v>
      </c>
      <c r="E3469" s="3" t="s">
        <v>23</v>
      </c>
    </row>
    <row r="3470" spans="1:5">
      <c r="A3470" s="3" t="s">
        <v>3492</v>
      </c>
      <c r="B3470" s="3" t="s">
        <v>22</v>
      </c>
      <c r="C3470" s="3">
        <v>463046</v>
      </c>
      <c r="D3470" s="3">
        <v>190271</v>
      </c>
      <c r="E3470" s="3" t="s">
        <v>23</v>
      </c>
    </row>
    <row r="3471" spans="1:5">
      <c r="A3471" s="3" t="s">
        <v>3493</v>
      </c>
      <c r="B3471" s="3" t="s">
        <v>22</v>
      </c>
      <c r="C3471" s="3">
        <v>6068</v>
      </c>
      <c r="D3471" s="3">
        <v>956</v>
      </c>
      <c r="E3471" s="3" t="s">
        <v>23</v>
      </c>
    </row>
    <row r="3472" spans="1:5">
      <c r="A3472" s="3" t="s">
        <v>3494</v>
      </c>
      <c r="B3472" s="3" t="s">
        <v>22</v>
      </c>
      <c r="C3472" s="3">
        <v>706587</v>
      </c>
      <c r="D3472" s="3">
        <v>43250</v>
      </c>
      <c r="E3472" s="3" t="s">
        <v>23</v>
      </c>
    </row>
    <row r="3473" spans="1:5">
      <c r="A3473" s="3" t="s">
        <v>3495</v>
      </c>
      <c r="B3473" s="3" t="s">
        <v>22</v>
      </c>
      <c r="C3473" s="3">
        <v>918965</v>
      </c>
      <c r="D3473" s="3">
        <v>146043</v>
      </c>
      <c r="E3473" s="3" t="s">
        <v>23</v>
      </c>
    </row>
    <row r="3474" spans="1:5">
      <c r="A3474" s="3" t="s">
        <v>3496</v>
      </c>
      <c r="B3474" s="3" t="s">
        <v>22</v>
      </c>
      <c r="C3474" s="3">
        <v>967013</v>
      </c>
      <c r="D3474" s="3">
        <v>389563</v>
      </c>
      <c r="E3474" s="3" t="s">
        <v>23</v>
      </c>
    </row>
    <row r="3475" spans="1:5">
      <c r="A3475" s="3" t="s">
        <v>3497</v>
      </c>
      <c r="B3475" s="3" t="s">
        <v>22</v>
      </c>
      <c r="C3475" s="3">
        <v>1002714</v>
      </c>
      <c r="D3475" s="3">
        <v>110838</v>
      </c>
      <c r="E3475" s="3" t="s">
        <v>23</v>
      </c>
    </row>
    <row r="3476" spans="1:5">
      <c r="A3476" s="3" t="s">
        <v>3498</v>
      </c>
      <c r="B3476" s="3" t="s">
        <v>22</v>
      </c>
      <c r="C3476" s="3">
        <v>614813</v>
      </c>
      <c r="D3476" s="3">
        <v>30105</v>
      </c>
      <c r="E3476" s="3" t="s">
        <v>23</v>
      </c>
    </row>
    <row r="3477" spans="1:5">
      <c r="A3477" s="3" t="s">
        <v>3499</v>
      </c>
      <c r="B3477" s="3" t="s">
        <v>22</v>
      </c>
      <c r="C3477" s="3">
        <v>472363</v>
      </c>
      <c r="D3477" s="3">
        <v>2586</v>
      </c>
      <c r="E3477" s="3" t="s">
        <v>23</v>
      </c>
    </row>
    <row r="3478" spans="1:5">
      <c r="A3478" s="3" t="s">
        <v>3500</v>
      </c>
      <c r="B3478" s="3" t="s">
        <v>22</v>
      </c>
      <c r="C3478" s="3">
        <v>715748</v>
      </c>
      <c r="D3478" s="3">
        <v>181150</v>
      </c>
      <c r="E3478" s="3" t="s">
        <v>23</v>
      </c>
    </row>
    <row r="3479" spans="1:5">
      <c r="A3479" s="3" t="s">
        <v>3501</v>
      </c>
      <c r="B3479" s="3" t="s">
        <v>22</v>
      </c>
      <c r="C3479" s="3">
        <v>1053782</v>
      </c>
      <c r="D3479" s="3">
        <v>384077</v>
      </c>
      <c r="E3479" s="3" t="s">
        <v>23</v>
      </c>
    </row>
    <row r="3480" spans="1:5">
      <c r="A3480" s="3" t="s">
        <v>3502</v>
      </c>
      <c r="B3480" s="3" t="s">
        <v>22</v>
      </c>
      <c r="C3480" s="3">
        <v>714930</v>
      </c>
      <c r="D3480" s="3">
        <v>308959</v>
      </c>
      <c r="E3480" s="3" t="s">
        <v>23</v>
      </c>
    </row>
    <row r="3481" spans="1:5">
      <c r="A3481" s="3" t="s">
        <v>3503</v>
      </c>
      <c r="B3481" s="3" t="s">
        <v>22</v>
      </c>
      <c r="C3481" s="3">
        <v>14557</v>
      </c>
      <c r="D3481" s="3">
        <v>254</v>
      </c>
      <c r="E3481" s="3" t="s">
        <v>23</v>
      </c>
    </row>
    <row r="3482" spans="1:5">
      <c r="A3482" s="3" t="s">
        <v>3504</v>
      </c>
      <c r="B3482" s="3" t="s">
        <v>22</v>
      </c>
      <c r="C3482" s="3">
        <v>659311</v>
      </c>
      <c r="D3482" s="3">
        <v>135581</v>
      </c>
      <c r="E3482" s="3" t="s">
        <v>23</v>
      </c>
    </row>
    <row r="3483" spans="1:5">
      <c r="A3483" s="3" t="s">
        <v>3505</v>
      </c>
      <c r="B3483" s="3" t="s">
        <v>22</v>
      </c>
      <c r="C3483" s="3">
        <v>455220</v>
      </c>
      <c r="D3483" s="3">
        <v>112605</v>
      </c>
      <c r="E3483" s="3" t="s">
        <v>23</v>
      </c>
    </row>
    <row r="3484" spans="1:5">
      <c r="A3484" s="3" t="s">
        <v>3506</v>
      </c>
      <c r="B3484" s="3" t="s">
        <v>22</v>
      </c>
      <c r="C3484" s="3">
        <v>767381</v>
      </c>
      <c r="D3484" s="3">
        <v>142148</v>
      </c>
      <c r="E3484" s="3" t="s">
        <v>23</v>
      </c>
    </row>
    <row r="3485" spans="1:5">
      <c r="A3485" s="3" t="s">
        <v>3507</v>
      </c>
      <c r="B3485" s="3" t="s">
        <v>22</v>
      </c>
      <c r="C3485" s="3">
        <v>837944</v>
      </c>
      <c r="D3485" s="3">
        <v>78363</v>
      </c>
      <c r="E3485" s="3" t="s">
        <v>23</v>
      </c>
    </row>
    <row r="3486" spans="1:5">
      <c r="A3486" s="3" t="s">
        <v>3508</v>
      </c>
      <c r="B3486" s="3" t="s">
        <v>22</v>
      </c>
      <c r="C3486" s="3">
        <v>343448</v>
      </c>
      <c r="D3486" s="3">
        <v>143357</v>
      </c>
      <c r="E3486" s="3" t="s">
        <v>23</v>
      </c>
    </row>
    <row r="3487" spans="1:5">
      <c r="A3487" s="3" t="s">
        <v>3509</v>
      </c>
      <c r="B3487" s="3" t="s">
        <v>22</v>
      </c>
      <c r="C3487" s="3">
        <v>1059985</v>
      </c>
      <c r="D3487" s="3">
        <v>439555</v>
      </c>
      <c r="E3487" s="3" t="s">
        <v>23</v>
      </c>
    </row>
    <row r="3488" spans="1:5">
      <c r="A3488" s="3" t="s">
        <v>3510</v>
      </c>
      <c r="B3488" s="3" t="s">
        <v>22</v>
      </c>
      <c r="C3488" s="3">
        <v>874358</v>
      </c>
      <c r="D3488" s="3">
        <v>141558</v>
      </c>
      <c r="E3488" s="3" t="s">
        <v>23</v>
      </c>
    </row>
    <row r="3489" spans="1:5">
      <c r="A3489" s="3" t="s">
        <v>3511</v>
      </c>
      <c r="B3489" s="3" t="s">
        <v>22</v>
      </c>
      <c r="C3489" s="3">
        <v>850147</v>
      </c>
      <c r="D3489" s="3">
        <v>166438</v>
      </c>
      <c r="E3489" s="3" t="s">
        <v>23</v>
      </c>
    </row>
    <row r="3490" spans="1:5">
      <c r="A3490" s="3" t="s">
        <v>3512</v>
      </c>
      <c r="B3490" s="3" t="s">
        <v>22</v>
      </c>
      <c r="C3490" s="3">
        <v>740322</v>
      </c>
      <c r="D3490" s="3">
        <v>173523</v>
      </c>
      <c r="E3490" s="3" t="s">
        <v>23</v>
      </c>
    </row>
    <row r="3491" spans="1:5">
      <c r="A3491" s="3" t="s">
        <v>3513</v>
      </c>
      <c r="B3491" s="3" t="s">
        <v>22</v>
      </c>
      <c r="C3491" s="3">
        <v>590522</v>
      </c>
      <c r="D3491" s="3">
        <v>110685</v>
      </c>
      <c r="E3491" s="3" t="s">
        <v>23</v>
      </c>
    </row>
    <row r="3492" spans="1:5">
      <c r="A3492" s="3" t="s">
        <v>3514</v>
      </c>
      <c r="B3492" s="3" t="s">
        <v>22</v>
      </c>
      <c r="C3492" s="3">
        <v>500265</v>
      </c>
      <c r="D3492" s="3">
        <v>216668</v>
      </c>
      <c r="E3492" s="3" t="s">
        <v>23</v>
      </c>
    </row>
    <row r="3493" spans="1:5">
      <c r="A3493" s="3" t="s">
        <v>3515</v>
      </c>
      <c r="B3493" s="3" t="s">
        <v>22</v>
      </c>
      <c r="C3493" s="3">
        <v>572687</v>
      </c>
      <c r="D3493" s="3">
        <v>90497</v>
      </c>
      <c r="E3493" s="3" t="s">
        <v>23</v>
      </c>
    </row>
    <row r="3494" spans="1:5">
      <c r="A3494" s="3" t="s">
        <v>3516</v>
      </c>
      <c r="B3494" s="3" t="s">
        <v>22</v>
      </c>
      <c r="C3494" s="3">
        <v>568635</v>
      </c>
      <c r="D3494" s="3">
        <v>16691</v>
      </c>
      <c r="E3494" s="3" t="s">
        <v>23</v>
      </c>
    </row>
    <row r="3495" spans="1:5">
      <c r="A3495" s="3" t="s">
        <v>3517</v>
      </c>
      <c r="B3495" s="3" t="s">
        <v>22</v>
      </c>
      <c r="C3495" s="3">
        <v>828604</v>
      </c>
      <c r="D3495" s="3">
        <v>166473</v>
      </c>
      <c r="E3495" s="3" t="s">
        <v>23</v>
      </c>
    </row>
    <row r="3496" spans="1:5">
      <c r="A3496" s="3" t="s">
        <v>3518</v>
      </c>
      <c r="B3496" s="3" t="s">
        <v>22</v>
      </c>
      <c r="C3496" s="3">
        <v>623589</v>
      </c>
      <c r="D3496" s="3">
        <v>195804</v>
      </c>
      <c r="E3496" s="3" t="s">
        <v>23</v>
      </c>
    </row>
    <row r="3497" spans="1:5">
      <c r="A3497" s="3" t="s">
        <v>3519</v>
      </c>
      <c r="B3497" s="3" t="s">
        <v>22</v>
      </c>
      <c r="C3497" s="3">
        <v>565928</v>
      </c>
      <c r="D3497" s="3">
        <v>6092</v>
      </c>
      <c r="E3497" s="3" t="s">
        <v>23</v>
      </c>
    </row>
    <row r="3498" spans="1:5">
      <c r="A3498" s="3" t="s">
        <v>3520</v>
      </c>
      <c r="B3498" s="3" t="s">
        <v>22</v>
      </c>
      <c r="C3498" s="3">
        <v>4116</v>
      </c>
      <c r="D3498" s="3">
        <v>1494</v>
      </c>
      <c r="E3498" s="3" t="s">
        <v>23</v>
      </c>
    </row>
    <row r="3499" spans="1:5">
      <c r="A3499" s="3" t="s">
        <v>3521</v>
      </c>
      <c r="B3499" s="3" t="s">
        <v>22</v>
      </c>
      <c r="C3499" s="3">
        <v>673226</v>
      </c>
      <c r="D3499" s="3">
        <v>101139</v>
      </c>
      <c r="E3499" s="3" t="s">
        <v>23</v>
      </c>
    </row>
    <row r="3500" spans="1:5">
      <c r="A3500" s="3" t="s">
        <v>3522</v>
      </c>
      <c r="B3500" s="3" t="s">
        <v>22</v>
      </c>
      <c r="C3500" s="3">
        <v>518252</v>
      </c>
      <c r="D3500" s="3">
        <v>11385</v>
      </c>
      <c r="E3500" s="3" t="s">
        <v>23</v>
      </c>
    </row>
    <row r="3501" spans="1:5">
      <c r="A3501" s="3" t="s">
        <v>3523</v>
      </c>
      <c r="B3501" s="3" t="s">
        <v>22</v>
      </c>
      <c r="C3501" s="3">
        <v>473484</v>
      </c>
      <c r="D3501" s="3">
        <v>1360</v>
      </c>
      <c r="E3501" s="3" t="s">
        <v>23</v>
      </c>
    </row>
    <row r="3502" spans="1:5">
      <c r="A3502" s="3" t="s">
        <v>3524</v>
      </c>
      <c r="B3502" s="3" t="s">
        <v>22</v>
      </c>
      <c r="C3502" s="3">
        <v>470768</v>
      </c>
      <c r="D3502" s="3">
        <v>178253</v>
      </c>
      <c r="E3502" s="3" t="s">
        <v>23</v>
      </c>
    </row>
    <row r="3503" spans="1:5">
      <c r="A3503" s="3" t="s">
        <v>3525</v>
      </c>
      <c r="B3503" s="3" t="s">
        <v>22</v>
      </c>
      <c r="C3503" s="3">
        <v>689332</v>
      </c>
      <c r="D3503" s="3">
        <v>179451</v>
      </c>
      <c r="E3503" s="3" t="s">
        <v>23</v>
      </c>
    </row>
    <row r="3504" spans="1:5">
      <c r="A3504" s="3" t="s">
        <v>3526</v>
      </c>
      <c r="B3504" s="3" t="s">
        <v>22</v>
      </c>
      <c r="C3504" s="3">
        <v>886925</v>
      </c>
      <c r="D3504" s="3">
        <v>235371</v>
      </c>
      <c r="E3504" s="3" t="s">
        <v>23</v>
      </c>
    </row>
    <row r="3505" spans="1:5">
      <c r="A3505" s="3" t="s">
        <v>3527</v>
      </c>
      <c r="B3505" s="3" t="s">
        <v>22</v>
      </c>
      <c r="C3505" s="3">
        <v>826363</v>
      </c>
      <c r="D3505" s="3">
        <v>140477</v>
      </c>
      <c r="E3505" s="3" t="s">
        <v>23</v>
      </c>
    </row>
    <row r="3506" spans="1:5">
      <c r="A3506" s="3" t="s">
        <v>3528</v>
      </c>
      <c r="B3506" s="3" t="s">
        <v>22</v>
      </c>
      <c r="C3506" s="3">
        <v>1022693</v>
      </c>
      <c r="D3506" s="3">
        <v>54961</v>
      </c>
      <c r="E3506" s="3" t="s">
        <v>23</v>
      </c>
    </row>
    <row r="3507" spans="1:5">
      <c r="A3507" s="3" t="s">
        <v>3529</v>
      </c>
      <c r="B3507" s="3" t="s">
        <v>22</v>
      </c>
      <c r="C3507" s="3">
        <v>683571</v>
      </c>
      <c r="D3507" s="3">
        <v>10838</v>
      </c>
      <c r="E3507" s="3" t="s">
        <v>23</v>
      </c>
    </row>
    <row r="3508" spans="1:5">
      <c r="A3508" s="3" t="s">
        <v>3530</v>
      </c>
      <c r="B3508" s="3" t="s">
        <v>22</v>
      </c>
      <c r="C3508" s="3">
        <v>466214</v>
      </c>
      <c r="D3508" s="3">
        <v>2217</v>
      </c>
      <c r="E3508" s="3" t="s">
        <v>23</v>
      </c>
    </row>
    <row r="3509" spans="1:5">
      <c r="A3509" s="3" t="s">
        <v>3531</v>
      </c>
      <c r="B3509" s="3" t="s">
        <v>22</v>
      </c>
      <c r="C3509" s="3">
        <v>844329</v>
      </c>
      <c r="D3509" s="3">
        <v>175582</v>
      </c>
      <c r="E3509" s="3" t="s">
        <v>23</v>
      </c>
    </row>
    <row r="3510" spans="1:5">
      <c r="A3510" s="3" t="s">
        <v>3532</v>
      </c>
      <c r="B3510" s="3" t="s">
        <v>22</v>
      </c>
      <c r="C3510" s="3">
        <v>758263</v>
      </c>
      <c r="D3510" s="3">
        <v>138359</v>
      </c>
      <c r="E3510" s="3" t="s">
        <v>23</v>
      </c>
    </row>
    <row r="3511" spans="1:5">
      <c r="A3511" s="3" t="s">
        <v>3533</v>
      </c>
      <c r="B3511" s="3" t="s">
        <v>22</v>
      </c>
      <c r="C3511" s="3">
        <v>444616</v>
      </c>
      <c r="D3511" s="3">
        <v>126892</v>
      </c>
      <c r="E3511" s="3" t="s">
        <v>23</v>
      </c>
    </row>
    <row r="3512" spans="1:5">
      <c r="A3512" s="3" t="s">
        <v>3534</v>
      </c>
      <c r="B3512" s="3" t="s">
        <v>22</v>
      </c>
      <c r="C3512" s="3">
        <v>549533</v>
      </c>
      <c r="D3512" s="3">
        <v>21261</v>
      </c>
      <c r="E3512" s="3" t="s">
        <v>23</v>
      </c>
    </row>
    <row r="3513" spans="1:5">
      <c r="A3513" s="3" t="s">
        <v>3535</v>
      </c>
      <c r="B3513" s="3" t="s">
        <v>22</v>
      </c>
      <c r="C3513" s="3">
        <v>536450</v>
      </c>
      <c r="D3513" s="3">
        <v>38107</v>
      </c>
      <c r="E3513" s="3" t="s">
        <v>23</v>
      </c>
    </row>
    <row r="3514" spans="1:5">
      <c r="A3514" s="3" t="s">
        <v>3536</v>
      </c>
      <c r="B3514" s="3" t="s">
        <v>22</v>
      </c>
      <c r="C3514" s="3">
        <v>886413</v>
      </c>
      <c r="D3514" s="3">
        <v>184114</v>
      </c>
      <c r="E3514" s="3" t="s">
        <v>23</v>
      </c>
    </row>
    <row r="3515" spans="1:5">
      <c r="A3515" s="3" t="s">
        <v>3537</v>
      </c>
      <c r="B3515" s="3" t="s">
        <v>22</v>
      </c>
      <c r="C3515" s="3">
        <v>387877</v>
      </c>
      <c r="D3515" s="3">
        <v>158548</v>
      </c>
      <c r="E3515" s="3" t="s">
        <v>23</v>
      </c>
    </row>
    <row r="3516" spans="1:5">
      <c r="A3516" s="3" t="s">
        <v>3538</v>
      </c>
      <c r="B3516" s="3" t="s">
        <v>22</v>
      </c>
      <c r="C3516" s="3">
        <v>861285</v>
      </c>
      <c r="D3516" s="3">
        <v>309629</v>
      </c>
      <c r="E3516" s="3" t="s">
        <v>23</v>
      </c>
    </row>
    <row r="3517" spans="1:5">
      <c r="A3517" s="3" t="s">
        <v>3539</v>
      </c>
      <c r="B3517" s="3" t="s">
        <v>22</v>
      </c>
      <c r="C3517" s="3">
        <v>112295</v>
      </c>
      <c r="D3517" s="3">
        <v>30313</v>
      </c>
      <c r="E3517" s="3" t="s">
        <v>23</v>
      </c>
    </row>
    <row r="3518" spans="1:5">
      <c r="A3518" s="3" t="s">
        <v>3540</v>
      </c>
      <c r="B3518" s="3" t="s">
        <v>22</v>
      </c>
      <c r="C3518" s="3">
        <v>714880</v>
      </c>
      <c r="D3518" s="3">
        <v>286150</v>
      </c>
      <c r="E3518" s="3" t="s">
        <v>23</v>
      </c>
    </row>
    <row r="3519" spans="1:5">
      <c r="A3519" s="3" t="s">
        <v>3541</v>
      </c>
      <c r="B3519" s="3" t="s">
        <v>22</v>
      </c>
      <c r="C3519" s="3">
        <v>690920</v>
      </c>
      <c r="D3519" s="3">
        <v>126798</v>
      </c>
      <c r="E3519" s="3" t="s">
        <v>23</v>
      </c>
    </row>
    <row r="3520" spans="1:5">
      <c r="A3520" s="3" t="s">
        <v>3542</v>
      </c>
      <c r="B3520" s="3" t="s">
        <v>22</v>
      </c>
      <c r="C3520" s="3">
        <v>817304</v>
      </c>
      <c r="D3520" s="3">
        <v>136855</v>
      </c>
      <c r="E3520" s="3" t="s">
        <v>23</v>
      </c>
    </row>
    <row r="3521" spans="1:5">
      <c r="A3521" s="3" t="s">
        <v>3543</v>
      </c>
      <c r="B3521" s="3" t="s">
        <v>22</v>
      </c>
      <c r="C3521" s="3">
        <v>526021</v>
      </c>
      <c r="D3521" s="3">
        <v>127871</v>
      </c>
      <c r="E3521" s="3" t="s">
        <v>23</v>
      </c>
    </row>
    <row r="3522" spans="1:5">
      <c r="A3522" s="3" t="s">
        <v>3544</v>
      </c>
      <c r="B3522" s="3" t="s">
        <v>22</v>
      </c>
      <c r="C3522" s="3">
        <v>490696</v>
      </c>
      <c r="D3522" s="3">
        <v>86600</v>
      </c>
      <c r="E3522" s="3" t="s">
        <v>23</v>
      </c>
    </row>
    <row r="3523" spans="1:5">
      <c r="A3523" s="3" t="s">
        <v>3545</v>
      </c>
      <c r="B3523" s="3" t="s">
        <v>22</v>
      </c>
      <c r="C3523" s="3">
        <v>422805</v>
      </c>
      <c r="D3523" s="3">
        <v>115585</v>
      </c>
      <c r="E3523" s="3" t="s">
        <v>23</v>
      </c>
    </row>
    <row r="3524" spans="1:5">
      <c r="A3524" s="3" t="s">
        <v>3546</v>
      </c>
      <c r="B3524" s="3" t="s">
        <v>22</v>
      </c>
      <c r="C3524" s="3">
        <v>743272</v>
      </c>
      <c r="D3524" s="3">
        <v>201986</v>
      </c>
      <c r="E3524" s="3" t="s">
        <v>23</v>
      </c>
    </row>
    <row r="3525" spans="1:5">
      <c r="A3525" s="3" t="s">
        <v>3547</v>
      </c>
      <c r="B3525" s="3" t="s">
        <v>22</v>
      </c>
      <c r="C3525" s="3">
        <v>739395</v>
      </c>
      <c r="D3525" s="3">
        <v>10861</v>
      </c>
      <c r="E3525" s="3" t="s">
        <v>23</v>
      </c>
    </row>
    <row r="3526" spans="1:5">
      <c r="A3526" s="3" t="s">
        <v>3548</v>
      </c>
      <c r="B3526" s="3" t="s">
        <v>22</v>
      </c>
      <c r="C3526" s="3">
        <v>746820</v>
      </c>
      <c r="D3526" s="3">
        <v>187607</v>
      </c>
      <c r="E3526" s="3" t="s">
        <v>23</v>
      </c>
    </row>
    <row r="3527" spans="1:5">
      <c r="A3527" s="3" t="s">
        <v>3549</v>
      </c>
      <c r="B3527" s="3" t="s">
        <v>22</v>
      </c>
      <c r="C3527" s="3">
        <v>763804</v>
      </c>
      <c r="D3527" s="3">
        <v>162444</v>
      </c>
      <c r="E3527" s="3" t="s">
        <v>23</v>
      </c>
    </row>
    <row r="3528" spans="1:5">
      <c r="A3528" s="3" t="s">
        <v>3550</v>
      </c>
      <c r="B3528" s="3" t="s">
        <v>22</v>
      </c>
      <c r="C3528" s="3">
        <v>941059</v>
      </c>
      <c r="D3528" s="3">
        <v>197198</v>
      </c>
      <c r="E3528" s="3" t="s">
        <v>23</v>
      </c>
    </row>
    <row r="3529" spans="1:5">
      <c r="A3529" s="3" t="s">
        <v>3551</v>
      </c>
      <c r="B3529" s="3" t="s">
        <v>22</v>
      </c>
      <c r="C3529" s="3">
        <v>455452</v>
      </c>
      <c r="D3529" s="3">
        <v>61796</v>
      </c>
      <c r="E3529" s="3" t="s">
        <v>23</v>
      </c>
    </row>
    <row r="3530" spans="1:5">
      <c r="A3530" s="3" t="s">
        <v>3552</v>
      </c>
      <c r="B3530" s="3" t="s">
        <v>22</v>
      </c>
      <c r="C3530" s="3">
        <v>766386</v>
      </c>
      <c r="D3530" s="3">
        <v>111879</v>
      </c>
      <c r="E3530" s="3" t="s">
        <v>23</v>
      </c>
    </row>
    <row r="3531" spans="1:5">
      <c r="A3531" s="3" t="s">
        <v>3553</v>
      </c>
      <c r="B3531" s="3" t="s">
        <v>22</v>
      </c>
      <c r="C3531" s="3">
        <v>678044</v>
      </c>
      <c r="D3531" s="3">
        <v>37436</v>
      </c>
      <c r="E3531" s="3" t="s">
        <v>23</v>
      </c>
    </row>
    <row r="3532" spans="1:5">
      <c r="A3532" s="3" t="s">
        <v>3554</v>
      </c>
      <c r="B3532" s="3" t="s">
        <v>22</v>
      </c>
      <c r="C3532" s="3">
        <v>573405</v>
      </c>
      <c r="D3532" s="3">
        <v>64753</v>
      </c>
      <c r="E3532" s="3" t="s">
        <v>23</v>
      </c>
    </row>
    <row r="3533" spans="1:5">
      <c r="A3533" s="3" t="s">
        <v>3555</v>
      </c>
      <c r="B3533" s="3" t="s">
        <v>22</v>
      </c>
      <c r="C3533" s="3">
        <v>589945</v>
      </c>
      <c r="D3533" s="3">
        <v>239278</v>
      </c>
      <c r="E3533" s="3" t="s">
        <v>23</v>
      </c>
    </row>
    <row r="3534" spans="1:5">
      <c r="A3534" s="3" t="s">
        <v>3556</v>
      </c>
      <c r="B3534" s="3" t="s">
        <v>22</v>
      </c>
      <c r="C3534" s="3">
        <v>517553</v>
      </c>
      <c r="D3534" s="3">
        <v>56133</v>
      </c>
      <c r="E3534" s="3" t="s">
        <v>23</v>
      </c>
    </row>
    <row r="3535" spans="1:5">
      <c r="A3535" s="3" t="s">
        <v>3557</v>
      </c>
      <c r="B3535" s="3" t="s">
        <v>22</v>
      </c>
      <c r="C3535" s="3">
        <v>353251</v>
      </c>
      <c r="D3535" s="3">
        <v>61182</v>
      </c>
      <c r="E3535" s="3" t="s">
        <v>23</v>
      </c>
    </row>
    <row r="3536" spans="1:5">
      <c r="A3536" s="3" t="s">
        <v>3558</v>
      </c>
      <c r="B3536" s="3" t="s">
        <v>22</v>
      </c>
      <c r="C3536" s="3">
        <v>424273</v>
      </c>
      <c r="D3536" s="3">
        <v>140834</v>
      </c>
      <c r="E3536" s="3" t="s">
        <v>23</v>
      </c>
    </row>
    <row r="3537" spans="1:5">
      <c r="A3537" s="3" t="s">
        <v>3559</v>
      </c>
      <c r="B3537" s="3" t="s">
        <v>22</v>
      </c>
      <c r="C3537" s="3">
        <v>268646</v>
      </c>
      <c r="D3537" s="3">
        <v>100732</v>
      </c>
      <c r="E3537" s="3" t="s">
        <v>23</v>
      </c>
    </row>
    <row r="3538" spans="1:5">
      <c r="A3538" s="3" t="s">
        <v>3560</v>
      </c>
      <c r="B3538" s="3" t="s">
        <v>22</v>
      </c>
      <c r="C3538" s="3">
        <v>472539</v>
      </c>
      <c r="D3538" s="3">
        <v>51894</v>
      </c>
      <c r="E3538" s="3" t="s">
        <v>23</v>
      </c>
    </row>
    <row r="3539" spans="1:5">
      <c r="A3539" s="3" t="s">
        <v>3561</v>
      </c>
      <c r="B3539" s="3" t="s">
        <v>22</v>
      </c>
      <c r="C3539" s="3">
        <v>295079</v>
      </c>
      <c r="D3539" s="3">
        <v>20598</v>
      </c>
      <c r="E3539" s="3" t="s">
        <v>23</v>
      </c>
    </row>
    <row r="3540" spans="1:5">
      <c r="A3540" s="3" t="s">
        <v>3562</v>
      </c>
      <c r="B3540" s="3" t="s">
        <v>22</v>
      </c>
      <c r="C3540" s="3">
        <v>214302</v>
      </c>
      <c r="D3540" s="3">
        <v>62189</v>
      </c>
      <c r="E3540" s="3" t="s">
        <v>23</v>
      </c>
    </row>
    <row r="3541" spans="1:5">
      <c r="A3541" s="3" t="s">
        <v>3563</v>
      </c>
      <c r="B3541" s="3" t="s">
        <v>22</v>
      </c>
      <c r="C3541" s="3">
        <v>355403</v>
      </c>
      <c r="D3541" s="3">
        <v>127505</v>
      </c>
      <c r="E3541" s="3" t="s">
        <v>23</v>
      </c>
    </row>
    <row r="3542" spans="1:5">
      <c r="A3542" s="3" t="s">
        <v>3564</v>
      </c>
      <c r="B3542" s="3" t="s">
        <v>22</v>
      </c>
      <c r="C3542" s="3">
        <v>285993</v>
      </c>
      <c r="D3542" s="3">
        <v>11179</v>
      </c>
      <c r="E3542" s="3" t="s">
        <v>23</v>
      </c>
    </row>
    <row r="3543" spans="1:5">
      <c r="A3543" s="3" t="s">
        <v>3565</v>
      </c>
      <c r="B3543" s="3" t="s">
        <v>22</v>
      </c>
      <c r="C3543" s="3">
        <v>281574</v>
      </c>
      <c r="D3543" s="3">
        <v>4034</v>
      </c>
      <c r="E3543" s="3" t="s">
        <v>23</v>
      </c>
    </row>
    <row r="3544" spans="1:5">
      <c r="A3544" s="3" t="s">
        <v>3566</v>
      </c>
      <c r="B3544" s="3" t="s">
        <v>22</v>
      </c>
      <c r="C3544" s="3">
        <v>338564</v>
      </c>
      <c r="D3544" s="3">
        <v>110832</v>
      </c>
      <c r="E3544" s="3" t="s">
        <v>23</v>
      </c>
    </row>
    <row r="3545" spans="1:5">
      <c r="A3545" s="3" t="s">
        <v>3567</v>
      </c>
      <c r="B3545" s="3" t="s">
        <v>22</v>
      </c>
      <c r="C3545" s="3">
        <v>607090</v>
      </c>
      <c r="D3545" s="3">
        <v>79922</v>
      </c>
      <c r="E3545" s="3" t="s">
        <v>23</v>
      </c>
    </row>
    <row r="3546" spans="1:5">
      <c r="A3546" s="3" t="s">
        <v>3568</v>
      </c>
      <c r="B3546" s="3" t="s">
        <v>22</v>
      </c>
      <c r="C3546" s="3">
        <v>208908</v>
      </c>
      <c r="D3546" s="3">
        <v>62813</v>
      </c>
      <c r="E3546" s="3" t="s">
        <v>23</v>
      </c>
    </row>
    <row r="3547" spans="1:5">
      <c r="A3547" s="3" t="s">
        <v>3569</v>
      </c>
      <c r="B3547" s="3" t="s">
        <v>22</v>
      </c>
      <c r="C3547" s="3">
        <v>274189</v>
      </c>
      <c r="D3547" s="3">
        <v>29011</v>
      </c>
      <c r="E3547" s="3" t="s">
        <v>23</v>
      </c>
    </row>
    <row r="3548" spans="1:5">
      <c r="A3548" s="3" t="s">
        <v>3570</v>
      </c>
      <c r="B3548" s="3" t="s">
        <v>22</v>
      </c>
      <c r="C3548" s="3">
        <v>195404</v>
      </c>
      <c r="D3548" s="3">
        <v>65417</v>
      </c>
      <c r="E3548" s="3" t="s">
        <v>23</v>
      </c>
    </row>
    <row r="3549" spans="1:5">
      <c r="A3549" s="3" t="s">
        <v>3571</v>
      </c>
      <c r="B3549" s="3" t="s">
        <v>22</v>
      </c>
      <c r="C3549" s="3">
        <v>249847</v>
      </c>
      <c r="D3549" s="3">
        <v>647</v>
      </c>
      <c r="E3549" s="3" t="s">
        <v>23</v>
      </c>
    </row>
    <row r="3550" spans="1:5">
      <c r="A3550" s="3" t="s">
        <v>3572</v>
      </c>
      <c r="B3550" s="3" t="s">
        <v>22</v>
      </c>
      <c r="C3550" s="3">
        <v>512083</v>
      </c>
      <c r="D3550" s="3">
        <v>3854</v>
      </c>
      <c r="E3550" s="3" t="s">
        <v>23</v>
      </c>
    </row>
    <row r="3551" spans="1:5">
      <c r="A3551" s="3" t="s">
        <v>3573</v>
      </c>
      <c r="B3551" s="3" t="s">
        <v>22</v>
      </c>
      <c r="C3551" s="3">
        <v>363835</v>
      </c>
      <c r="D3551" s="3">
        <v>111344</v>
      </c>
      <c r="E3551" s="3" t="s">
        <v>23</v>
      </c>
    </row>
    <row r="3552" spans="1:5">
      <c r="A3552" s="3" t="s">
        <v>3574</v>
      </c>
      <c r="B3552" s="3" t="s">
        <v>22</v>
      </c>
      <c r="C3552" s="3">
        <v>360506</v>
      </c>
      <c r="D3552" s="3">
        <v>100943</v>
      </c>
      <c r="E3552" s="3" t="s">
        <v>23</v>
      </c>
    </row>
    <row r="3553" spans="1:5">
      <c r="A3553" s="3" t="s">
        <v>3575</v>
      </c>
      <c r="B3553" s="3" t="s">
        <v>22</v>
      </c>
      <c r="C3553" s="3">
        <v>376128</v>
      </c>
      <c r="D3553" s="3">
        <v>116066</v>
      </c>
      <c r="E3553" s="3" t="s">
        <v>23</v>
      </c>
    </row>
    <row r="3554" spans="1:5">
      <c r="A3554" s="3" t="s">
        <v>3576</v>
      </c>
      <c r="B3554" s="3" t="s">
        <v>22</v>
      </c>
      <c r="C3554" s="3">
        <v>244372</v>
      </c>
      <c r="D3554" s="3">
        <v>317</v>
      </c>
      <c r="E3554" s="3" t="s">
        <v>23</v>
      </c>
    </row>
    <row r="3555" spans="1:5">
      <c r="A3555" s="3" t="s">
        <v>3577</v>
      </c>
      <c r="B3555" s="3" t="s">
        <v>22</v>
      </c>
      <c r="C3555" s="3">
        <v>241084</v>
      </c>
      <c r="D3555" s="3">
        <v>80020</v>
      </c>
      <c r="E3555" s="3" t="s">
        <v>23</v>
      </c>
    </row>
    <row r="3556" spans="1:5">
      <c r="A3556" s="3" t="s">
        <v>3578</v>
      </c>
      <c r="B3556" s="3" t="s">
        <v>22</v>
      </c>
      <c r="C3556" s="3">
        <v>102407</v>
      </c>
      <c r="D3556" s="3">
        <v>21131</v>
      </c>
      <c r="E3556" s="3" t="s">
        <v>23</v>
      </c>
    </row>
    <row r="3557" spans="1:5">
      <c r="A3557" s="3" t="s">
        <v>3579</v>
      </c>
      <c r="B3557" s="3" t="s">
        <v>22</v>
      </c>
      <c r="C3557" s="3">
        <v>258409</v>
      </c>
      <c r="D3557" s="3">
        <v>93500</v>
      </c>
      <c r="E3557" s="3" t="s">
        <v>23</v>
      </c>
    </row>
    <row r="3558" spans="1:5">
      <c r="A3558" s="3" t="s">
        <v>3580</v>
      </c>
      <c r="B3558" s="3" t="s">
        <v>22</v>
      </c>
      <c r="C3558" s="3">
        <v>471922</v>
      </c>
      <c r="D3558" s="3">
        <v>2252</v>
      </c>
      <c r="E3558" s="3" t="s">
        <v>23</v>
      </c>
    </row>
    <row r="3559" spans="1:5">
      <c r="A3559" s="3" t="s">
        <v>3581</v>
      </c>
      <c r="B3559" s="3" t="s">
        <v>22</v>
      </c>
      <c r="C3559" s="3">
        <v>419861</v>
      </c>
      <c r="D3559" s="3">
        <v>123575</v>
      </c>
      <c r="E3559" s="3" t="s">
        <v>23</v>
      </c>
    </row>
    <row r="3560" spans="1:5">
      <c r="A3560" s="3" t="s">
        <v>3582</v>
      </c>
      <c r="B3560" s="3" t="s">
        <v>22</v>
      </c>
      <c r="C3560" s="3">
        <v>599942</v>
      </c>
      <c r="D3560" s="3">
        <v>134007</v>
      </c>
      <c r="E3560" s="3" t="s">
        <v>23</v>
      </c>
    </row>
    <row r="3561" spans="1:5">
      <c r="A3561" s="3" t="s">
        <v>3583</v>
      </c>
      <c r="B3561" s="3" t="s">
        <v>22</v>
      </c>
      <c r="C3561" s="3">
        <v>479075</v>
      </c>
      <c r="D3561" s="3">
        <v>95189</v>
      </c>
      <c r="E3561" s="3" t="s">
        <v>23</v>
      </c>
    </row>
    <row r="3562" spans="1:5">
      <c r="A3562" s="3" t="s">
        <v>3584</v>
      </c>
      <c r="B3562" s="3" t="s">
        <v>22</v>
      </c>
      <c r="C3562" s="3">
        <v>392681</v>
      </c>
      <c r="D3562" s="3">
        <v>109394</v>
      </c>
      <c r="E3562" s="3" t="s">
        <v>23</v>
      </c>
    </row>
    <row r="3563" spans="1:5">
      <c r="A3563" s="3" t="s">
        <v>3585</v>
      </c>
      <c r="B3563" s="3" t="s">
        <v>22</v>
      </c>
      <c r="C3563" s="3">
        <v>348817</v>
      </c>
      <c r="D3563" s="3">
        <v>112375</v>
      </c>
      <c r="E3563" s="3" t="s">
        <v>23</v>
      </c>
    </row>
    <row r="3564" spans="1:5">
      <c r="A3564" s="3" t="s">
        <v>3586</v>
      </c>
      <c r="B3564" s="3" t="s">
        <v>22</v>
      </c>
      <c r="C3564" s="3">
        <v>169082</v>
      </c>
      <c r="D3564" s="3">
        <v>53589</v>
      </c>
      <c r="E3564" s="3" t="s">
        <v>23</v>
      </c>
    </row>
    <row r="3565" spans="1:5">
      <c r="A3565" s="3" t="s">
        <v>3587</v>
      </c>
      <c r="B3565" s="3" t="s">
        <v>22</v>
      </c>
      <c r="C3565" s="3">
        <v>482476</v>
      </c>
      <c r="D3565" s="3">
        <v>12717</v>
      </c>
      <c r="E3565" s="3" t="s">
        <v>23</v>
      </c>
    </row>
    <row r="3566" spans="1:5">
      <c r="A3566" s="3" t="s">
        <v>3588</v>
      </c>
      <c r="B3566" s="3" t="s">
        <v>22</v>
      </c>
      <c r="C3566" s="3">
        <v>402600</v>
      </c>
      <c r="D3566" s="3">
        <v>101181</v>
      </c>
      <c r="E3566" s="3" t="s">
        <v>23</v>
      </c>
    </row>
    <row r="3567" spans="1:5">
      <c r="A3567" s="3" t="s">
        <v>3589</v>
      </c>
      <c r="B3567" s="3" t="s">
        <v>22</v>
      </c>
      <c r="C3567" s="3">
        <v>404673</v>
      </c>
      <c r="D3567" s="3">
        <v>37655</v>
      </c>
      <c r="E3567" s="3" t="s">
        <v>23</v>
      </c>
    </row>
    <row r="3568" spans="1:5">
      <c r="A3568" s="3" t="s">
        <v>3590</v>
      </c>
      <c r="B3568" s="3" t="s">
        <v>22</v>
      </c>
      <c r="C3568" s="3">
        <v>499001</v>
      </c>
      <c r="D3568" s="3">
        <v>48917</v>
      </c>
      <c r="E3568" s="3" t="s">
        <v>23</v>
      </c>
    </row>
    <row r="3569" spans="1:5">
      <c r="A3569" s="3" t="s">
        <v>3591</v>
      </c>
      <c r="B3569" s="3" t="s">
        <v>22</v>
      </c>
      <c r="C3569" s="3">
        <v>429033</v>
      </c>
      <c r="D3569" s="3">
        <v>72864</v>
      </c>
      <c r="E3569" s="3" t="s">
        <v>23</v>
      </c>
    </row>
    <row r="3570" spans="1:5">
      <c r="A3570" s="3" t="s">
        <v>3592</v>
      </c>
      <c r="B3570" s="3" t="s">
        <v>22</v>
      </c>
      <c r="C3570" s="3">
        <v>270355</v>
      </c>
      <c r="D3570" s="3">
        <v>42238</v>
      </c>
      <c r="E3570" s="3" t="s">
        <v>23</v>
      </c>
    </row>
    <row r="3571" spans="1:5">
      <c r="A3571" s="3" t="s">
        <v>3593</v>
      </c>
      <c r="B3571" s="3" t="s">
        <v>22</v>
      </c>
      <c r="C3571" s="3">
        <v>516889</v>
      </c>
      <c r="D3571" s="3">
        <v>95403</v>
      </c>
      <c r="E3571" s="3" t="s">
        <v>23</v>
      </c>
    </row>
    <row r="3572" spans="1:5">
      <c r="A3572" s="3" t="s">
        <v>3594</v>
      </c>
      <c r="B3572" s="3" t="s">
        <v>22</v>
      </c>
      <c r="C3572" s="3">
        <v>335472</v>
      </c>
      <c r="D3572" s="3">
        <v>19470</v>
      </c>
      <c r="E3572" s="3" t="s">
        <v>23</v>
      </c>
    </row>
    <row r="3573" spans="1:5">
      <c r="A3573" s="3" t="s">
        <v>3595</v>
      </c>
      <c r="B3573" s="3" t="s">
        <v>22</v>
      </c>
      <c r="C3573" s="3">
        <v>253217</v>
      </c>
      <c r="D3573" s="3">
        <v>77898</v>
      </c>
      <c r="E3573" s="3" t="s">
        <v>23</v>
      </c>
    </row>
    <row r="3574" spans="1:5">
      <c r="A3574" s="3" t="s">
        <v>3596</v>
      </c>
      <c r="B3574" s="3" t="s">
        <v>22</v>
      </c>
      <c r="C3574" s="3">
        <v>422897</v>
      </c>
      <c r="D3574" s="3">
        <v>28720</v>
      </c>
      <c r="E3574" s="3" t="s">
        <v>23</v>
      </c>
    </row>
    <row r="3575" spans="1:5">
      <c r="A3575" s="3" t="s">
        <v>3597</v>
      </c>
      <c r="B3575" s="3" t="s">
        <v>22</v>
      </c>
      <c r="C3575" s="3">
        <v>345078</v>
      </c>
      <c r="D3575" s="3">
        <v>30401</v>
      </c>
      <c r="E3575" s="3" t="s">
        <v>23</v>
      </c>
    </row>
    <row r="3576" spans="1:5">
      <c r="A3576" s="3" t="s">
        <v>3598</v>
      </c>
      <c r="B3576" s="3" t="s">
        <v>22</v>
      </c>
      <c r="C3576" s="3">
        <v>270532</v>
      </c>
      <c r="D3576" s="3">
        <v>37174</v>
      </c>
      <c r="E3576" s="3" t="s">
        <v>23</v>
      </c>
    </row>
    <row r="3577" spans="1:5">
      <c r="A3577" s="3" t="s">
        <v>3599</v>
      </c>
      <c r="B3577" s="3" t="s">
        <v>22</v>
      </c>
      <c r="C3577" s="3">
        <v>158351</v>
      </c>
      <c r="D3577" s="3">
        <v>11111</v>
      </c>
      <c r="E3577" s="3" t="s">
        <v>23</v>
      </c>
    </row>
    <row r="3578" spans="1:5">
      <c r="A3578" s="3" t="s">
        <v>3600</v>
      </c>
      <c r="B3578" s="3" t="s">
        <v>22</v>
      </c>
      <c r="C3578" s="3">
        <v>343769</v>
      </c>
      <c r="D3578" s="3">
        <v>46042</v>
      </c>
      <c r="E3578" s="3" t="s">
        <v>23</v>
      </c>
    </row>
    <row r="3579" spans="1:5">
      <c r="A3579" s="3" t="s">
        <v>3601</v>
      </c>
      <c r="B3579" s="3" t="s">
        <v>22</v>
      </c>
      <c r="C3579" s="3">
        <v>241597</v>
      </c>
      <c r="D3579" s="3">
        <v>78009</v>
      </c>
      <c r="E3579" s="3" t="s">
        <v>23</v>
      </c>
    </row>
    <row r="3580" spans="1:5">
      <c r="A3580" s="3" t="s">
        <v>3602</v>
      </c>
      <c r="B3580" s="3" t="s">
        <v>22</v>
      </c>
      <c r="C3580" s="3">
        <v>510573</v>
      </c>
      <c r="D3580" s="3">
        <v>111974</v>
      </c>
      <c r="E3580" s="3" t="s">
        <v>23</v>
      </c>
    </row>
    <row r="3581" spans="1:5">
      <c r="A3581" s="3" t="s">
        <v>3603</v>
      </c>
      <c r="B3581" s="3" t="s">
        <v>22</v>
      </c>
      <c r="C3581" s="3">
        <v>470233</v>
      </c>
      <c r="D3581" s="3">
        <v>48537</v>
      </c>
      <c r="E3581" s="3" t="s">
        <v>23</v>
      </c>
    </row>
    <row r="3582" spans="1:5">
      <c r="A3582" s="3" t="s">
        <v>3604</v>
      </c>
      <c r="B3582" s="3" t="s">
        <v>22</v>
      </c>
      <c r="C3582" s="3">
        <v>440522</v>
      </c>
      <c r="D3582" s="3">
        <v>9415</v>
      </c>
      <c r="E3582" s="3" t="s">
        <v>23</v>
      </c>
    </row>
    <row r="3583" spans="1:5">
      <c r="A3583" s="3" t="s">
        <v>3605</v>
      </c>
      <c r="B3583" s="3" t="s">
        <v>22</v>
      </c>
      <c r="C3583" s="3">
        <v>328312</v>
      </c>
      <c r="D3583" s="3">
        <v>72123</v>
      </c>
      <c r="E3583" s="3" t="s">
        <v>23</v>
      </c>
    </row>
    <row r="3584" spans="1:5">
      <c r="A3584" s="3" t="s">
        <v>3606</v>
      </c>
      <c r="B3584" s="3" t="s">
        <v>22</v>
      </c>
      <c r="C3584" s="3">
        <v>423666</v>
      </c>
      <c r="D3584" s="3">
        <v>51477</v>
      </c>
      <c r="E3584" s="3" t="s">
        <v>23</v>
      </c>
    </row>
    <row r="3585" spans="1:5">
      <c r="A3585" s="3" t="s">
        <v>3607</v>
      </c>
      <c r="B3585" s="3" t="s">
        <v>22</v>
      </c>
      <c r="C3585" s="3">
        <v>343155</v>
      </c>
      <c r="D3585" s="3">
        <v>48044</v>
      </c>
      <c r="E3585" s="3" t="s">
        <v>23</v>
      </c>
    </row>
    <row r="3586" spans="1:5">
      <c r="A3586" s="3" t="s">
        <v>3608</v>
      </c>
      <c r="B3586" s="3" t="s">
        <v>22</v>
      </c>
      <c r="C3586" s="3">
        <v>423999</v>
      </c>
      <c r="D3586" s="3">
        <v>106447</v>
      </c>
      <c r="E3586" s="3" t="s">
        <v>23</v>
      </c>
    </row>
    <row r="3587" spans="1:5">
      <c r="A3587" s="3" t="s">
        <v>3609</v>
      </c>
      <c r="B3587" s="3" t="s">
        <v>22</v>
      </c>
      <c r="C3587" s="3">
        <v>334888</v>
      </c>
      <c r="D3587" s="3">
        <v>43178</v>
      </c>
      <c r="E3587" s="3" t="s">
        <v>23</v>
      </c>
    </row>
    <row r="3588" spans="1:5">
      <c r="A3588" s="3" t="s">
        <v>3610</v>
      </c>
      <c r="B3588" s="3" t="s">
        <v>22</v>
      </c>
      <c r="C3588" s="3">
        <v>643651</v>
      </c>
      <c r="D3588" s="3">
        <v>194257</v>
      </c>
      <c r="E3588" s="3" t="s">
        <v>23</v>
      </c>
    </row>
    <row r="3589" spans="1:5">
      <c r="A3589" s="3" t="s">
        <v>3611</v>
      </c>
      <c r="B3589" s="3" t="s">
        <v>22</v>
      </c>
      <c r="C3589" s="3">
        <v>324665</v>
      </c>
      <c r="D3589" s="3">
        <v>90945</v>
      </c>
      <c r="E3589" s="3" t="s">
        <v>23</v>
      </c>
    </row>
    <row r="3590" spans="1:5">
      <c r="A3590" s="3" t="s">
        <v>3612</v>
      </c>
      <c r="B3590" s="3" t="s">
        <v>22</v>
      </c>
      <c r="C3590" s="3">
        <v>347637</v>
      </c>
      <c r="D3590" s="3">
        <v>43814</v>
      </c>
      <c r="E3590" s="3" t="s">
        <v>23</v>
      </c>
    </row>
    <row r="3591" spans="1:5">
      <c r="A3591" s="3" t="s">
        <v>3613</v>
      </c>
      <c r="B3591" s="3" t="s">
        <v>22</v>
      </c>
      <c r="C3591" s="3">
        <v>278164</v>
      </c>
      <c r="D3591" s="3">
        <v>65501</v>
      </c>
      <c r="E3591" s="3" t="s">
        <v>23</v>
      </c>
    </row>
    <row r="3592" spans="1:5">
      <c r="A3592" s="3" t="s">
        <v>3614</v>
      </c>
      <c r="B3592" s="3" t="s">
        <v>22</v>
      </c>
      <c r="C3592" s="3">
        <v>294473</v>
      </c>
      <c r="D3592" s="3">
        <v>57219</v>
      </c>
      <c r="E3592" s="3" t="s">
        <v>23</v>
      </c>
    </row>
    <row r="3593" spans="1:5">
      <c r="A3593" s="3" t="s">
        <v>3615</v>
      </c>
      <c r="B3593" s="3" t="s">
        <v>22</v>
      </c>
      <c r="C3593" s="3">
        <v>362340</v>
      </c>
      <c r="D3593" s="3">
        <v>22766</v>
      </c>
      <c r="E3593" s="3" t="s">
        <v>23</v>
      </c>
    </row>
    <row r="3594" spans="1:5">
      <c r="A3594" s="3" t="s">
        <v>3616</v>
      </c>
      <c r="B3594" s="3" t="s">
        <v>22</v>
      </c>
      <c r="C3594" s="3">
        <v>274495</v>
      </c>
      <c r="D3594" s="3">
        <v>320</v>
      </c>
      <c r="E3594" s="3" t="s">
        <v>23</v>
      </c>
    </row>
    <row r="3595" spans="1:5">
      <c r="A3595" s="3" t="s">
        <v>3617</v>
      </c>
      <c r="B3595" s="3" t="s">
        <v>22</v>
      </c>
      <c r="C3595" s="3">
        <v>461276</v>
      </c>
      <c r="D3595" s="3">
        <v>142966</v>
      </c>
      <c r="E3595" s="3" t="s">
        <v>23</v>
      </c>
    </row>
    <row r="3596" spans="1:5">
      <c r="A3596" s="3" t="s">
        <v>3618</v>
      </c>
      <c r="B3596" s="3" t="s">
        <v>22</v>
      </c>
      <c r="C3596" s="3">
        <v>334315</v>
      </c>
      <c r="D3596" s="3">
        <v>26174</v>
      </c>
      <c r="E3596" s="3" t="s">
        <v>23</v>
      </c>
    </row>
    <row r="3597" spans="1:5">
      <c r="A3597" s="3" t="s">
        <v>3619</v>
      </c>
      <c r="B3597" s="3" t="s">
        <v>22</v>
      </c>
      <c r="C3597" s="3">
        <v>515979</v>
      </c>
      <c r="D3597" s="3">
        <v>81767</v>
      </c>
      <c r="E3597" s="3" t="s">
        <v>23</v>
      </c>
    </row>
    <row r="3598" spans="1:5">
      <c r="A3598" s="3" t="s">
        <v>3620</v>
      </c>
      <c r="B3598" s="3" t="s">
        <v>22</v>
      </c>
      <c r="C3598" s="3">
        <v>545648</v>
      </c>
      <c r="D3598" s="3">
        <v>57703</v>
      </c>
      <c r="E3598" s="3" t="s">
        <v>23</v>
      </c>
    </row>
    <row r="3599" spans="1:5">
      <c r="A3599" s="3" t="s">
        <v>3621</v>
      </c>
      <c r="B3599" s="3" t="s">
        <v>22</v>
      </c>
      <c r="C3599" s="3">
        <v>511269</v>
      </c>
      <c r="D3599" s="3">
        <v>30648</v>
      </c>
      <c r="E3599" s="3" t="s">
        <v>23</v>
      </c>
    </row>
    <row r="3600" spans="1:5">
      <c r="A3600" s="3" t="s">
        <v>3622</v>
      </c>
      <c r="B3600" s="3" t="s">
        <v>22</v>
      </c>
      <c r="C3600" s="3">
        <v>526259</v>
      </c>
      <c r="D3600" s="3">
        <v>145283</v>
      </c>
      <c r="E3600" s="3" t="s">
        <v>23</v>
      </c>
    </row>
    <row r="3601" spans="1:5">
      <c r="A3601" s="3" t="s">
        <v>3623</v>
      </c>
      <c r="B3601" s="3" t="s">
        <v>22</v>
      </c>
      <c r="C3601" s="3">
        <v>301197</v>
      </c>
      <c r="D3601" s="3">
        <v>44011</v>
      </c>
      <c r="E3601" s="3" t="s">
        <v>23</v>
      </c>
    </row>
    <row r="3602" spans="1:5">
      <c r="A3602" s="3" t="s">
        <v>3624</v>
      </c>
      <c r="B3602" s="3" t="s">
        <v>22</v>
      </c>
      <c r="C3602" s="3">
        <v>584398</v>
      </c>
      <c r="D3602" s="3">
        <v>135355</v>
      </c>
      <c r="E3602" s="3" t="s">
        <v>23</v>
      </c>
    </row>
    <row r="3603" spans="1:5">
      <c r="A3603" s="3" t="s">
        <v>3625</v>
      </c>
      <c r="B3603" s="3" t="s">
        <v>22</v>
      </c>
      <c r="C3603" s="3">
        <v>405107</v>
      </c>
      <c r="D3603" s="3">
        <v>94007</v>
      </c>
      <c r="E3603" s="3" t="s">
        <v>23</v>
      </c>
    </row>
    <row r="3604" spans="1:5">
      <c r="A3604" s="3" t="s">
        <v>3626</v>
      </c>
      <c r="B3604" s="3" t="s">
        <v>22</v>
      </c>
      <c r="C3604" s="3">
        <v>337415</v>
      </c>
      <c r="D3604" s="3">
        <v>71274</v>
      </c>
      <c r="E3604" s="3" t="s">
        <v>23</v>
      </c>
    </row>
    <row r="3605" spans="1:5">
      <c r="A3605" s="3" t="s">
        <v>3627</v>
      </c>
      <c r="B3605" s="3" t="s">
        <v>22</v>
      </c>
      <c r="C3605" s="3">
        <v>565613</v>
      </c>
      <c r="D3605" s="3">
        <v>78483</v>
      </c>
      <c r="E3605" s="3" t="s">
        <v>23</v>
      </c>
    </row>
    <row r="3606" spans="1:5">
      <c r="A3606" s="3" t="s">
        <v>3628</v>
      </c>
      <c r="B3606" s="3" t="s">
        <v>22</v>
      </c>
      <c r="C3606" s="3">
        <v>366676</v>
      </c>
      <c r="D3606" s="3">
        <v>91985</v>
      </c>
      <c r="E3606" s="3" t="s">
        <v>23</v>
      </c>
    </row>
    <row r="3607" spans="1:5">
      <c r="A3607" s="3" t="s">
        <v>3629</v>
      </c>
      <c r="B3607" s="3" t="s">
        <v>22</v>
      </c>
      <c r="C3607" s="3">
        <v>708637</v>
      </c>
      <c r="D3607" s="3">
        <v>75539</v>
      </c>
      <c r="E3607" s="3" t="s">
        <v>23</v>
      </c>
    </row>
    <row r="3608" spans="1:5">
      <c r="A3608" s="3" t="s">
        <v>3630</v>
      </c>
      <c r="B3608" s="3" t="s">
        <v>22</v>
      </c>
      <c r="C3608" s="3">
        <v>283884</v>
      </c>
      <c r="D3608" s="3">
        <v>60001</v>
      </c>
      <c r="E3608" s="3" t="s">
        <v>23</v>
      </c>
    </row>
    <row r="3609" spans="1:5">
      <c r="A3609" s="3" t="s">
        <v>3631</v>
      </c>
      <c r="B3609" s="3" t="s">
        <v>22</v>
      </c>
      <c r="C3609" s="3">
        <v>451289</v>
      </c>
      <c r="D3609" s="3">
        <v>102309</v>
      </c>
      <c r="E3609" s="3" t="s">
        <v>23</v>
      </c>
    </row>
    <row r="3610" spans="1:5">
      <c r="A3610" s="3" t="s">
        <v>3632</v>
      </c>
      <c r="B3610" s="3" t="s">
        <v>22</v>
      </c>
      <c r="C3610" s="3">
        <v>169972</v>
      </c>
      <c r="D3610" s="3">
        <v>55631</v>
      </c>
      <c r="E3610" s="3" t="s">
        <v>23</v>
      </c>
    </row>
    <row r="3611" spans="1:5">
      <c r="A3611" s="3" t="s">
        <v>3633</v>
      </c>
      <c r="B3611" s="3" t="s">
        <v>22</v>
      </c>
      <c r="C3611" s="3">
        <v>315017</v>
      </c>
      <c r="D3611" s="3">
        <v>34438</v>
      </c>
      <c r="E3611" s="3" t="s">
        <v>23</v>
      </c>
    </row>
    <row r="3612" spans="1:5">
      <c r="A3612" s="3" t="s">
        <v>3634</v>
      </c>
      <c r="B3612" s="3" t="s">
        <v>22</v>
      </c>
      <c r="C3612" s="3">
        <v>656325</v>
      </c>
      <c r="D3612" s="3">
        <v>190026</v>
      </c>
      <c r="E3612" s="3" t="s">
        <v>23</v>
      </c>
    </row>
    <row r="3613" spans="1:5">
      <c r="A3613" s="3" t="s">
        <v>3635</v>
      </c>
      <c r="B3613" s="3" t="s">
        <v>22</v>
      </c>
      <c r="C3613" s="3">
        <v>346356</v>
      </c>
      <c r="D3613" s="3">
        <v>37872</v>
      </c>
      <c r="E3613" s="3" t="s">
        <v>23</v>
      </c>
    </row>
    <row r="3614" spans="1:5">
      <c r="A3614" s="3" t="s">
        <v>3636</v>
      </c>
      <c r="B3614" s="3" t="s">
        <v>22</v>
      </c>
      <c r="C3614" s="3">
        <v>443706</v>
      </c>
      <c r="D3614" s="3">
        <v>60385</v>
      </c>
      <c r="E3614" s="3" t="s">
        <v>23</v>
      </c>
    </row>
    <row r="3615" spans="1:5">
      <c r="A3615" s="3" t="s">
        <v>3637</v>
      </c>
      <c r="B3615" s="3" t="s">
        <v>22</v>
      </c>
      <c r="C3615" s="3">
        <v>419188</v>
      </c>
      <c r="D3615" s="3">
        <v>89155</v>
      </c>
      <c r="E3615" s="3" t="s">
        <v>23</v>
      </c>
    </row>
    <row r="3616" spans="1:5">
      <c r="A3616" s="3" t="s">
        <v>3638</v>
      </c>
      <c r="B3616" s="3" t="s">
        <v>22</v>
      </c>
      <c r="C3616" s="3">
        <v>363259</v>
      </c>
      <c r="D3616" s="3">
        <v>55448</v>
      </c>
      <c r="E3616" s="3" t="s">
        <v>23</v>
      </c>
    </row>
    <row r="3617" spans="1:5">
      <c r="A3617" s="3" t="s">
        <v>3639</v>
      </c>
      <c r="B3617" s="3" t="s">
        <v>22</v>
      </c>
      <c r="C3617" s="3">
        <v>264890</v>
      </c>
      <c r="D3617" s="3">
        <v>53169</v>
      </c>
      <c r="E3617" s="3" t="s">
        <v>23</v>
      </c>
    </row>
    <row r="3618" spans="1:5">
      <c r="A3618" s="3" t="s">
        <v>3640</v>
      </c>
      <c r="B3618" s="3" t="s">
        <v>22</v>
      </c>
      <c r="C3618" s="3">
        <v>492752</v>
      </c>
      <c r="D3618" s="3">
        <v>44422</v>
      </c>
      <c r="E3618" s="3" t="s">
        <v>23</v>
      </c>
    </row>
    <row r="3619" spans="1:5">
      <c r="A3619" s="3" t="s">
        <v>3641</v>
      </c>
      <c r="B3619" s="3" t="s">
        <v>22</v>
      </c>
      <c r="C3619" s="3">
        <v>533230</v>
      </c>
      <c r="D3619" s="3">
        <v>129940</v>
      </c>
      <c r="E3619" s="3" t="s">
        <v>23</v>
      </c>
    </row>
    <row r="3620" spans="1:5">
      <c r="A3620" s="3" t="s">
        <v>3642</v>
      </c>
      <c r="B3620" s="3" t="s">
        <v>22</v>
      </c>
      <c r="C3620" s="3">
        <v>430555</v>
      </c>
      <c r="D3620" s="3">
        <v>97996</v>
      </c>
      <c r="E3620" s="3" t="s">
        <v>23</v>
      </c>
    </row>
    <row r="3621" spans="1:5">
      <c r="A3621" s="3" t="s">
        <v>3643</v>
      </c>
      <c r="B3621" s="3" t="s">
        <v>22</v>
      </c>
      <c r="C3621" s="3">
        <v>383419</v>
      </c>
      <c r="D3621" s="3">
        <v>26360</v>
      </c>
      <c r="E3621" s="3" t="s">
        <v>23</v>
      </c>
    </row>
    <row r="3622" spans="1:5">
      <c r="A3622" s="3" t="s">
        <v>3644</v>
      </c>
      <c r="B3622" s="3" t="s">
        <v>22</v>
      </c>
      <c r="C3622" s="3">
        <v>296647</v>
      </c>
      <c r="D3622" s="3">
        <v>74412</v>
      </c>
      <c r="E3622" s="3" t="s">
        <v>23</v>
      </c>
    </row>
    <row r="3623" spans="1:5">
      <c r="A3623" s="3" t="s">
        <v>3645</v>
      </c>
      <c r="B3623" s="3" t="s">
        <v>22</v>
      </c>
      <c r="C3623" s="3">
        <v>427443</v>
      </c>
      <c r="D3623" s="3">
        <v>65659</v>
      </c>
      <c r="E3623" s="3" t="s">
        <v>23</v>
      </c>
    </row>
    <row r="3624" spans="1:5">
      <c r="A3624" s="3" t="s">
        <v>3646</v>
      </c>
      <c r="B3624" s="3" t="s">
        <v>22</v>
      </c>
      <c r="C3624" s="3">
        <v>396396</v>
      </c>
      <c r="D3624" s="3">
        <v>18779</v>
      </c>
      <c r="E3624" s="3" t="s">
        <v>23</v>
      </c>
    </row>
    <row r="3625" spans="1:5">
      <c r="A3625" s="3" t="s">
        <v>3647</v>
      </c>
      <c r="B3625" s="3" t="s">
        <v>22</v>
      </c>
      <c r="C3625" s="3">
        <v>283012</v>
      </c>
      <c r="D3625" s="3">
        <v>8474</v>
      </c>
      <c r="E3625" s="3" t="s">
        <v>23</v>
      </c>
    </row>
    <row r="3626" spans="1:5">
      <c r="A3626" s="3" t="s">
        <v>3648</v>
      </c>
      <c r="B3626" s="3" t="s">
        <v>22</v>
      </c>
      <c r="C3626" s="3">
        <v>394166</v>
      </c>
      <c r="D3626" s="3">
        <v>127311</v>
      </c>
      <c r="E3626" s="3" t="s">
        <v>23</v>
      </c>
    </row>
    <row r="3627" spans="1:5">
      <c r="A3627" s="3" t="s">
        <v>3649</v>
      </c>
      <c r="B3627" s="3" t="s">
        <v>22</v>
      </c>
      <c r="C3627" s="3">
        <v>478767</v>
      </c>
      <c r="D3627" s="3">
        <v>13891</v>
      </c>
      <c r="E3627" s="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style="3" customWidth="1"/>
  </cols>
  <sheetData>
    <row r="1" spans="1:1">
      <c r="A1" s="3" t="s">
        <v>3650</v>
      </c>
    </row>
    <row r="2" spans="1:1">
      <c r="A2" s="3" t="s">
        <v>3651</v>
      </c>
    </row>
    <row r="3" spans="1:1">
      <c r="A3" s="3" t="s">
        <v>3652</v>
      </c>
    </row>
    <row r="4" spans="1:1">
      <c r="A4" s="3" t="s">
        <v>3653</v>
      </c>
    </row>
    <row r="5" spans="1:1">
      <c r="A5" s="3" t="s">
        <v>3654</v>
      </c>
    </row>
    <row r="6" spans="1:1">
      <c r="A6" s="3" t="s">
        <v>3655</v>
      </c>
    </row>
    <row r="7" spans="1:1">
      <c r="A7" s="3" t="s">
        <v>3656</v>
      </c>
    </row>
    <row r="8" spans="1:1">
      <c r="A8" s="3" t="s">
        <v>3657</v>
      </c>
    </row>
    <row r="9" spans="1:1">
      <c r="A9" s="3" t="s">
        <v>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full#0, 21_0, 19</vt:lpstr>
      <vt:lpstr>full#21, 33_19, 32</vt:lpstr>
      <vt:lpstr>full#33, 44_32, 43</vt:lpstr>
      <vt:lpstr>full#44, 101_43, 101</vt:lpstr>
      <vt:lpstr>rrep#0_21</vt:lpstr>
      <vt:lpstr>rrep#21_33</vt:lpstr>
      <vt:lpstr>rrep#33_44</vt:lpstr>
      <vt:lpstr>rrep#44_101</vt:lpstr>
      <vt:lpstr>rreq#0_19</vt:lpstr>
      <vt:lpstr>rreq#19_32</vt:lpstr>
      <vt:lpstr>rreq#32_43</vt:lpstr>
      <vt:lpstr>rreq#43_101</vt:lpstr>
      <vt:lpstr>Raw Counts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2026-09-15T08:06:43Z</dcterms:created>
  <dcterms:modified xsi:type="dcterms:W3CDTF">2026-09-15T08:06:43Z</dcterms:modified>
</cp:coreProperties>
</file>